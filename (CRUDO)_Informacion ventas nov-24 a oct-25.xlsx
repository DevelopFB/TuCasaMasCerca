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franciscobenegas/Desktop/CLAUDE/TCMC/"/>
    </mc:Choice>
  </mc:AlternateContent>
  <xr:revisionPtr revIDLastSave="0" documentId="13_ncr:1_{D0135DF2-27B6-A24F-92EE-FC1C238D24CF}" xr6:coauthVersionLast="47" xr6:coauthVersionMax="47" xr10:uidLastSave="{00000000-0000-0000-0000-000000000000}"/>
  <bookViews>
    <workbookView xWindow="-38400" yWindow="-1360" windowWidth="36080" windowHeight="18840" activeTab="4" xr2:uid="{EC8E90A5-7014-4876-B18E-45EC38FDB7C0}"/>
  </bookViews>
  <sheets>
    <sheet name="Casa" sheetId="1" r:id="rId1"/>
    <sheet name="Departamento" sheetId="2" r:id="rId2"/>
    <sheet name="Terreno" sheetId="3" r:id="rId3"/>
    <sheet name="PH" sheetId="4" r:id="rId4"/>
    <sheet name="Ventas" sheetId="5" r:id="rId5"/>
  </sheets>
  <definedNames>
    <definedName name="_xlnm._FilterDatabase" localSheetId="0" hidden="1">Casa!$A$1:$O$36</definedName>
    <definedName name="_xlnm._FilterDatabase" localSheetId="1" hidden="1">Departamento!$A$1:$O$1</definedName>
    <definedName name="_xlnm._FilterDatabase" localSheetId="3" hidden="1">PH!$A$1:$O$26</definedName>
    <definedName name="_xlnm._FilterDatabase" localSheetId="2" hidden="1">Terreno!$A$1:$O$30</definedName>
    <definedName name="_xlnm._FilterDatabase" localSheetId="4" hidden="1">Ventas!$A$1:$O$38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5" l="1"/>
  <c r="N44" i="5" s="1"/>
  <c r="M39" i="5"/>
  <c r="L39" i="5"/>
  <c r="K39" i="5"/>
  <c r="J39" i="5"/>
  <c r="I39" i="5"/>
  <c r="H39" i="5"/>
  <c r="G39" i="5"/>
  <c r="F39" i="5"/>
  <c r="E39" i="5"/>
  <c r="D39" i="5"/>
  <c r="C39" i="5"/>
  <c r="B39" i="5"/>
  <c r="O39" i="5" s="1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AC4" i="5"/>
  <c r="AB4" i="5"/>
  <c r="AA4" i="5"/>
  <c r="Z4" i="5"/>
  <c r="Z39" i="5" s="1"/>
  <c r="Y4" i="5"/>
  <c r="Y39" i="5" s="1"/>
  <c r="X4" i="5"/>
  <c r="W4" i="5"/>
  <c r="V4" i="5"/>
  <c r="U4" i="5"/>
  <c r="T4" i="5"/>
  <c r="S4" i="5"/>
  <c r="R4" i="5"/>
  <c r="Q4" i="5"/>
  <c r="AC3" i="5"/>
  <c r="AB3" i="5"/>
  <c r="AA3" i="5"/>
  <c r="Z3" i="5"/>
  <c r="Y3" i="5"/>
  <c r="X3" i="5"/>
  <c r="W3" i="5"/>
  <c r="V3" i="5"/>
  <c r="V39" i="5" s="1"/>
  <c r="U3" i="5"/>
  <c r="T3" i="5"/>
  <c r="S3" i="5"/>
  <c r="R3" i="5"/>
  <c r="R39" i="5" s="1"/>
  <c r="Q3" i="5"/>
  <c r="AC2" i="5"/>
  <c r="AB2" i="5"/>
  <c r="AB39" i="5" s="1"/>
  <c r="AA2" i="5"/>
  <c r="AA39" i="5" s="1"/>
  <c r="Z2" i="5"/>
  <c r="Y2" i="5"/>
  <c r="X2" i="5"/>
  <c r="W2" i="5"/>
  <c r="V2" i="5"/>
  <c r="U2" i="5"/>
  <c r="T2" i="5"/>
  <c r="T39" i="5" s="1"/>
  <c r="S2" i="5"/>
  <c r="R2" i="5"/>
  <c r="AC39" i="5"/>
  <c r="Q2" i="5"/>
  <c r="O44" i="5" l="1"/>
  <c r="O43" i="5"/>
  <c r="O42" i="5"/>
  <c r="O41" i="5"/>
  <c r="X39" i="5"/>
  <c r="N41" i="5"/>
  <c r="W39" i="5"/>
  <c r="S39" i="5"/>
  <c r="N42" i="5"/>
  <c r="U39" i="5"/>
  <c r="N43" i="5"/>
  <c r="Q39" i="5"/>
</calcChain>
</file>

<file path=xl/sharedStrings.xml><?xml version="1.0" encoding="utf-8"?>
<sst xmlns="http://schemas.openxmlformats.org/spreadsheetml/2006/main" count="178" uniqueCount="40">
  <si>
    <t>Oficina</t>
  </si>
  <si>
    <t>Cantidad de Ventas</t>
  </si>
  <si>
    <t>Ticket Promedio de ventas</t>
  </si>
  <si>
    <t>Acqua</t>
  </si>
  <si>
    <t>Andes</t>
  </si>
  <si>
    <t>Audacity</t>
  </si>
  <si>
    <t>Blue</t>
  </si>
  <si>
    <t>Boutique</t>
  </si>
  <si>
    <t>Concept</t>
  </si>
  <si>
    <t>Cuyo Real</t>
  </si>
  <si>
    <t>Database</t>
  </si>
  <si>
    <t>De la Veracruz</t>
  </si>
  <si>
    <t>Desiderio</t>
  </si>
  <si>
    <t>Destino</t>
  </si>
  <si>
    <t>Destino II</t>
  </si>
  <si>
    <t>Golden Team</t>
  </si>
  <si>
    <t>Grupo Elite</t>
  </si>
  <si>
    <t>Haka</t>
  </si>
  <si>
    <t>Horizon Group</t>
  </si>
  <si>
    <t>Lion Team</t>
  </si>
  <si>
    <t>Lion Team Norte</t>
  </si>
  <si>
    <t>Livello</t>
  </si>
  <si>
    <t>Meraki</t>
  </si>
  <si>
    <t>North Team</t>
  </si>
  <si>
    <t>Notable</t>
  </si>
  <si>
    <t>Origenes</t>
  </si>
  <si>
    <t>Patagonia Lakes BRC</t>
  </si>
  <si>
    <t>Patagonia Lakes VLA</t>
  </si>
  <si>
    <t>Patagonia Lakes SMA</t>
  </si>
  <si>
    <t>Plaza</t>
  </si>
  <si>
    <t>Puerto Norte</t>
  </si>
  <si>
    <t>Quality</t>
  </si>
  <si>
    <t>Realty Group</t>
  </si>
  <si>
    <t>Seniority</t>
  </si>
  <si>
    <t>Seniority Plus</t>
  </si>
  <si>
    <t>Sensus</t>
  </si>
  <si>
    <t>Ser</t>
  </si>
  <si>
    <t>Space BA</t>
  </si>
  <si>
    <t>Titanio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</si>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</sst>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165" fontId="0" fillId="0" borderId="0" xfId="1" applyNumberFormat="1" applyFont="1"/>
    <xf numFmtId="17" fontId="0" fillId="0" borderId="0" xfId="0" quotePrefix="1" applyNumberFormat="1"/>
    <xf numFmtId="0" fontId="0" fillId="2" borderId="0" xfId="0" applyFill="1"/>
    <xf numFmtId="165" fontId="0" fillId="2" borderId="0" xfId="1" applyNumberFormat="1" applyFont="1" applyFill="1"/>
    <xf numFmtId="164" fontId="0" fillId="2" borderId="0" xfId="1" applyFont="1" applyFill="1"/>
    <xf numFmtId="0" fontId="0" fillId="0" borderId="0" xfId="0" applyAlignment="1">
      <alignment horizontal="center"/>
    </xf>
    <xf numFmtId="17" fontId="0" fillId="0" borderId="0" xfId="0" quotePrefix="1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7" fontId="0" fillId="0" borderId="0" xfId="0" quotePrefix="1" applyNumberForma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922E-A783-4371-81A4-B67BE8217760}">
  <dimension ref="A1:O36"/>
  <sheetViews>
    <sheetView showGridLines="0" workbookViewId="0">
      <selection activeCell="I16" sqref="I16"/>
    </sheetView>
  </sheetViews>
  <sheetFormatPr baseColWidth="10" defaultRowHeight="15" x14ac:dyDescent="0.2"/>
  <cols>
    <col min="1" max="1" width="18" bestFit="1" customWidth="1"/>
    <col min="2" max="2" width="6.5" bestFit="1" customWidth="1"/>
    <col min="3" max="3" width="6.1640625" bestFit="1" customWidth="1"/>
    <col min="4" max="4" width="6.6640625" bestFit="1" customWidth="1"/>
    <col min="5" max="5" width="6.1640625" bestFit="1" customWidth="1"/>
    <col min="6" max="6" width="6.83203125" bestFit="1" customWidth="1"/>
    <col min="7" max="7" width="6.33203125" bestFit="1" customWidth="1"/>
    <col min="8" max="8" width="7" bestFit="1" customWidth="1"/>
    <col min="9" max="9" width="6.1640625" bestFit="1" customWidth="1"/>
    <col min="10" max="10" width="5.5" bestFit="1" customWidth="1"/>
    <col min="11" max="11" width="6.5" bestFit="1" customWidth="1"/>
    <col min="12" max="12" width="7.1640625" bestFit="1" customWidth="1"/>
    <col min="13" max="13" width="6.1640625" bestFit="1" customWidth="1"/>
    <col min="14" max="14" width="18.83203125" bestFit="1" customWidth="1"/>
    <col min="15" max="15" width="25.5" style="2" bestFit="1" customWidth="1"/>
  </cols>
  <sheetData>
    <row r="1" spans="1:15" x14ac:dyDescent="0.2">
      <c r="A1" t="s">
        <v>0</v>
      </c>
      <c r="B1" s="3">
        <v>45597</v>
      </c>
      <c r="C1" s="3">
        <v>45627</v>
      </c>
      <c r="D1" s="3">
        <v>45658</v>
      </c>
      <c r="E1" s="3">
        <v>45689</v>
      </c>
      <c r="F1" s="3">
        <v>45717</v>
      </c>
      <c r="G1" s="3">
        <v>45748</v>
      </c>
      <c r="H1" s="3">
        <v>45778</v>
      </c>
      <c r="I1" s="3">
        <v>45809</v>
      </c>
      <c r="J1" s="3">
        <v>45839</v>
      </c>
      <c r="K1" s="3">
        <v>45870</v>
      </c>
      <c r="L1" s="3">
        <v>45901</v>
      </c>
      <c r="M1" s="3">
        <v>45931</v>
      </c>
      <c r="N1" t="s">
        <v>1</v>
      </c>
      <c r="O1" s="2" t="s">
        <v>2</v>
      </c>
    </row>
    <row r="2" spans="1:15" x14ac:dyDescent="0.2">
      <c r="A2" t="s">
        <v>3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6</v>
      </c>
      <c r="O2" s="2">
        <v>291166.66666666669</v>
      </c>
    </row>
    <row r="3" spans="1:15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0</v>
      </c>
      <c r="M3">
        <v>2</v>
      </c>
      <c r="N3">
        <v>6</v>
      </c>
      <c r="O3" s="2">
        <v>138333.33333333334</v>
      </c>
    </row>
    <row r="4" spans="1:15" x14ac:dyDescent="0.2">
      <c r="A4" t="s">
        <v>5</v>
      </c>
      <c r="B4">
        <v>1</v>
      </c>
      <c r="C4">
        <v>1</v>
      </c>
      <c r="D4">
        <v>0</v>
      </c>
      <c r="E4">
        <v>0</v>
      </c>
      <c r="F4">
        <v>2</v>
      </c>
      <c r="G4">
        <v>1</v>
      </c>
      <c r="H4">
        <v>2</v>
      </c>
      <c r="I4">
        <v>1</v>
      </c>
      <c r="J4">
        <v>0</v>
      </c>
      <c r="K4">
        <v>0</v>
      </c>
      <c r="L4">
        <v>2</v>
      </c>
      <c r="M4">
        <v>0</v>
      </c>
      <c r="N4">
        <v>10</v>
      </c>
      <c r="O4" s="2">
        <v>85300</v>
      </c>
    </row>
    <row r="5" spans="1:15" x14ac:dyDescent="0.2">
      <c r="A5" t="s">
        <v>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 s="2">
        <v>20484.457417934143</v>
      </c>
    </row>
    <row r="6" spans="1:15" x14ac:dyDescent="0.2">
      <c r="A6" t="s">
        <v>7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2</v>
      </c>
      <c r="O6" s="2">
        <v>91000</v>
      </c>
    </row>
    <row r="7" spans="1:15" x14ac:dyDescent="0.2">
      <c r="A7" t="s">
        <v>39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 s="2">
        <v>160000</v>
      </c>
    </row>
    <row r="8" spans="1:15" x14ac:dyDescent="0.2">
      <c r="A8" t="s">
        <v>8</v>
      </c>
      <c r="B8">
        <v>0</v>
      </c>
      <c r="C8">
        <v>0</v>
      </c>
      <c r="D8">
        <v>1</v>
      </c>
      <c r="E8">
        <v>0</v>
      </c>
      <c r="F8">
        <v>0</v>
      </c>
      <c r="G8">
        <v>3</v>
      </c>
      <c r="H8">
        <v>1</v>
      </c>
      <c r="I8">
        <v>1</v>
      </c>
      <c r="J8">
        <v>2</v>
      </c>
      <c r="K8">
        <v>0</v>
      </c>
      <c r="L8">
        <v>0</v>
      </c>
      <c r="M8">
        <v>0</v>
      </c>
      <c r="N8">
        <v>8</v>
      </c>
      <c r="O8" s="2">
        <v>305081.25</v>
      </c>
    </row>
    <row r="9" spans="1:15" x14ac:dyDescent="0.2">
      <c r="A9" t="s">
        <v>9</v>
      </c>
      <c r="B9">
        <v>0</v>
      </c>
      <c r="C9">
        <v>4</v>
      </c>
      <c r="D9">
        <v>1</v>
      </c>
      <c r="E9">
        <v>3</v>
      </c>
      <c r="F9">
        <v>0</v>
      </c>
      <c r="G9">
        <v>2</v>
      </c>
      <c r="H9">
        <v>0</v>
      </c>
      <c r="I9">
        <v>4</v>
      </c>
      <c r="J9">
        <v>3</v>
      </c>
      <c r="K9">
        <v>1</v>
      </c>
      <c r="L9">
        <v>3</v>
      </c>
      <c r="M9">
        <v>1</v>
      </c>
      <c r="N9">
        <v>22</v>
      </c>
      <c r="O9" s="2">
        <v>125586.36363636363</v>
      </c>
    </row>
    <row r="10" spans="1:15" x14ac:dyDescent="0.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2</v>
      </c>
      <c r="O10" s="2">
        <v>352500</v>
      </c>
    </row>
    <row r="11" spans="1:15" x14ac:dyDescent="0.2">
      <c r="A11" t="s">
        <v>11</v>
      </c>
      <c r="B11">
        <v>5</v>
      </c>
      <c r="C11">
        <v>2</v>
      </c>
      <c r="D11">
        <v>4</v>
      </c>
      <c r="E11">
        <v>2</v>
      </c>
      <c r="F11">
        <v>1</v>
      </c>
      <c r="G11">
        <v>3</v>
      </c>
      <c r="H11">
        <v>2</v>
      </c>
      <c r="I11">
        <v>3</v>
      </c>
      <c r="J11">
        <v>3</v>
      </c>
      <c r="K11">
        <v>6</v>
      </c>
      <c r="L11">
        <v>4</v>
      </c>
      <c r="M11">
        <v>3</v>
      </c>
      <c r="N11">
        <v>38</v>
      </c>
      <c r="O11" s="2">
        <v>74785.877117686934</v>
      </c>
    </row>
    <row r="12" spans="1:15" x14ac:dyDescent="0.2">
      <c r="A12" t="s">
        <v>12</v>
      </c>
      <c r="B12">
        <v>1</v>
      </c>
      <c r="C12">
        <v>2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2</v>
      </c>
      <c r="L12">
        <v>1</v>
      </c>
      <c r="M12">
        <v>1</v>
      </c>
      <c r="N12">
        <v>9</v>
      </c>
      <c r="O12" s="2">
        <v>88277.777777777781</v>
      </c>
    </row>
    <row r="13" spans="1:15" x14ac:dyDescent="0.2">
      <c r="A13" t="s">
        <v>13</v>
      </c>
      <c r="B13">
        <v>2</v>
      </c>
      <c r="C13">
        <v>3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4</v>
      </c>
      <c r="M13">
        <v>0</v>
      </c>
      <c r="N13">
        <v>12</v>
      </c>
      <c r="O13" s="2">
        <v>102083.33333333333</v>
      </c>
    </row>
    <row r="14" spans="1:15" x14ac:dyDescent="0.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2</v>
      </c>
      <c r="O14" s="2">
        <v>213250</v>
      </c>
    </row>
    <row r="15" spans="1:15" x14ac:dyDescent="0.2">
      <c r="A15" t="s">
        <v>15</v>
      </c>
      <c r="B15">
        <v>2</v>
      </c>
      <c r="C15">
        <v>4</v>
      </c>
      <c r="D15">
        <v>1</v>
      </c>
      <c r="E15">
        <v>2</v>
      </c>
      <c r="F15">
        <v>1</v>
      </c>
      <c r="G15">
        <v>2</v>
      </c>
      <c r="H15">
        <v>4</v>
      </c>
      <c r="I15">
        <v>2</v>
      </c>
      <c r="J15">
        <v>2</v>
      </c>
      <c r="K15">
        <v>3</v>
      </c>
      <c r="L15">
        <v>1</v>
      </c>
      <c r="M15">
        <v>1</v>
      </c>
      <c r="N15">
        <v>25</v>
      </c>
      <c r="O15" s="2">
        <v>136150.64000000001</v>
      </c>
    </row>
    <row r="16" spans="1:15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2</v>
      </c>
      <c r="I16">
        <v>0</v>
      </c>
      <c r="J16">
        <v>2</v>
      </c>
      <c r="K16">
        <v>1</v>
      </c>
      <c r="L16">
        <v>0</v>
      </c>
      <c r="M16">
        <v>1</v>
      </c>
      <c r="N16">
        <v>8</v>
      </c>
      <c r="O16" s="2">
        <v>323125</v>
      </c>
    </row>
    <row r="17" spans="1:15" x14ac:dyDescent="0.2">
      <c r="A17" t="s">
        <v>17</v>
      </c>
      <c r="B17">
        <v>0</v>
      </c>
      <c r="C17">
        <v>0</v>
      </c>
      <c r="D17">
        <v>1</v>
      </c>
      <c r="E17">
        <v>1</v>
      </c>
      <c r="F17">
        <v>1</v>
      </c>
      <c r="G17">
        <v>3</v>
      </c>
      <c r="H17">
        <v>1</v>
      </c>
      <c r="I17">
        <v>0</v>
      </c>
      <c r="J17">
        <v>2</v>
      </c>
      <c r="K17">
        <v>1</v>
      </c>
      <c r="L17">
        <v>3</v>
      </c>
      <c r="M17">
        <v>1</v>
      </c>
      <c r="N17">
        <v>14</v>
      </c>
      <c r="O17" s="2">
        <v>159000</v>
      </c>
    </row>
    <row r="18" spans="1:15" x14ac:dyDescent="0.2">
      <c r="A18" t="s">
        <v>19</v>
      </c>
      <c r="B18">
        <v>2</v>
      </c>
      <c r="C18">
        <v>3</v>
      </c>
      <c r="D18">
        <v>5</v>
      </c>
      <c r="E18">
        <v>2</v>
      </c>
      <c r="F18">
        <v>1</v>
      </c>
      <c r="G18">
        <v>4</v>
      </c>
      <c r="H18">
        <v>3</v>
      </c>
      <c r="I18">
        <v>3</v>
      </c>
      <c r="J18">
        <v>2</v>
      </c>
      <c r="K18">
        <v>5</v>
      </c>
      <c r="L18">
        <v>2</v>
      </c>
      <c r="M18">
        <v>2</v>
      </c>
      <c r="N18">
        <v>34</v>
      </c>
      <c r="O18" s="2">
        <v>152820</v>
      </c>
    </row>
    <row r="19" spans="1:15" x14ac:dyDescent="0.2">
      <c r="A19" t="s">
        <v>20</v>
      </c>
      <c r="B19">
        <v>1</v>
      </c>
      <c r="C19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1</v>
      </c>
      <c r="M19">
        <v>2</v>
      </c>
      <c r="N19">
        <v>8</v>
      </c>
      <c r="O19" s="2">
        <v>184862.5</v>
      </c>
    </row>
    <row r="20" spans="1:15" x14ac:dyDescent="0.2">
      <c r="A20" t="s">
        <v>21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3</v>
      </c>
      <c r="O20" s="2">
        <v>220000</v>
      </c>
    </row>
    <row r="21" spans="1:15" x14ac:dyDescent="0.2">
      <c r="A21" t="s">
        <v>22</v>
      </c>
      <c r="B21">
        <v>3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2</v>
      </c>
      <c r="K21">
        <v>2</v>
      </c>
      <c r="L21">
        <v>0</v>
      </c>
      <c r="M21">
        <v>1</v>
      </c>
      <c r="N21">
        <v>10</v>
      </c>
      <c r="O21" s="2">
        <v>192970</v>
      </c>
    </row>
    <row r="22" spans="1:15" x14ac:dyDescent="0.2">
      <c r="A22" t="s">
        <v>23</v>
      </c>
      <c r="B22">
        <v>2</v>
      </c>
      <c r="C22">
        <v>2</v>
      </c>
      <c r="D22">
        <v>0</v>
      </c>
      <c r="E22">
        <v>1</v>
      </c>
      <c r="F22">
        <v>3</v>
      </c>
      <c r="G22">
        <v>4</v>
      </c>
      <c r="H22">
        <v>3</v>
      </c>
      <c r="I22">
        <v>5</v>
      </c>
      <c r="J22">
        <v>2</v>
      </c>
      <c r="K22">
        <v>2</v>
      </c>
      <c r="L22">
        <v>1</v>
      </c>
      <c r="M22">
        <v>2</v>
      </c>
      <c r="N22">
        <v>27</v>
      </c>
      <c r="O22" s="2">
        <v>282870.37037037039</v>
      </c>
    </row>
    <row r="23" spans="1:15" x14ac:dyDescent="0.2">
      <c r="A23" t="s">
        <v>24</v>
      </c>
      <c r="B23">
        <v>1</v>
      </c>
      <c r="C23">
        <v>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 s="2">
        <v>259333.33333333334</v>
      </c>
    </row>
    <row r="24" spans="1:15" x14ac:dyDescent="0.2">
      <c r="A24" t="s">
        <v>25</v>
      </c>
      <c r="B24">
        <v>0</v>
      </c>
      <c r="C24">
        <v>4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1</v>
      </c>
      <c r="N24">
        <v>7</v>
      </c>
      <c r="O24" s="2">
        <v>45276.470114424148</v>
      </c>
    </row>
    <row r="25" spans="1:15" x14ac:dyDescent="0.2">
      <c r="A25" t="s">
        <v>26</v>
      </c>
      <c r="B25">
        <v>1</v>
      </c>
      <c r="C25">
        <v>1</v>
      </c>
      <c r="D25">
        <v>0</v>
      </c>
      <c r="E25">
        <v>4</v>
      </c>
      <c r="F25">
        <v>1</v>
      </c>
      <c r="G25">
        <v>0</v>
      </c>
      <c r="H25">
        <v>3</v>
      </c>
      <c r="I25">
        <v>2</v>
      </c>
      <c r="J25">
        <v>3</v>
      </c>
      <c r="K25">
        <v>1</v>
      </c>
      <c r="L25">
        <v>3</v>
      </c>
      <c r="M25">
        <v>3</v>
      </c>
      <c r="N25">
        <v>22</v>
      </c>
      <c r="O25" s="2">
        <v>213190.43887147334</v>
      </c>
    </row>
    <row r="26" spans="1:15" x14ac:dyDescent="0.2">
      <c r="A26" t="s">
        <v>27</v>
      </c>
      <c r="B26">
        <v>2</v>
      </c>
      <c r="C26">
        <v>3</v>
      </c>
      <c r="D26">
        <v>0</v>
      </c>
      <c r="E26">
        <v>2</v>
      </c>
      <c r="F26">
        <v>2</v>
      </c>
      <c r="G26">
        <v>1</v>
      </c>
      <c r="H26">
        <v>2</v>
      </c>
      <c r="I26">
        <v>3</v>
      </c>
      <c r="J26">
        <v>0</v>
      </c>
      <c r="K26">
        <v>0</v>
      </c>
      <c r="L26">
        <v>1</v>
      </c>
      <c r="M26">
        <v>2</v>
      </c>
      <c r="N26">
        <v>18</v>
      </c>
      <c r="O26" s="2">
        <v>339851.83333333331</v>
      </c>
    </row>
    <row r="27" spans="1:15" x14ac:dyDescent="0.2">
      <c r="A27" t="s">
        <v>28</v>
      </c>
      <c r="B27">
        <v>0</v>
      </c>
      <c r="C27">
        <v>2</v>
      </c>
      <c r="D27">
        <v>1</v>
      </c>
      <c r="E27">
        <v>0</v>
      </c>
      <c r="F27">
        <v>2</v>
      </c>
      <c r="G27">
        <v>1</v>
      </c>
      <c r="H27">
        <v>0</v>
      </c>
      <c r="I27">
        <v>2</v>
      </c>
      <c r="J27">
        <v>1</v>
      </c>
      <c r="K27">
        <v>1</v>
      </c>
      <c r="L27">
        <v>2</v>
      </c>
      <c r="M27">
        <v>1</v>
      </c>
      <c r="N27">
        <v>13</v>
      </c>
      <c r="O27" s="2">
        <v>214115.38461538462</v>
      </c>
    </row>
    <row r="28" spans="1:15" x14ac:dyDescent="0.2">
      <c r="A28" t="s">
        <v>29</v>
      </c>
      <c r="B28">
        <v>1</v>
      </c>
      <c r="C28">
        <v>2</v>
      </c>
      <c r="D28">
        <v>0</v>
      </c>
      <c r="E28">
        <v>1</v>
      </c>
      <c r="F28">
        <v>0</v>
      </c>
      <c r="G28">
        <v>3</v>
      </c>
      <c r="H28">
        <v>2</v>
      </c>
      <c r="I28">
        <v>2</v>
      </c>
      <c r="J28">
        <v>2</v>
      </c>
      <c r="K28">
        <v>1</v>
      </c>
      <c r="L28">
        <v>2</v>
      </c>
      <c r="M28">
        <v>1</v>
      </c>
      <c r="N28">
        <v>17</v>
      </c>
      <c r="O28" s="2">
        <v>94428.276573787414</v>
      </c>
    </row>
    <row r="29" spans="1:15" x14ac:dyDescent="0.2">
      <c r="A29" t="s">
        <v>30</v>
      </c>
      <c r="B29">
        <v>7</v>
      </c>
      <c r="C29">
        <v>8</v>
      </c>
      <c r="D29">
        <v>4</v>
      </c>
      <c r="E29">
        <v>2</v>
      </c>
      <c r="F29">
        <v>6</v>
      </c>
      <c r="G29">
        <v>5</v>
      </c>
      <c r="H29">
        <v>8</v>
      </c>
      <c r="I29">
        <v>4</v>
      </c>
      <c r="J29">
        <v>12</v>
      </c>
      <c r="K29">
        <v>5</v>
      </c>
      <c r="L29">
        <v>8</v>
      </c>
      <c r="M29">
        <v>5</v>
      </c>
      <c r="N29">
        <v>74</v>
      </c>
      <c r="O29" s="2">
        <v>203278.37837837837</v>
      </c>
    </row>
    <row r="30" spans="1:15" x14ac:dyDescent="0.2">
      <c r="A30" t="s">
        <v>31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4</v>
      </c>
      <c r="O30" s="2">
        <v>126250</v>
      </c>
    </row>
    <row r="31" spans="1:15" x14ac:dyDescent="0.2">
      <c r="A31" t="s">
        <v>32</v>
      </c>
      <c r="B31">
        <v>2</v>
      </c>
      <c r="C31">
        <v>1</v>
      </c>
      <c r="D31">
        <v>0</v>
      </c>
      <c r="E31">
        <v>4</v>
      </c>
      <c r="F31">
        <v>3</v>
      </c>
      <c r="G31">
        <v>4</v>
      </c>
      <c r="H31">
        <v>3</v>
      </c>
      <c r="I31">
        <v>1</v>
      </c>
      <c r="J31">
        <v>7</v>
      </c>
      <c r="K31">
        <v>4</v>
      </c>
      <c r="L31">
        <v>1</v>
      </c>
      <c r="M31">
        <v>2</v>
      </c>
      <c r="N31">
        <v>32</v>
      </c>
      <c r="O31" s="2">
        <v>99906.25</v>
      </c>
    </row>
    <row r="32" spans="1:15" x14ac:dyDescent="0.2">
      <c r="A32" t="s">
        <v>33</v>
      </c>
      <c r="B32">
        <v>1</v>
      </c>
      <c r="C32">
        <v>2</v>
      </c>
      <c r="D32">
        <v>3</v>
      </c>
      <c r="E32">
        <v>0</v>
      </c>
      <c r="F32">
        <v>4</v>
      </c>
      <c r="G32">
        <v>2</v>
      </c>
      <c r="H32">
        <v>2</v>
      </c>
      <c r="I32">
        <v>4</v>
      </c>
      <c r="J32">
        <v>4</v>
      </c>
      <c r="K32">
        <v>0</v>
      </c>
      <c r="L32">
        <v>2</v>
      </c>
      <c r="M32">
        <v>5</v>
      </c>
      <c r="N32">
        <v>29</v>
      </c>
      <c r="O32" s="2">
        <v>279379.31034482759</v>
      </c>
    </row>
    <row r="33" spans="1:15" x14ac:dyDescent="0.2">
      <c r="A33" t="s">
        <v>34</v>
      </c>
      <c r="B33">
        <v>0</v>
      </c>
      <c r="C33">
        <v>0</v>
      </c>
      <c r="D33">
        <v>0</v>
      </c>
      <c r="E33">
        <v>4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8</v>
      </c>
      <c r="O33" s="2">
        <v>317125</v>
      </c>
    </row>
    <row r="34" spans="1:15" x14ac:dyDescent="0.2">
      <c r="A34" t="s">
        <v>35</v>
      </c>
      <c r="B34">
        <v>0</v>
      </c>
      <c r="C34">
        <v>1</v>
      </c>
      <c r="D34">
        <v>2</v>
      </c>
      <c r="E34">
        <v>3</v>
      </c>
      <c r="F34">
        <v>3</v>
      </c>
      <c r="G34">
        <v>3</v>
      </c>
      <c r="H34">
        <v>3</v>
      </c>
      <c r="I34">
        <v>2</v>
      </c>
      <c r="J34">
        <v>3</v>
      </c>
      <c r="K34">
        <v>6</v>
      </c>
      <c r="L34">
        <v>2</v>
      </c>
      <c r="M34">
        <v>2</v>
      </c>
      <c r="N34">
        <v>30</v>
      </c>
      <c r="O34" s="2">
        <v>107366.66666666667</v>
      </c>
    </row>
    <row r="35" spans="1:15" x14ac:dyDescent="0.2">
      <c r="A35" t="s">
        <v>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2</v>
      </c>
      <c r="O35" s="2">
        <v>171500</v>
      </c>
    </row>
    <row r="36" spans="1:15" x14ac:dyDescent="0.2">
      <c r="A36" t="s">
        <v>37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2</v>
      </c>
      <c r="O36" s="2">
        <v>276230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A1D9-B818-4E2F-A577-340383BEE770}">
  <dimension ref="A1:O37"/>
  <sheetViews>
    <sheetView showGridLines="0" workbookViewId="0">
      <selection activeCell="F35" sqref="F35"/>
    </sheetView>
  </sheetViews>
  <sheetFormatPr baseColWidth="10" defaultRowHeight="15" x14ac:dyDescent="0.2"/>
  <cols>
    <col min="1" max="1" width="18" bestFit="1" customWidth="1"/>
    <col min="2" max="2" width="6.5" bestFit="1" customWidth="1"/>
    <col min="3" max="3" width="6.1640625" bestFit="1" customWidth="1"/>
    <col min="4" max="4" width="6.6640625" bestFit="1" customWidth="1"/>
    <col min="5" max="5" width="6.1640625" bestFit="1" customWidth="1"/>
    <col min="6" max="6" width="6.83203125" bestFit="1" customWidth="1"/>
    <col min="7" max="7" width="6.33203125" bestFit="1" customWidth="1"/>
    <col min="8" max="8" width="7" bestFit="1" customWidth="1"/>
    <col min="9" max="9" width="6.1640625" bestFit="1" customWidth="1"/>
    <col min="10" max="10" width="5.5" bestFit="1" customWidth="1"/>
    <col min="11" max="11" width="6.5" bestFit="1" customWidth="1"/>
    <col min="12" max="12" width="7.1640625" bestFit="1" customWidth="1"/>
    <col min="13" max="13" width="6.1640625" bestFit="1" customWidth="1"/>
    <col min="14" max="14" width="16.5" bestFit="1" customWidth="1"/>
    <col min="15" max="15" width="23.33203125" style="1" bestFit="1" customWidth="1"/>
  </cols>
  <sheetData>
    <row r="1" spans="1:15" x14ac:dyDescent="0.2">
      <c r="A1" t="s">
        <v>0</v>
      </c>
      <c r="B1" s="3">
        <v>45597</v>
      </c>
      <c r="C1" s="3">
        <v>45627</v>
      </c>
      <c r="D1" s="3">
        <v>45658</v>
      </c>
      <c r="E1" s="3">
        <v>45689</v>
      </c>
      <c r="F1" s="3">
        <v>45717</v>
      </c>
      <c r="G1" s="3">
        <v>45748</v>
      </c>
      <c r="H1" s="3">
        <v>45778</v>
      </c>
      <c r="I1" s="3">
        <v>45809</v>
      </c>
      <c r="J1" s="3">
        <v>45839</v>
      </c>
      <c r="K1" s="3">
        <v>45870</v>
      </c>
      <c r="L1" s="3">
        <v>45901</v>
      </c>
      <c r="M1" s="3">
        <v>45931</v>
      </c>
      <c r="N1" t="s">
        <v>1</v>
      </c>
      <c r="O1" s="1" t="s">
        <v>2</v>
      </c>
    </row>
    <row r="2" spans="1:15" x14ac:dyDescent="0.2">
      <c r="A2" t="s">
        <v>3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3</v>
      </c>
      <c r="M2">
        <v>1</v>
      </c>
      <c r="N2">
        <v>8</v>
      </c>
      <c r="O2" s="1">
        <v>123312.5</v>
      </c>
    </row>
    <row r="3" spans="1:15" x14ac:dyDescent="0.2">
      <c r="A3" t="s">
        <v>5</v>
      </c>
      <c r="B3">
        <v>1</v>
      </c>
      <c r="C3">
        <v>3</v>
      </c>
      <c r="D3">
        <v>1</v>
      </c>
      <c r="E3">
        <v>0</v>
      </c>
      <c r="F3">
        <v>3</v>
      </c>
      <c r="G3">
        <v>1</v>
      </c>
      <c r="H3">
        <v>0</v>
      </c>
      <c r="I3">
        <v>1</v>
      </c>
      <c r="J3">
        <v>3</v>
      </c>
      <c r="K3">
        <v>4</v>
      </c>
      <c r="L3">
        <v>1</v>
      </c>
      <c r="M3">
        <v>2</v>
      </c>
      <c r="N3">
        <v>20</v>
      </c>
      <c r="O3" s="1">
        <v>86760</v>
      </c>
    </row>
    <row r="4" spans="1:15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2</v>
      </c>
      <c r="M4">
        <v>0</v>
      </c>
      <c r="N4">
        <v>3</v>
      </c>
      <c r="O4" s="1">
        <v>50230.666666666664</v>
      </c>
    </row>
    <row r="5" spans="1:15" x14ac:dyDescent="0.2">
      <c r="A5" t="s">
        <v>7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3</v>
      </c>
      <c r="N5">
        <v>6</v>
      </c>
      <c r="O5" s="1">
        <v>85916.666666666672</v>
      </c>
    </row>
    <row r="6" spans="1:15" x14ac:dyDescent="0.2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s="1">
        <v>101500</v>
      </c>
    </row>
    <row r="7" spans="1:15" x14ac:dyDescent="0.2">
      <c r="A7" t="s">
        <v>8</v>
      </c>
      <c r="B7">
        <v>0</v>
      </c>
      <c r="C7">
        <v>2</v>
      </c>
      <c r="D7">
        <v>1</v>
      </c>
      <c r="E7">
        <v>0</v>
      </c>
      <c r="F7">
        <v>3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9</v>
      </c>
      <c r="O7" s="1">
        <v>181616.66666666666</v>
      </c>
    </row>
    <row r="8" spans="1:15" x14ac:dyDescent="0.2">
      <c r="A8" t="s">
        <v>9</v>
      </c>
      <c r="B8">
        <v>2</v>
      </c>
      <c r="C8">
        <v>1</v>
      </c>
      <c r="D8">
        <v>1</v>
      </c>
      <c r="E8">
        <v>1</v>
      </c>
      <c r="F8">
        <v>1</v>
      </c>
      <c r="G8">
        <v>4</v>
      </c>
      <c r="H8">
        <v>1</v>
      </c>
      <c r="I8">
        <v>5</v>
      </c>
      <c r="J8">
        <v>2</v>
      </c>
      <c r="K8">
        <v>0</v>
      </c>
      <c r="L8">
        <v>0</v>
      </c>
      <c r="M8">
        <v>4</v>
      </c>
      <c r="N8">
        <v>22</v>
      </c>
      <c r="O8" s="1">
        <v>80972.727272727279</v>
      </c>
    </row>
    <row r="9" spans="1:15" x14ac:dyDescent="0.2">
      <c r="A9" t="s">
        <v>10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 s="1">
        <v>312600</v>
      </c>
    </row>
    <row r="10" spans="1:15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1</v>
      </c>
      <c r="G10">
        <v>2</v>
      </c>
      <c r="H10">
        <v>1</v>
      </c>
      <c r="I10">
        <v>2</v>
      </c>
      <c r="J10">
        <v>4</v>
      </c>
      <c r="K10">
        <v>3</v>
      </c>
      <c r="L10">
        <v>1</v>
      </c>
      <c r="M10">
        <v>3</v>
      </c>
      <c r="N10">
        <v>17</v>
      </c>
      <c r="O10" s="1">
        <v>61176.470588235294</v>
      </c>
    </row>
    <row r="11" spans="1:15" x14ac:dyDescent="0.2">
      <c r="A11" t="s">
        <v>12</v>
      </c>
      <c r="B11">
        <v>2</v>
      </c>
      <c r="C11">
        <v>1</v>
      </c>
      <c r="D11">
        <v>0</v>
      </c>
      <c r="E11">
        <v>2</v>
      </c>
      <c r="F11">
        <v>3</v>
      </c>
      <c r="G11">
        <v>2</v>
      </c>
      <c r="H11">
        <v>2</v>
      </c>
      <c r="I11">
        <v>1</v>
      </c>
      <c r="J11">
        <v>2</v>
      </c>
      <c r="K11">
        <v>1</v>
      </c>
      <c r="L11">
        <v>2</v>
      </c>
      <c r="M11">
        <v>1</v>
      </c>
      <c r="N11">
        <v>19</v>
      </c>
      <c r="O11" s="1">
        <v>79473.68421052632</v>
      </c>
    </row>
    <row r="12" spans="1:15" x14ac:dyDescent="0.2">
      <c r="A12" t="s">
        <v>13</v>
      </c>
      <c r="B12">
        <v>5</v>
      </c>
      <c r="C12">
        <v>12</v>
      </c>
      <c r="D12">
        <v>1</v>
      </c>
      <c r="E12">
        <v>3</v>
      </c>
      <c r="F12">
        <v>5</v>
      </c>
      <c r="G12">
        <v>5</v>
      </c>
      <c r="H12">
        <v>8</v>
      </c>
      <c r="I12">
        <v>5</v>
      </c>
      <c r="J12">
        <v>11</v>
      </c>
      <c r="K12">
        <v>7</v>
      </c>
      <c r="L12">
        <v>10</v>
      </c>
      <c r="M12">
        <v>15</v>
      </c>
      <c r="N12">
        <v>87</v>
      </c>
      <c r="O12" s="1">
        <v>141204.4827586207</v>
      </c>
    </row>
    <row r="13" spans="1:15" x14ac:dyDescent="0.2">
      <c r="A13" t="s">
        <v>14</v>
      </c>
      <c r="B13">
        <v>0</v>
      </c>
      <c r="C13">
        <v>4</v>
      </c>
      <c r="D13">
        <v>0</v>
      </c>
      <c r="E13">
        <v>2</v>
      </c>
      <c r="F13">
        <v>3</v>
      </c>
      <c r="G13">
        <v>1</v>
      </c>
      <c r="H13">
        <v>1</v>
      </c>
      <c r="I13">
        <v>5</v>
      </c>
      <c r="J13">
        <v>4</v>
      </c>
      <c r="K13">
        <v>6</v>
      </c>
      <c r="L13">
        <v>2</v>
      </c>
      <c r="M13">
        <v>8</v>
      </c>
      <c r="N13">
        <v>36</v>
      </c>
      <c r="O13" s="1">
        <v>145625</v>
      </c>
    </row>
    <row r="14" spans="1:15" x14ac:dyDescent="0.2">
      <c r="A14" t="s">
        <v>15</v>
      </c>
      <c r="B14">
        <v>4</v>
      </c>
      <c r="C14">
        <v>5</v>
      </c>
      <c r="D14">
        <v>2</v>
      </c>
      <c r="E14">
        <v>2</v>
      </c>
      <c r="F14">
        <v>1</v>
      </c>
      <c r="G14">
        <v>0</v>
      </c>
      <c r="H14">
        <v>1</v>
      </c>
      <c r="I14">
        <v>4</v>
      </c>
      <c r="J14">
        <v>4</v>
      </c>
      <c r="K14">
        <v>7</v>
      </c>
      <c r="L14">
        <v>5</v>
      </c>
      <c r="M14">
        <v>3</v>
      </c>
      <c r="N14">
        <v>38</v>
      </c>
      <c r="O14" s="1">
        <v>63708.565139083446</v>
      </c>
    </row>
    <row r="15" spans="1:15" x14ac:dyDescent="0.2">
      <c r="A15" t="s">
        <v>16</v>
      </c>
      <c r="B15">
        <v>0</v>
      </c>
      <c r="C15">
        <v>0</v>
      </c>
      <c r="D15">
        <v>0</v>
      </c>
      <c r="E15">
        <v>0</v>
      </c>
      <c r="F15">
        <v>1</v>
      </c>
      <c r="G15">
        <v>4</v>
      </c>
      <c r="H15">
        <v>8</v>
      </c>
      <c r="I15">
        <v>7</v>
      </c>
      <c r="J15">
        <v>5</v>
      </c>
      <c r="K15">
        <v>7</v>
      </c>
      <c r="L15">
        <v>1</v>
      </c>
      <c r="M15">
        <v>3</v>
      </c>
      <c r="N15">
        <v>36</v>
      </c>
      <c r="O15" s="1">
        <v>172290.83333333334</v>
      </c>
    </row>
    <row r="16" spans="1:15" x14ac:dyDescent="0.2">
      <c r="A16" t="s">
        <v>17</v>
      </c>
      <c r="B16">
        <v>5</v>
      </c>
      <c r="C16">
        <v>2</v>
      </c>
      <c r="D16">
        <v>1</v>
      </c>
      <c r="E16">
        <v>1</v>
      </c>
      <c r="F16">
        <v>0</v>
      </c>
      <c r="G16">
        <v>3</v>
      </c>
      <c r="H16">
        <v>0</v>
      </c>
      <c r="I16">
        <v>0</v>
      </c>
      <c r="J16">
        <v>2</v>
      </c>
      <c r="K16">
        <v>1</v>
      </c>
      <c r="L16">
        <v>2</v>
      </c>
      <c r="M16">
        <v>2</v>
      </c>
      <c r="N16">
        <v>19</v>
      </c>
      <c r="O16" s="1">
        <v>143151.89473684211</v>
      </c>
    </row>
    <row r="17" spans="1:15" x14ac:dyDescent="0.2">
      <c r="A17" t="s">
        <v>18</v>
      </c>
      <c r="B17">
        <v>2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1</v>
      </c>
      <c r="J17">
        <v>1</v>
      </c>
      <c r="K17">
        <v>3</v>
      </c>
      <c r="L17">
        <v>1</v>
      </c>
      <c r="M17">
        <v>1</v>
      </c>
      <c r="N17">
        <v>11</v>
      </c>
      <c r="O17" s="1">
        <v>109590.90909090909</v>
      </c>
    </row>
    <row r="18" spans="1:15" x14ac:dyDescent="0.2">
      <c r="A18" t="s">
        <v>19</v>
      </c>
      <c r="B18">
        <v>10</v>
      </c>
      <c r="C18">
        <v>15</v>
      </c>
      <c r="D18">
        <v>12</v>
      </c>
      <c r="E18">
        <v>8</v>
      </c>
      <c r="F18">
        <v>11</v>
      </c>
      <c r="G18">
        <v>10</v>
      </c>
      <c r="H18">
        <v>15</v>
      </c>
      <c r="I18">
        <v>15</v>
      </c>
      <c r="J18">
        <v>15</v>
      </c>
      <c r="K18">
        <v>11</v>
      </c>
      <c r="L18">
        <v>12</v>
      </c>
      <c r="M18">
        <v>24</v>
      </c>
      <c r="N18">
        <v>158</v>
      </c>
      <c r="O18" s="1">
        <v>97927.215189873416</v>
      </c>
    </row>
    <row r="19" spans="1:15" x14ac:dyDescent="0.2">
      <c r="A19" t="s">
        <v>20</v>
      </c>
      <c r="B19">
        <v>1</v>
      </c>
      <c r="C19">
        <v>9</v>
      </c>
      <c r="D19">
        <v>0</v>
      </c>
      <c r="E19">
        <v>2</v>
      </c>
      <c r="F19">
        <v>6</v>
      </c>
      <c r="G19">
        <v>6</v>
      </c>
      <c r="H19">
        <v>5</v>
      </c>
      <c r="I19">
        <v>5</v>
      </c>
      <c r="J19">
        <v>7</v>
      </c>
      <c r="K19">
        <v>4</v>
      </c>
      <c r="L19">
        <v>5</v>
      </c>
      <c r="M19">
        <v>7</v>
      </c>
      <c r="N19">
        <v>57</v>
      </c>
      <c r="O19" s="1">
        <v>131525.99231549949</v>
      </c>
    </row>
    <row r="20" spans="1:15" x14ac:dyDescent="0.2">
      <c r="A20" t="s">
        <v>21</v>
      </c>
      <c r="B20">
        <v>1</v>
      </c>
      <c r="C20">
        <v>2</v>
      </c>
      <c r="D20">
        <v>0</v>
      </c>
      <c r="E20">
        <v>2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2</v>
      </c>
      <c r="M20">
        <v>1</v>
      </c>
      <c r="N20">
        <v>12</v>
      </c>
      <c r="O20" s="1">
        <v>108458.33333333333</v>
      </c>
    </row>
    <row r="21" spans="1:15" x14ac:dyDescent="0.2">
      <c r="A21" t="s">
        <v>22</v>
      </c>
      <c r="B21">
        <v>2</v>
      </c>
      <c r="C21">
        <v>5</v>
      </c>
      <c r="D21">
        <v>4</v>
      </c>
      <c r="E21">
        <v>3</v>
      </c>
      <c r="F21">
        <v>3</v>
      </c>
      <c r="G21">
        <v>5</v>
      </c>
      <c r="H21">
        <v>6</v>
      </c>
      <c r="I21">
        <v>4</v>
      </c>
      <c r="J21">
        <v>3</v>
      </c>
      <c r="K21">
        <v>2</v>
      </c>
      <c r="L21">
        <v>3</v>
      </c>
      <c r="M21">
        <v>2</v>
      </c>
      <c r="N21">
        <v>42</v>
      </c>
      <c r="O21" s="1">
        <v>115750</v>
      </c>
    </row>
    <row r="22" spans="1:15" x14ac:dyDescent="0.2">
      <c r="A22" t="s">
        <v>23</v>
      </c>
      <c r="B22">
        <v>0</v>
      </c>
      <c r="C22">
        <v>2</v>
      </c>
      <c r="D22">
        <v>4</v>
      </c>
      <c r="E22">
        <v>2</v>
      </c>
      <c r="F22">
        <v>1</v>
      </c>
      <c r="G22">
        <v>4</v>
      </c>
      <c r="H22">
        <v>0</v>
      </c>
      <c r="I22">
        <v>3</v>
      </c>
      <c r="J22">
        <v>5</v>
      </c>
      <c r="K22">
        <v>3</v>
      </c>
      <c r="L22">
        <v>3</v>
      </c>
      <c r="M22">
        <v>3</v>
      </c>
      <c r="N22">
        <v>30</v>
      </c>
      <c r="O22" s="1">
        <v>178205.82395833332</v>
      </c>
    </row>
    <row r="23" spans="1:15" x14ac:dyDescent="0.2">
      <c r="A23" t="s">
        <v>24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4</v>
      </c>
      <c r="O23" s="1">
        <v>129750</v>
      </c>
    </row>
    <row r="24" spans="1:15" x14ac:dyDescent="0.2">
      <c r="A24" t="s">
        <v>25</v>
      </c>
      <c r="B24">
        <v>2</v>
      </c>
      <c r="C24">
        <v>0</v>
      </c>
      <c r="D24">
        <v>0</v>
      </c>
      <c r="E24">
        <v>0</v>
      </c>
      <c r="F24">
        <v>0</v>
      </c>
      <c r="G24">
        <v>5</v>
      </c>
      <c r="H24">
        <v>0</v>
      </c>
      <c r="I24">
        <v>2</v>
      </c>
      <c r="J24">
        <v>1</v>
      </c>
      <c r="K24">
        <v>1</v>
      </c>
      <c r="L24">
        <v>0</v>
      </c>
      <c r="M24">
        <v>2</v>
      </c>
      <c r="N24">
        <v>13</v>
      </c>
      <c r="O24" s="1">
        <v>95580.154449084221</v>
      </c>
    </row>
    <row r="25" spans="1:15" x14ac:dyDescent="0.2">
      <c r="A25" t="s">
        <v>26</v>
      </c>
      <c r="B25">
        <v>6</v>
      </c>
      <c r="C25">
        <v>8</v>
      </c>
      <c r="D25">
        <v>4</v>
      </c>
      <c r="E25">
        <v>4</v>
      </c>
      <c r="F25">
        <v>8</v>
      </c>
      <c r="G25">
        <v>8</v>
      </c>
      <c r="H25">
        <v>11</v>
      </c>
      <c r="I25">
        <v>5</v>
      </c>
      <c r="J25">
        <v>7</v>
      </c>
      <c r="K25">
        <v>6</v>
      </c>
      <c r="L25">
        <v>4</v>
      </c>
      <c r="M25">
        <v>1</v>
      </c>
      <c r="N25">
        <v>72</v>
      </c>
      <c r="O25" s="1">
        <v>121985.84722222222</v>
      </c>
    </row>
    <row r="26" spans="1:15" x14ac:dyDescent="0.2">
      <c r="A26" t="s">
        <v>27</v>
      </c>
      <c r="B26">
        <v>5</v>
      </c>
      <c r="C26">
        <v>4</v>
      </c>
      <c r="D26">
        <v>5</v>
      </c>
      <c r="E26">
        <v>2</v>
      </c>
      <c r="F26">
        <v>4</v>
      </c>
      <c r="G26">
        <v>3</v>
      </c>
      <c r="H26">
        <v>2</v>
      </c>
      <c r="I26">
        <v>3</v>
      </c>
      <c r="J26">
        <v>2</v>
      </c>
      <c r="K26">
        <v>4</v>
      </c>
      <c r="L26">
        <v>2</v>
      </c>
      <c r="M26">
        <v>7</v>
      </c>
      <c r="N26">
        <v>43</v>
      </c>
      <c r="O26" s="1">
        <v>127859.62790697675</v>
      </c>
    </row>
    <row r="27" spans="1:15" x14ac:dyDescent="0.2">
      <c r="A27" t="s">
        <v>28</v>
      </c>
      <c r="B27">
        <v>0</v>
      </c>
      <c r="C27">
        <v>0</v>
      </c>
      <c r="D27">
        <v>1</v>
      </c>
      <c r="E27">
        <v>0</v>
      </c>
      <c r="F27">
        <v>0</v>
      </c>
      <c r="G27">
        <v>3</v>
      </c>
      <c r="H27">
        <v>3</v>
      </c>
      <c r="I27">
        <v>1</v>
      </c>
      <c r="J27">
        <v>0</v>
      </c>
      <c r="K27">
        <v>1</v>
      </c>
      <c r="L27">
        <v>4</v>
      </c>
      <c r="M27">
        <v>0</v>
      </c>
      <c r="N27">
        <v>13</v>
      </c>
      <c r="O27" s="1">
        <v>111153.84615384616</v>
      </c>
    </row>
    <row r="28" spans="1:15" x14ac:dyDescent="0.2">
      <c r="A28" t="s">
        <v>29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3</v>
      </c>
      <c r="O28" s="1">
        <v>36633.333333333336</v>
      </c>
    </row>
    <row r="29" spans="1:15" x14ac:dyDescent="0.2">
      <c r="A29" t="s">
        <v>30</v>
      </c>
      <c r="B29">
        <v>5</v>
      </c>
      <c r="C29">
        <v>13</v>
      </c>
      <c r="D29">
        <v>5</v>
      </c>
      <c r="E29">
        <v>8</v>
      </c>
      <c r="F29">
        <v>13</v>
      </c>
      <c r="G29">
        <v>12</v>
      </c>
      <c r="H29">
        <v>8</v>
      </c>
      <c r="I29">
        <v>13</v>
      </c>
      <c r="J29">
        <v>5</v>
      </c>
      <c r="K29">
        <v>9</v>
      </c>
      <c r="L29">
        <v>10</v>
      </c>
      <c r="M29">
        <v>13</v>
      </c>
      <c r="N29">
        <v>114</v>
      </c>
      <c r="O29" s="1">
        <v>175290.84210526315</v>
      </c>
    </row>
    <row r="30" spans="1:15" x14ac:dyDescent="0.2">
      <c r="A30" t="s">
        <v>31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3</v>
      </c>
      <c r="N30">
        <v>8</v>
      </c>
      <c r="O30" s="1">
        <v>80500</v>
      </c>
    </row>
    <row r="31" spans="1:15" x14ac:dyDescent="0.2">
      <c r="A31" t="s">
        <v>32</v>
      </c>
      <c r="B31">
        <v>3</v>
      </c>
      <c r="C31">
        <v>1</v>
      </c>
      <c r="D31">
        <v>3</v>
      </c>
      <c r="E31">
        <v>1</v>
      </c>
      <c r="F31">
        <v>0</v>
      </c>
      <c r="G31">
        <v>2</v>
      </c>
      <c r="H31">
        <v>1</v>
      </c>
      <c r="I31">
        <v>5</v>
      </c>
      <c r="J31">
        <v>2</v>
      </c>
      <c r="K31">
        <v>0</v>
      </c>
      <c r="L31">
        <v>1</v>
      </c>
      <c r="M31">
        <v>1</v>
      </c>
      <c r="N31">
        <v>20</v>
      </c>
      <c r="O31" s="1">
        <v>58375</v>
      </c>
    </row>
    <row r="32" spans="1:15" x14ac:dyDescent="0.2">
      <c r="A32" t="s">
        <v>33</v>
      </c>
      <c r="B32">
        <v>15</v>
      </c>
      <c r="C32">
        <v>30</v>
      </c>
      <c r="D32">
        <v>13</v>
      </c>
      <c r="E32">
        <v>16</v>
      </c>
      <c r="F32">
        <v>12</v>
      </c>
      <c r="G32">
        <v>17</v>
      </c>
      <c r="H32">
        <v>29</v>
      </c>
      <c r="I32">
        <v>16</v>
      </c>
      <c r="J32">
        <v>21</v>
      </c>
      <c r="K32">
        <v>24</v>
      </c>
      <c r="L32">
        <v>22</v>
      </c>
      <c r="M32">
        <v>33</v>
      </c>
      <c r="N32">
        <v>248</v>
      </c>
      <c r="O32" s="1">
        <v>171779.7771460386</v>
      </c>
    </row>
    <row r="33" spans="1:15" x14ac:dyDescent="0.2">
      <c r="A33" t="s">
        <v>34</v>
      </c>
      <c r="B33">
        <v>8</v>
      </c>
      <c r="C33">
        <v>6</v>
      </c>
      <c r="D33">
        <v>5</v>
      </c>
      <c r="E33">
        <v>4</v>
      </c>
      <c r="F33">
        <v>5</v>
      </c>
      <c r="G33">
        <v>6</v>
      </c>
      <c r="H33">
        <v>6</v>
      </c>
      <c r="I33">
        <v>4</v>
      </c>
      <c r="J33">
        <v>6</v>
      </c>
      <c r="K33">
        <v>12</v>
      </c>
      <c r="L33">
        <v>8</v>
      </c>
      <c r="M33">
        <v>6</v>
      </c>
      <c r="N33">
        <v>76</v>
      </c>
      <c r="O33" s="1">
        <v>202532.89473684211</v>
      </c>
    </row>
    <row r="34" spans="1:15" x14ac:dyDescent="0.2">
      <c r="A34" t="s">
        <v>35</v>
      </c>
      <c r="B34">
        <v>1</v>
      </c>
      <c r="C34">
        <v>3</v>
      </c>
      <c r="D34">
        <v>5</v>
      </c>
      <c r="E34">
        <v>3</v>
      </c>
      <c r="F34">
        <v>2</v>
      </c>
      <c r="G34">
        <v>1</v>
      </c>
      <c r="H34">
        <v>4</v>
      </c>
      <c r="I34">
        <v>7</v>
      </c>
      <c r="J34">
        <v>1</v>
      </c>
      <c r="K34">
        <v>2</v>
      </c>
      <c r="L34">
        <v>5</v>
      </c>
      <c r="M34">
        <v>3</v>
      </c>
      <c r="N34">
        <v>37</v>
      </c>
      <c r="O34" s="1">
        <v>91248.78434920276</v>
      </c>
    </row>
    <row r="35" spans="1:15" x14ac:dyDescent="0.2">
      <c r="A35" t="s">
        <v>36</v>
      </c>
      <c r="B35">
        <v>1</v>
      </c>
      <c r="C35">
        <v>3</v>
      </c>
      <c r="D35">
        <v>3</v>
      </c>
      <c r="E35">
        <v>1</v>
      </c>
      <c r="F35">
        <v>2</v>
      </c>
      <c r="G35">
        <v>3</v>
      </c>
      <c r="H35">
        <v>3</v>
      </c>
      <c r="I35">
        <v>1</v>
      </c>
      <c r="J35">
        <v>4</v>
      </c>
      <c r="K35">
        <v>4</v>
      </c>
      <c r="L35">
        <v>4</v>
      </c>
      <c r="M35">
        <v>1</v>
      </c>
      <c r="N35">
        <v>30</v>
      </c>
      <c r="O35" s="1">
        <v>127466.66666666667</v>
      </c>
    </row>
    <row r="36" spans="1:15" x14ac:dyDescent="0.2">
      <c r="A36" t="s">
        <v>37</v>
      </c>
      <c r="B36">
        <v>5</v>
      </c>
      <c r="C36">
        <v>8</v>
      </c>
      <c r="D36">
        <v>0</v>
      </c>
      <c r="E36">
        <v>1</v>
      </c>
      <c r="F36">
        <v>4</v>
      </c>
      <c r="G36">
        <v>8</v>
      </c>
      <c r="H36">
        <v>3</v>
      </c>
      <c r="I36">
        <v>1</v>
      </c>
      <c r="J36">
        <v>3</v>
      </c>
      <c r="K36">
        <v>7</v>
      </c>
      <c r="L36">
        <v>0</v>
      </c>
      <c r="M36">
        <v>6</v>
      </c>
      <c r="N36">
        <v>46</v>
      </c>
      <c r="O36" s="1">
        <v>179519.5652173913</v>
      </c>
    </row>
    <row r="37" spans="1:15" x14ac:dyDescent="0.2">
      <c r="A37" t="s">
        <v>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s="1">
        <v>235000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3A37-55BB-4A57-A691-8987A2DF35BD}">
  <dimension ref="A1:O30"/>
  <sheetViews>
    <sheetView showGridLines="0" workbookViewId="0">
      <selection sqref="A1:O1"/>
    </sheetView>
  </sheetViews>
  <sheetFormatPr baseColWidth="10" defaultRowHeight="15" x14ac:dyDescent="0.2"/>
  <cols>
    <col min="1" max="1" width="18" bestFit="1" customWidth="1"/>
    <col min="2" max="2" width="6.5" bestFit="1" customWidth="1"/>
    <col min="3" max="3" width="6.1640625" bestFit="1" customWidth="1"/>
    <col min="4" max="4" width="6.6640625" bestFit="1" customWidth="1"/>
    <col min="5" max="5" width="6.1640625" bestFit="1" customWidth="1"/>
    <col min="6" max="6" width="6.83203125" bestFit="1" customWidth="1"/>
    <col min="7" max="7" width="6.33203125" bestFit="1" customWidth="1"/>
    <col min="8" max="8" width="7" bestFit="1" customWidth="1"/>
    <col min="9" max="9" width="6.1640625" bestFit="1" customWidth="1"/>
    <col min="10" max="10" width="5.5" bestFit="1" customWidth="1"/>
    <col min="11" max="11" width="6.5" bestFit="1" customWidth="1"/>
    <col min="12" max="12" width="7.1640625" bestFit="1" customWidth="1"/>
    <col min="13" max="13" width="6.1640625" bestFit="1" customWidth="1"/>
    <col min="14" max="14" width="16.5" bestFit="1" customWidth="1"/>
    <col min="15" max="15" width="23.33203125" style="2" bestFit="1" customWidth="1"/>
  </cols>
  <sheetData>
    <row r="1" spans="1:15" x14ac:dyDescent="0.2">
      <c r="A1" s="7" t="s">
        <v>0</v>
      </c>
      <c r="B1" s="8">
        <v>45597</v>
      </c>
      <c r="C1" s="8">
        <v>45627</v>
      </c>
      <c r="D1" s="8">
        <v>45658</v>
      </c>
      <c r="E1" s="8">
        <v>45689</v>
      </c>
      <c r="F1" s="8">
        <v>45717</v>
      </c>
      <c r="G1" s="8">
        <v>45748</v>
      </c>
      <c r="H1" s="8">
        <v>45778</v>
      </c>
      <c r="I1" s="8">
        <v>45809</v>
      </c>
      <c r="J1" s="8">
        <v>45839</v>
      </c>
      <c r="K1" s="8">
        <v>45870</v>
      </c>
      <c r="L1" s="8">
        <v>45901</v>
      </c>
      <c r="M1" s="8">
        <v>45931</v>
      </c>
      <c r="N1" s="7" t="s">
        <v>1</v>
      </c>
      <c r="O1" s="9" t="s">
        <v>2</v>
      </c>
    </row>
    <row r="2" spans="1:15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2</v>
      </c>
      <c r="O2" s="2">
        <v>26500</v>
      </c>
    </row>
    <row r="3" spans="1:15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s="2">
        <v>36000</v>
      </c>
    </row>
    <row r="4" spans="1:15" x14ac:dyDescent="0.2">
      <c r="A4" t="s">
        <v>5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3</v>
      </c>
      <c r="I4">
        <v>0</v>
      </c>
      <c r="J4">
        <v>0</v>
      </c>
      <c r="K4">
        <v>1</v>
      </c>
      <c r="L4">
        <v>0</v>
      </c>
      <c r="M4">
        <v>1</v>
      </c>
      <c r="N4">
        <v>8</v>
      </c>
      <c r="O4" s="2">
        <v>26750</v>
      </c>
    </row>
    <row r="5" spans="1:15" x14ac:dyDescent="0.2">
      <c r="A5" t="s">
        <v>6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5</v>
      </c>
      <c r="O5" s="2">
        <v>16780.996418407893</v>
      </c>
    </row>
    <row r="6" spans="1:15" x14ac:dyDescent="0.2">
      <c r="A6" t="s">
        <v>7</v>
      </c>
      <c r="B6">
        <v>0</v>
      </c>
      <c r="C6">
        <v>0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4</v>
      </c>
      <c r="O6" s="2">
        <v>24000</v>
      </c>
    </row>
    <row r="7" spans="1:15" x14ac:dyDescent="0.2">
      <c r="A7" t="s">
        <v>8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3</v>
      </c>
      <c r="O7" s="2">
        <v>349666.66666666669</v>
      </c>
    </row>
    <row r="8" spans="1:15" x14ac:dyDescent="0.2">
      <c r="A8" t="s">
        <v>9</v>
      </c>
      <c r="B8">
        <v>0</v>
      </c>
      <c r="C8">
        <v>3</v>
      </c>
      <c r="D8">
        <v>0</v>
      </c>
      <c r="E8">
        <v>0</v>
      </c>
      <c r="F8">
        <v>1</v>
      </c>
      <c r="G8">
        <v>2</v>
      </c>
      <c r="H8">
        <v>2</v>
      </c>
      <c r="I8">
        <v>2</v>
      </c>
      <c r="J8">
        <v>2</v>
      </c>
      <c r="K8">
        <v>0</v>
      </c>
      <c r="L8">
        <v>0</v>
      </c>
      <c r="M8">
        <v>1</v>
      </c>
      <c r="N8">
        <v>13</v>
      </c>
      <c r="O8" s="2">
        <v>45548.692307692305</v>
      </c>
    </row>
    <row r="9" spans="1:15" x14ac:dyDescent="0.2">
      <c r="A9" t="s">
        <v>11</v>
      </c>
      <c r="B9">
        <v>2</v>
      </c>
      <c r="C9">
        <v>3</v>
      </c>
      <c r="D9">
        <v>1</v>
      </c>
      <c r="E9">
        <v>0</v>
      </c>
      <c r="F9">
        <v>0</v>
      </c>
      <c r="G9">
        <v>2</v>
      </c>
      <c r="H9">
        <v>0</v>
      </c>
      <c r="I9">
        <v>0</v>
      </c>
      <c r="J9">
        <v>1</v>
      </c>
      <c r="K9">
        <v>2</v>
      </c>
      <c r="L9">
        <v>1</v>
      </c>
      <c r="M9">
        <v>2</v>
      </c>
      <c r="N9">
        <v>14</v>
      </c>
      <c r="O9" s="2">
        <v>37650</v>
      </c>
    </row>
    <row r="10" spans="1:15" x14ac:dyDescent="0.2">
      <c r="A10" t="s">
        <v>12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 s="2">
        <v>8500</v>
      </c>
    </row>
    <row r="11" spans="1:15" x14ac:dyDescent="0.2">
      <c r="A11" t="s">
        <v>13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2</v>
      </c>
      <c r="O11" s="2">
        <v>169000</v>
      </c>
    </row>
    <row r="12" spans="1:15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2</v>
      </c>
      <c r="O12" s="2">
        <v>123000</v>
      </c>
    </row>
    <row r="13" spans="1:15" x14ac:dyDescent="0.2">
      <c r="A13" t="s">
        <v>15</v>
      </c>
      <c r="B13">
        <v>2</v>
      </c>
      <c r="C13">
        <v>1</v>
      </c>
      <c r="D13">
        <v>1</v>
      </c>
      <c r="E13">
        <v>2</v>
      </c>
      <c r="F13">
        <v>2</v>
      </c>
      <c r="G13">
        <v>3</v>
      </c>
      <c r="H13">
        <v>4</v>
      </c>
      <c r="I13">
        <v>0</v>
      </c>
      <c r="J13">
        <v>6</v>
      </c>
      <c r="K13">
        <v>0</v>
      </c>
      <c r="L13">
        <v>1</v>
      </c>
      <c r="M13">
        <v>1</v>
      </c>
      <c r="N13">
        <v>23</v>
      </c>
      <c r="O13" s="2">
        <v>14074.434782608696</v>
      </c>
    </row>
    <row r="14" spans="1:15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2</v>
      </c>
      <c r="O14" s="2">
        <v>125500</v>
      </c>
    </row>
    <row r="15" spans="1:15" x14ac:dyDescent="0.2">
      <c r="A15" t="s">
        <v>17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4</v>
      </c>
      <c r="O15" s="2">
        <v>102875</v>
      </c>
    </row>
    <row r="16" spans="1:15" x14ac:dyDescent="0.2">
      <c r="A16" t="s">
        <v>19</v>
      </c>
      <c r="B16">
        <v>1</v>
      </c>
      <c r="C16">
        <v>1</v>
      </c>
      <c r="D16">
        <v>2</v>
      </c>
      <c r="E16">
        <v>1</v>
      </c>
      <c r="F16">
        <v>1</v>
      </c>
      <c r="G16">
        <v>2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9</v>
      </c>
      <c r="O16" s="2">
        <v>120111.11111111111</v>
      </c>
    </row>
    <row r="17" spans="1:15" x14ac:dyDescent="0.2">
      <c r="A17" t="s">
        <v>20</v>
      </c>
      <c r="B17">
        <v>0</v>
      </c>
      <c r="C17">
        <v>0</v>
      </c>
      <c r="D17">
        <v>0</v>
      </c>
      <c r="E17">
        <v>1</v>
      </c>
      <c r="F17">
        <v>2</v>
      </c>
      <c r="G17">
        <v>1</v>
      </c>
      <c r="H17">
        <v>1</v>
      </c>
      <c r="I17">
        <v>0</v>
      </c>
      <c r="J17">
        <v>0</v>
      </c>
      <c r="K17">
        <v>0</v>
      </c>
      <c r="L17">
        <v>2</v>
      </c>
      <c r="M17">
        <v>0</v>
      </c>
      <c r="N17">
        <v>7</v>
      </c>
      <c r="O17" s="2">
        <v>373285.71428571426</v>
      </c>
    </row>
    <row r="18" spans="1:15" x14ac:dyDescent="0.2">
      <c r="A18" t="s">
        <v>21</v>
      </c>
      <c r="B18">
        <v>3</v>
      </c>
      <c r="C18">
        <v>4</v>
      </c>
      <c r="D18">
        <v>2</v>
      </c>
      <c r="E18">
        <v>2</v>
      </c>
      <c r="F18">
        <v>4</v>
      </c>
      <c r="G18">
        <v>3</v>
      </c>
      <c r="H18">
        <v>3</v>
      </c>
      <c r="I18">
        <v>0</v>
      </c>
      <c r="J18">
        <v>5</v>
      </c>
      <c r="K18">
        <v>0</v>
      </c>
      <c r="L18">
        <v>2</v>
      </c>
      <c r="M18">
        <v>0</v>
      </c>
      <c r="N18">
        <v>28</v>
      </c>
      <c r="O18" s="2">
        <v>64955.357142857145</v>
      </c>
    </row>
    <row r="19" spans="1:15" x14ac:dyDescent="0.2">
      <c r="A19" t="s">
        <v>23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2</v>
      </c>
      <c r="M19">
        <v>0</v>
      </c>
      <c r="N19">
        <v>7</v>
      </c>
      <c r="O19" s="2">
        <v>114664.85714285714</v>
      </c>
    </row>
    <row r="20" spans="1:15" x14ac:dyDescent="0.2">
      <c r="A20" s="4" t="s">
        <v>25</v>
      </c>
      <c r="B20" s="4">
        <v>0</v>
      </c>
      <c r="C20" s="4">
        <v>1</v>
      </c>
      <c r="D20" s="4">
        <v>1</v>
      </c>
      <c r="E20" s="4">
        <v>1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4</v>
      </c>
      <c r="O20" s="5">
        <v>173853.30753124016</v>
      </c>
    </row>
    <row r="21" spans="1:15" x14ac:dyDescent="0.2">
      <c r="A21" t="s">
        <v>26</v>
      </c>
      <c r="B21">
        <v>2</v>
      </c>
      <c r="C21">
        <v>3</v>
      </c>
      <c r="D21">
        <v>6</v>
      </c>
      <c r="E21">
        <v>3</v>
      </c>
      <c r="F21">
        <v>1</v>
      </c>
      <c r="G21">
        <v>4</v>
      </c>
      <c r="H21">
        <v>1</v>
      </c>
      <c r="I21">
        <v>6</v>
      </c>
      <c r="J21">
        <v>3</v>
      </c>
      <c r="K21">
        <v>5</v>
      </c>
      <c r="L21">
        <v>4</v>
      </c>
      <c r="M21">
        <v>2</v>
      </c>
      <c r="N21">
        <v>40</v>
      </c>
      <c r="O21" s="2">
        <v>53504.85</v>
      </c>
    </row>
    <row r="22" spans="1:15" x14ac:dyDescent="0.2">
      <c r="A22" t="s">
        <v>27</v>
      </c>
      <c r="B22">
        <v>2</v>
      </c>
      <c r="C22">
        <v>6</v>
      </c>
      <c r="D22">
        <v>0</v>
      </c>
      <c r="E22">
        <v>4</v>
      </c>
      <c r="F22">
        <v>5</v>
      </c>
      <c r="G22">
        <v>4</v>
      </c>
      <c r="H22">
        <v>1</v>
      </c>
      <c r="I22">
        <v>6</v>
      </c>
      <c r="J22">
        <v>3</v>
      </c>
      <c r="K22">
        <v>14</v>
      </c>
      <c r="L22">
        <v>3</v>
      </c>
      <c r="M22">
        <v>5</v>
      </c>
      <c r="N22">
        <v>53</v>
      </c>
      <c r="O22" s="2">
        <v>117452.24528301887</v>
      </c>
    </row>
    <row r="23" spans="1:15" x14ac:dyDescent="0.2">
      <c r="A23" t="s">
        <v>28</v>
      </c>
      <c r="B23">
        <v>10</v>
      </c>
      <c r="C23">
        <v>1</v>
      </c>
      <c r="D23">
        <v>5</v>
      </c>
      <c r="E23">
        <v>1</v>
      </c>
      <c r="F23">
        <v>0</v>
      </c>
      <c r="G23">
        <v>4</v>
      </c>
      <c r="H23">
        <v>7</v>
      </c>
      <c r="I23">
        <v>5</v>
      </c>
      <c r="J23">
        <v>1</v>
      </c>
      <c r="K23">
        <v>1</v>
      </c>
      <c r="L23">
        <v>0</v>
      </c>
      <c r="M23">
        <v>4</v>
      </c>
      <c r="N23">
        <v>39</v>
      </c>
      <c r="O23" s="2">
        <v>50553.846153846156</v>
      </c>
    </row>
    <row r="24" spans="1:15" x14ac:dyDescent="0.2">
      <c r="A24" t="s">
        <v>29</v>
      </c>
      <c r="B24">
        <v>3</v>
      </c>
      <c r="C24">
        <v>2</v>
      </c>
      <c r="D24">
        <v>0</v>
      </c>
      <c r="E24">
        <v>1</v>
      </c>
      <c r="F24">
        <v>0</v>
      </c>
      <c r="G24">
        <v>4</v>
      </c>
      <c r="H24">
        <v>1</v>
      </c>
      <c r="I24">
        <v>0</v>
      </c>
      <c r="J24">
        <v>3</v>
      </c>
      <c r="K24">
        <v>2</v>
      </c>
      <c r="L24">
        <v>0</v>
      </c>
      <c r="M24">
        <v>2</v>
      </c>
      <c r="N24">
        <v>18</v>
      </c>
      <c r="O24" s="2">
        <v>22652.277777777777</v>
      </c>
    </row>
    <row r="25" spans="1:15" x14ac:dyDescent="0.2">
      <c r="A25" t="s">
        <v>30</v>
      </c>
      <c r="B25">
        <v>4</v>
      </c>
      <c r="C25">
        <v>2</v>
      </c>
      <c r="D25">
        <v>5</v>
      </c>
      <c r="E25">
        <v>3</v>
      </c>
      <c r="F25">
        <v>1</v>
      </c>
      <c r="G25">
        <v>2</v>
      </c>
      <c r="H25">
        <v>1</v>
      </c>
      <c r="I25">
        <v>2</v>
      </c>
      <c r="J25">
        <v>3</v>
      </c>
      <c r="K25">
        <v>2</v>
      </c>
      <c r="L25">
        <v>4</v>
      </c>
      <c r="M25">
        <v>1</v>
      </c>
      <c r="N25">
        <v>30</v>
      </c>
      <c r="O25" s="2">
        <v>131349.9</v>
      </c>
    </row>
    <row r="26" spans="1:15" x14ac:dyDescent="0.2">
      <c r="A26" t="s">
        <v>32</v>
      </c>
      <c r="B26">
        <v>4</v>
      </c>
      <c r="C26">
        <v>2</v>
      </c>
      <c r="D26">
        <v>5</v>
      </c>
      <c r="E26">
        <v>1</v>
      </c>
      <c r="F26">
        <v>5</v>
      </c>
      <c r="G26">
        <v>4</v>
      </c>
      <c r="H26">
        <v>2</v>
      </c>
      <c r="I26">
        <v>2</v>
      </c>
      <c r="J26">
        <v>3</v>
      </c>
      <c r="K26">
        <v>3</v>
      </c>
      <c r="L26">
        <v>3</v>
      </c>
      <c r="M26">
        <v>4</v>
      </c>
      <c r="N26">
        <v>38</v>
      </c>
      <c r="O26" s="2">
        <v>41254.440789473687</v>
      </c>
    </row>
    <row r="27" spans="1:15" x14ac:dyDescent="0.2">
      <c r="A27" t="s">
        <v>33</v>
      </c>
      <c r="B27">
        <v>0</v>
      </c>
      <c r="C27">
        <v>0</v>
      </c>
      <c r="D27">
        <v>0</v>
      </c>
      <c r="E27">
        <v>1</v>
      </c>
      <c r="F27">
        <v>2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2</v>
      </c>
      <c r="N27">
        <v>6</v>
      </c>
      <c r="O27" s="2">
        <v>249316.66666666666</v>
      </c>
    </row>
    <row r="28" spans="1:15" x14ac:dyDescent="0.2">
      <c r="A28" t="s">
        <v>35</v>
      </c>
      <c r="B28">
        <v>3</v>
      </c>
      <c r="C28">
        <v>4</v>
      </c>
      <c r="D28">
        <v>2</v>
      </c>
      <c r="E28">
        <v>4</v>
      </c>
      <c r="F28">
        <v>4</v>
      </c>
      <c r="G28">
        <v>4</v>
      </c>
      <c r="H28">
        <v>5</v>
      </c>
      <c r="I28">
        <v>5</v>
      </c>
      <c r="J28">
        <v>2</v>
      </c>
      <c r="K28">
        <v>4</v>
      </c>
      <c r="L28">
        <v>2</v>
      </c>
      <c r="M28">
        <v>4</v>
      </c>
      <c r="N28">
        <v>43</v>
      </c>
      <c r="O28" s="2">
        <v>51705.924385191123</v>
      </c>
    </row>
    <row r="29" spans="1:15" x14ac:dyDescent="0.2">
      <c r="A29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 s="2">
        <v>950000</v>
      </c>
    </row>
    <row r="30" spans="1:15" x14ac:dyDescent="0.2">
      <c r="A30" t="s">
        <v>37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2</v>
      </c>
      <c r="O30" s="2">
        <v>135400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B5B6-405B-4898-8ABC-8317DDB29E5B}">
  <dimension ref="A1:O26"/>
  <sheetViews>
    <sheetView showGridLines="0" workbookViewId="0">
      <selection activeCell="G12" sqref="G12"/>
    </sheetView>
  </sheetViews>
  <sheetFormatPr baseColWidth="10" defaultRowHeight="15" x14ac:dyDescent="0.2"/>
  <cols>
    <col min="1" max="1" width="18" bestFit="1" customWidth="1"/>
    <col min="2" max="2" width="6.5" bestFit="1" customWidth="1"/>
    <col min="3" max="3" width="6.1640625" bestFit="1" customWidth="1"/>
    <col min="4" max="4" width="6.6640625" bestFit="1" customWidth="1"/>
    <col min="5" max="5" width="6.1640625" bestFit="1" customWidth="1"/>
    <col min="6" max="6" width="6.83203125" bestFit="1" customWidth="1"/>
    <col min="7" max="7" width="6.33203125" bestFit="1" customWidth="1"/>
    <col min="8" max="8" width="7" bestFit="1" customWidth="1"/>
    <col min="9" max="9" width="6.1640625" bestFit="1" customWidth="1"/>
    <col min="10" max="10" width="5.5" bestFit="1" customWidth="1"/>
    <col min="11" max="11" width="6.5" bestFit="1" customWidth="1"/>
    <col min="12" max="12" width="7.1640625" bestFit="1" customWidth="1"/>
    <col min="13" max="13" width="6.1640625" bestFit="1" customWidth="1"/>
    <col min="14" max="14" width="16.5" bestFit="1" customWidth="1"/>
    <col min="15" max="15" width="23.33203125" style="2" bestFit="1" customWidth="1"/>
  </cols>
  <sheetData>
    <row r="1" spans="1:15" x14ac:dyDescent="0.2">
      <c r="A1" s="7" t="s">
        <v>0</v>
      </c>
      <c r="B1" s="8">
        <v>45597</v>
      </c>
      <c r="C1" s="8">
        <v>45627</v>
      </c>
      <c r="D1" s="8">
        <v>45658</v>
      </c>
      <c r="E1" s="8">
        <v>45689</v>
      </c>
      <c r="F1" s="8">
        <v>45717</v>
      </c>
      <c r="G1" s="8">
        <v>45748</v>
      </c>
      <c r="H1" s="8">
        <v>45778</v>
      </c>
      <c r="I1" s="8">
        <v>45809</v>
      </c>
      <c r="J1" s="8">
        <v>45839</v>
      </c>
      <c r="K1" s="8">
        <v>45870</v>
      </c>
      <c r="L1" s="8">
        <v>45901</v>
      </c>
      <c r="M1" s="8">
        <v>45931</v>
      </c>
      <c r="N1" s="7" t="s">
        <v>1</v>
      </c>
      <c r="O1" s="9" t="s">
        <v>2</v>
      </c>
    </row>
    <row r="2" spans="1:15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2</v>
      </c>
      <c r="O2" s="2">
        <v>139000</v>
      </c>
    </row>
    <row r="3" spans="1:15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3</v>
      </c>
      <c r="L3">
        <v>0</v>
      </c>
      <c r="M3">
        <v>0</v>
      </c>
      <c r="N3">
        <v>5</v>
      </c>
      <c r="O3" s="2">
        <v>80300</v>
      </c>
    </row>
    <row r="4" spans="1:15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s="2">
        <v>73000</v>
      </c>
    </row>
    <row r="5" spans="1:15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 s="2">
        <v>142500</v>
      </c>
    </row>
    <row r="6" spans="1:15" x14ac:dyDescent="0.2">
      <c r="A6" t="s">
        <v>11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 s="2">
        <v>38000</v>
      </c>
    </row>
    <row r="7" spans="1:15" x14ac:dyDescent="0.2">
      <c r="A7" t="s">
        <v>12</v>
      </c>
      <c r="B7">
        <v>0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5</v>
      </c>
      <c r="O7" s="2">
        <v>122550</v>
      </c>
    </row>
    <row r="8" spans="1:15" x14ac:dyDescent="0.2">
      <c r="A8" t="s">
        <v>13</v>
      </c>
      <c r="B8">
        <v>0</v>
      </c>
      <c r="C8">
        <v>0</v>
      </c>
      <c r="D8">
        <v>2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2</v>
      </c>
      <c r="N8">
        <v>6</v>
      </c>
      <c r="O8" s="2">
        <v>159833.33333333334</v>
      </c>
    </row>
    <row r="9" spans="1:15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 s="2">
        <v>46000</v>
      </c>
    </row>
    <row r="10" spans="1:15" x14ac:dyDescent="0.2">
      <c r="A10" t="s">
        <v>15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3</v>
      </c>
      <c r="I10">
        <v>2</v>
      </c>
      <c r="J10">
        <v>0</v>
      </c>
      <c r="K10">
        <v>0</v>
      </c>
      <c r="L10">
        <v>2</v>
      </c>
      <c r="M10">
        <v>1</v>
      </c>
      <c r="N10">
        <v>10</v>
      </c>
      <c r="O10" s="2">
        <v>66300</v>
      </c>
    </row>
    <row r="11" spans="1:15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4</v>
      </c>
      <c r="O11" s="2">
        <v>159250</v>
      </c>
    </row>
    <row r="12" spans="1:15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s="2">
        <v>180000</v>
      </c>
    </row>
    <row r="13" spans="1:15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 s="2">
        <v>145000</v>
      </c>
    </row>
    <row r="14" spans="1:15" x14ac:dyDescent="0.2">
      <c r="A14" t="s">
        <v>19</v>
      </c>
      <c r="B14">
        <v>7</v>
      </c>
      <c r="C14">
        <v>4</v>
      </c>
      <c r="D14">
        <v>1</v>
      </c>
      <c r="E14">
        <v>0</v>
      </c>
      <c r="F14">
        <v>3</v>
      </c>
      <c r="G14">
        <v>4</v>
      </c>
      <c r="H14">
        <v>3</v>
      </c>
      <c r="I14">
        <v>2</v>
      </c>
      <c r="J14">
        <v>6</v>
      </c>
      <c r="K14">
        <v>4</v>
      </c>
      <c r="L14">
        <v>5</v>
      </c>
      <c r="M14">
        <v>5</v>
      </c>
      <c r="N14">
        <v>44</v>
      </c>
      <c r="O14" s="2">
        <v>94001.590909090912</v>
      </c>
    </row>
    <row r="15" spans="1:15" x14ac:dyDescent="0.2">
      <c r="A15" t="s">
        <v>20</v>
      </c>
      <c r="B15">
        <v>1</v>
      </c>
      <c r="C15">
        <v>2</v>
      </c>
      <c r="D15">
        <v>2</v>
      </c>
      <c r="E15">
        <v>0</v>
      </c>
      <c r="F15">
        <v>1</v>
      </c>
      <c r="G15">
        <v>2</v>
      </c>
      <c r="H15">
        <v>2</v>
      </c>
      <c r="I15">
        <v>2</v>
      </c>
      <c r="J15">
        <v>1</v>
      </c>
      <c r="K15">
        <v>3</v>
      </c>
      <c r="L15">
        <v>3</v>
      </c>
      <c r="M15">
        <v>3</v>
      </c>
      <c r="N15">
        <v>22</v>
      </c>
      <c r="O15" s="2">
        <v>112727.27272727272</v>
      </c>
    </row>
    <row r="16" spans="1:15" x14ac:dyDescent="0.2">
      <c r="A16" t="s">
        <v>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3</v>
      </c>
      <c r="O16" s="2">
        <v>145000</v>
      </c>
    </row>
    <row r="17" spans="1:15" x14ac:dyDescent="0.2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s="2">
        <v>50000</v>
      </c>
    </row>
    <row r="18" spans="1:15" x14ac:dyDescent="0.2">
      <c r="A18" t="s">
        <v>26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2</v>
      </c>
      <c r="K18">
        <v>0</v>
      </c>
      <c r="L18">
        <v>1</v>
      </c>
      <c r="M18">
        <v>0</v>
      </c>
      <c r="N18">
        <v>7</v>
      </c>
      <c r="O18" s="2">
        <v>103285.71428571429</v>
      </c>
    </row>
    <row r="19" spans="1:15" x14ac:dyDescent="0.2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 s="2">
        <v>80000</v>
      </c>
    </row>
    <row r="20" spans="1:15" x14ac:dyDescent="0.2">
      <c r="A20" t="s">
        <v>30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5</v>
      </c>
      <c r="O20" s="2">
        <v>109000</v>
      </c>
    </row>
    <row r="21" spans="1:15" x14ac:dyDescent="0.2">
      <c r="A21" t="s">
        <v>31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 s="2">
        <v>64000</v>
      </c>
    </row>
    <row r="22" spans="1:15" x14ac:dyDescent="0.2">
      <c r="A22" t="s">
        <v>33</v>
      </c>
      <c r="B22">
        <v>3</v>
      </c>
      <c r="C22">
        <v>2</v>
      </c>
      <c r="D22">
        <v>1</v>
      </c>
      <c r="E22">
        <v>1</v>
      </c>
      <c r="F22">
        <v>1</v>
      </c>
      <c r="G22">
        <v>2</v>
      </c>
      <c r="H22">
        <v>0</v>
      </c>
      <c r="I22">
        <v>1</v>
      </c>
      <c r="J22">
        <v>0</v>
      </c>
      <c r="K22">
        <v>2</v>
      </c>
      <c r="L22">
        <v>3</v>
      </c>
      <c r="M22">
        <v>3</v>
      </c>
      <c r="N22">
        <v>19</v>
      </c>
      <c r="O22" s="2">
        <v>114257.89473684211</v>
      </c>
    </row>
    <row r="23" spans="1:15" x14ac:dyDescent="0.2">
      <c r="A23" t="s">
        <v>34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2</v>
      </c>
      <c r="I23">
        <v>2</v>
      </c>
      <c r="J23">
        <v>0</v>
      </c>
      <c r="K23">
        <v>1</v>
      </c>
      <c r="L23">
        <v>2</v>
      </c>
      <c r="M23">
        <v>4</v>
      </c>
      <c r="N23">
        <v>13</v>
      </c>
      <c r="O23" s="2">
        <v>168153.84615384616</v>
      </c>
    </row>
    <row r="24" spans="1:15" x14ac:dyDescent="0.2">
      <c r="A24" t="s">
        <v>35</v>
      </c>
      <c r="B24">
        <v>1</v>
      </c>
      <c r="C24">
        <v>0</v>
      </c>
      <c r="D24">
        <v>2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2</v>
      </c>
      <c r="L24">
        <v>0</v>
      </c>
      <c r="M24">
        <v>1</v>
      </c>
      <c r="N24">
        <v>10</v>
      </c>
      <c r="O24" s="2">
        <v>114280</v>
      </c>
    </row>
    <row r="25" spans="1:15" x14ac:dyDescent="0.2">
      <c r="A25" t="s">
        <v>36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4</v>
      </c>
      <c r="O25" s="2">
        <v>127625</v>
      </c>
    </row>
    <row r="26" spans="1:15" x14ac:dyDescent="0.2">
      <c r="A26" t="s">
        <v>37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 s="2">
        <v>205000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6799-CFA0-492D-933E-8D5C03FBB550}">
  <dimension ref="A1:AC44"/>
  <sheetViews>
    <sheetView showGridLines="0" tabSelected="1" topLeftCell="I1" workbookViewId="0">
      <selection activeCell="O38" sqref="O2:O38"/>
    </sheetView>
  </sheetViews>
  <sheetFormatPr baseColWidth="10" defaultRowHeight="15" x14ac:dyDescent="0.2"/>
  <cols>
    <col min="1" max="1" width="18" bestFit="1" customWidth="1"/>
    <col min="2" max="2" width="6.5" bestFit="1" customWidth="1"/>
    <col min="3" max="3" width="6.1640625" bestFit="1" customWidth="1"/>
    <col min="4" max="4" width="6.6640625" bestFit="1" customWidth="1"/>
    <col min="5" max="5" width="6.1640625" bestFit="1" customWidth="1"/>
    <col min="6" max="6" width="6.83203125" bestFit="1" customWidth="1"/>
    <col min="7" max="7" width="6.33203125" bestFit="1" customWidth="1"/>
    <col min="8" max="8" width="7" bestFit="1" customWidth="1"/>
    <col min="9" max="9" width="6.1640625" bestFit="1" customWidth="1"/>
    <col min="10" max="10" width="5.5" bestFit="1" customWidth="1"/>
    <col min="11" max="11" width="6.5" bestFit="1" customWidth="1"/>
    <col min="12" max="12" width="7.1640625" bestFit="1" customWidth="1"/>
    <col min="13" max="13" width="6.1640625" bestFit="1" customWidth="1"/>
    <col min="14" max="14" width="16.5" bestFit="1" customWidth="1"/>
    <col min="15" max="15" width="22" bestFit="1" customWidth="1"/>
    <col min="17" max="29" width="15.5" customWidth="1"/>
  </cols>
  <sheetData>
    <row r="1" spans="1:29" x14ac:dyDescent="0.2">
      <c r="A1" s="7" t="s">
        <v>0</v>
      </c>
      <c r="B1" s="8">
        <v>45597</v>
      </c>
      <c r="C1" s="8">
        <v>45627</v>
      </c>
      <c r="D1" s="8">
        <v>45658</v>
      </c>
      <c r="E1" s="8">
        <v>45689</v>
      </c>
      <c r="F1" s="8">
        <v>45717</v>
      </c>
      <c r="G1" s="8">
        <v>45748</v>
      </c>
      <c r="H1" s="8">
        <v>45778</v>
      </c>
      <c r="I1" s="8">
        <v>45809</v>
      </c>
      <c r="J1" s="8">
        <v>45839</v>
      </c>
      <c r="K1" s="8">
        <v>45870</v>
      </c>
      <c r="L1" s="8">
        <v>45901</v>
      </c>
      <c r="M1" s="8">
        <v>45931</v>
      </c>
      <c r="N1" s="7" t="s">
        <v>1</v>
      </c>
      <c r="O1" s="7" t="s">
        <v>2</v>
      </c>
      <c r="Q1" s="13">
        <v>45597</v>
      </c>
      <c r="R1" s="13">
        <v>45627</v>
      </c>
      <c r="S1" s="13">
        <v>45658</v>
      </c>
      <c r="T1" s="13">
        <v>45689</v>
      </c>
      <c r="U1" s="13">
        <v>45717</v>
      </c>
      <c r="V1" s="13">
        <v>45748</v>
      </c>
      <c r="W1" s="13">
        <v>45778</v>
      </c>
      <c r="X1" s="13">
        <v>45809</v>
      </c>
      <c r="Y1" s="13">
        <v>45839</v>
      </c>
      <c r="Z1" s="13">
        <v>45870</v>
      </c>
      <c r="AA1" s="13">
        <v>45901</v>
      </c>
      <c r="AB1" s="13">
        <v>45931</v>
      </c>
      <c r="AC1" s="14" t="s">
        <v>1</v>
      </c>
    </row>
    <row r="2" spans="1:29" x14ac:dyDescent="0.2">
      <c r="A2" t="s">
        <v>3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I2">
        <v>2</v>
      </c>
      <c r="J2">
        <v>1</v>
      </c>
      <c r="K2">
        <v>3</v>
      </c>
      <c r="L2">
        <v>5</v>
      </c>
      <c r="M2">
        <v>2</v>
      </c>
      <c r="N2">
        <v>19</v>
      </c>
      <c r="O2" s="1">
        <v>162078.94736842104</v>
      </c>
      <c r="Q2" s="12">
        <f>$O2*B2</f>
        <v>162078.94736842104</v>
      </c>
      <c r="R2" s="12">
        <f t="shared" ref="R2:R38" si="0">$O2*C2</f>
        <v>162078.94736842104</v>
      </c>
      <c r="S2" s="12">
        <f t="shared" ref="S2:S38" si="1">$O2*D2</f>
        <v>162078.94736842104</v>
      </c>
      <c r="T2" s="12">
        <f t="shared" ref="T2:T38" si="2">$O2*E2</f>
        <v>0</v>
      </c>
      <c r="U2" s="12">
        <f t="shared" ref="U2:U38" si="3">$O2*F2</f>
        <v>324157.89473684208</v>
      </c>
      <c r="V2" s="12">
        <f t="shared" ref="V2:V38" si="4">$O2*G2</f>
        <v>0</v>
      </c>
      <c r="W2" s="12">
        <f t="shared" ref="W2:W38" si="5">$O2*H2</f>
        <v>162078.94736842104</v>
      </c>
      <c r="X2" s="12">
        <f t="shared" ref="X2:X38" si="6">$O2*I2</f>
        <v>324157.89473684208</v>
      </c>
      <c r="Y2" s="12">
        <f t="shared" ref="Y2:Y38" si="7">$O2*J2</f>
        <v>162078.94736842104</v>
      </c>
      <c r="Z2" s="12">
        <f t="shared" ref="Z2:Z38" si="8">$O2*K2</f>
        <v>486236.84210526315</v>
      </c>
      <c r="AA2" s="12">
        <f t="shared" ref="AA2:AA38" si="9">$O2*L2</f>
        <v>810394.73684210517</v>
      </c>
      <c r="AB2" s="12">
        <f t="shared" ref="AB2:AB38" si="10">$O2*M2</f>
        <v>324157.89473684208</v>
      </c>
      <c r="AC2" s="12">
        <f t="shared" ref="AC2:AC38" si="11">$O2*N2</f>
        <v>3079499.9999999995</v>
      </c>
    </row>
    <row r="3" spans="1:29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1</v>
      </c>
      <c r="M3">
        <v>3</v>
      </c>
      <c r="N3">
        <v>9</v>
      </c>
      <c r="O3" s="1">
        <v>107333.33333333333</v>
      </c>
      <c r="Q3" s="12">
        <f t="shared" ref="Q3:Q38" si="12">$O3*B3</f>
        <v>0</v>
      </c>
      <c r="R3" s="12">
        <f t="shared" si="0"/>
        <v>0</v>
      </c>
      <c r="S3" s="12">
        <f t="shared" si="1"/>
        <v>0</v>
      </c>
      <c r="T3" s="12">
        <f t="shared" si="2"/>
        <v>0</v>
      </c>
      <c r="U3" s="12">
        <f t="shared" si="3"/>
        <v>0</v>
      </c>
      <c r="V3" s="12">
        <f t="shared" si="4"/>
        <v>0</v>
      </c>
      <c r="W3" s="12">
        <f t="shared" si="5"/>
        <v>107333.33333333333</v>
      </c>
      <c r="X3" s="12">
        <f t="shared" si="6"/>
        <v>0</v>
      </c>
      <c r="Y3" s="12">
        <f t="shared" si="7"/>
        <v>322000</v>
      </c>
      <c r="Z3" s="12">
        <f t="shared" si="8"/>
        <v>107333.33333333333</v>
      </c>
      <c r="AA3" s="12">
        <f t="shared" si="9"/>
        <v>107333.33333333333</v>
      </c>
      <c r="AB3" s="12">
        <f t="shared" si="10"/>
        <v>322000</v>
      </c>
      <c r="AC3" s="12">
        <f t="shared" si="11"/>
        <v>966000</v>
      </c>
    </row>
    <row r="4" spans="1:29" x14ac:dyDescent="0.2">
      <c r="A4" t="s">
        <v>5</v>
      </c>
      <c r="B4">
        <v>2</v>
      </c>
      <c r="C4">
        <v>5</v>
      </c>
      <c r="D4">
        <v>1</v>
      </c>
      <c r="E4">
        <v>0</v>
      </c>
      <c r="F4">
        <v>6</v>
      </c>
      <c r="G4">
        <v>3</v>
      </c>
      <c r="H4">
        <v>6</v>
      </c>
      <c r="I4">
        <v>2</v>
      </c>
      <c r="J4">
        <v>5</v>
      </c>
      <c r="K4">
        <v>8</v>
      </c>
      <c r="L4">
        <v>3</v>
      </c>
      <c r="M4">
        <v>3</v>
      </c>
      <c r="N4">
        <v>44</v>
      </c>
      <c r="O4" s="1">
        <v>76220.454545454544</v>
      </c>
      <c r="Q4" s="12">
        <f t="shared" si="12"/>
        <v>152440.90909090909</v>
      </c>
      <c r="R4" s="12">
        <f t="shared" si="0"/>
        <v>381102.27272727271</v>
      </c>
      <c r="S4" s="12">
        <f t="shared" si="1"/>
        <v>76220.454545454544</v>
      </c>
      <c r="T4" s="12">
        <f t="shared" si="2"/>
        <v>0</v>
      </c>
      <c r="U4" s="12">
        <f t="shared" si="3"/>
        <v>457322.72727272729</v>
      </c>
      <c r="V4" s="12">
        <f t="shared" si="4"/>
        <v>228661.36363636365</v>
      </c>
      <c r="W4" s="12">
        <f t="shared" si="5"/>
        <v>457322.72727272729</v>
      </c>
      <c r="X4" s="12">
        <f t="shared" si="6"/>
        <v>152440.90909090909</v>
      </c>
      <c r="Y4" s="12">
        <f t="shared" si="7"/>
        <v>381102.27272727271</v>
      </c>
      <c r="Z4" s="12">
        <f t="shared" si="8"/>
        <v>609763.63636363635</v>
      </c>
      <c r="AA4" s="12">
        <f t="shared" si="9"/>
        <v>228661.36363636365</v>
      </c>
      <c r="AB4" s="12">
        <f t="shared" si="10"/>
        <v>228661.36363636365</v>
      </c>
      <c r="AC4" s="12">
        <f t="shared" si="11"/>
        <v>3353700</v>
      </c>
    </row>
    <row r="5" spans="1:29" x14ac:dyDescent="0.2">
      <c r="A5" t="s">
        <v>6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4</v>
      </c>
      <c r="L5">
        <v>2</v>
      </c>
      <c r="M5">
        <v>0</v>
      </c>
      <c r="N5">
        <v>9</v>
      </c>
      <c r="O5" s="1">
        <v>28342.382167774846</v>
      </c>
      <c r="Q5" s="12">
        <f t="shared" si="12"/>
        <v>0</v>
      </c>
      <c r="R5" s="12">
        <f t="shared" si="0"/>
        <v>28342.382167774846</v>
      </c>
      <c r="S5" s="12">
        <f t="shared" si="1"/>
        <v>28342.382167774846</v>
      </c>
      <c r="T5" s="12">
        <f t="shared" si="2"/>
        <v>0</v>
      </c>
      <c r="U5" s="12">
        <f t="shared" si="3"/>
        <v>0</v>
      </c>
      <c r="V5" s="12">
        <f t="shared" si="4"/>
        <v>28342.382167774846</v>
      </c>
      <c r="W5" s="12">
        <f t="shared" si="5"/>
        <v>0</v>
      </c>
      <c r="X5" s="12">
        <f t="shared" si="6"/>
        <v>0</v>
      </c>
      <c r="Y5" s="12">
        <f t="shared" si="7"/>
        <v>0</v>
      </c>
      <c r="Z5" s="12">
        <f t="shared" si="8"/>
        <v>113369.52867109938</v>
      </c>
      <c r="AA5" s="12">
        <f t="shared" si="9"/>
        <v>56684.764335549691</v>
      </c>
      <c r="AB5" s="12">
        <f t="shared" si="10"/>
        <v>0</v>
      </c>
      <c r="AC5" s="12">
        <f t="shared" si="11"/>
        <v>255081.4395099736</v>
      </c>
    </row>
    <row r="6" spans="1:29" x14ac:dyDescent="0.2">
      <c r="A6" s="4" t="s">
        <v>7</v>
      </c>
      <c r="B6" s="4">
        <v>0</v>
      </c>
      <c r="C6" s="4">
        <v>1</v>
      </c>
      <c r="D6" s="4">
        <v>2</v>
      </c>
      <c r="E6" s="4">
        <v>1</v>
      </c>
      <c r="F6" s="4">
        <v>1</v>
      </c>
      <c r="G6" s="4">
        <v>0</v>
      </c>
      <c r="H6" s="4">
        <v>0</v>
      </c>
      <c r="I6" s="4">
        <v>3</v>
      </c>
      <c r="J6" s="4">
        <v>0</v>
      </c>
      <c r="K6" s="4">
        <v>0</v>
      </c>
      <c r="L6" s="4">
        <v>1</v>
      </c>
      <c r="M6" s="4">
        <v>4</v>
      </c>
      <c r="N6" s="4">
        <v>13</v>
      </c>
      <c r="O6" s="6">
        <v>66653.846153846156</v>
      </c>
      <c r="Q6" s="12">
        <f t="shared" si="12"/>
        <v>0</v>
      </c>
      <c r="R6" s="12">
        <f t="shared" si="0"/>
        <v>66653.846153846156</v>
      </c>
      <c r="S6" s="12">
        <f t="shared" si="1"/>
        <v>133307.69230769231</v>
      </c>
      <c r="T6" s="12">
        <f t="shared" si="2"/>
        <v>66653.846153846156</v>
      </c>
      <c r="U6" s="12">
        <f t="shared" si="3"/>
        <v>66653.846153846156</v>
      </c>
      <c r="V6" s="12">
        <f t="shared" si="4"/>
        <v>0</v>
      </c>
      <c r="W6" s="12">
        <f t="shared" si="5"/>
        <v>0</v>
      </c>
      <c r="X6" s="12">
        <f t="shared" si="6"/>
        <v>199961.53846153847</v>
      </c>
      <c r="Y6" s="12">
        <f t="shared" si="7"/>
        <v>0</v>
      </c>
      <c r="Z6" s="12">
        <f t="shared" si="8"/>
        <v>0</v>
      </c>
      <c r="AA6" s="12">
        <f t="shared" si="9"/>
        <v>66653.846153846156</v>
      </c>
      <c r="AB6" s="12">
        <f t="shared" si="10"/>
        <v>266615.38461538462</v>
      </c>
      <c r="AC6" s="12">
        <f t="shared" si="11"/>
        <v>866500</v>
      </c>
    </row>
    <row r="7" spans="1:29" x14ac:dyDescent="0.2">
      <c r="A7" s="4" t="s">
        <v>39</v>
      </c>
      <c r="B7" s="4">
        <v>0</v>
      </c>
      <c r="C7" s="4">
        <v>0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1</v>
      </c>
      <c r="N7" s="4">
        <v>2</v>
      </c>
      <c r="O7" s="6">
        <v>130750</v>
      </c>
      <c r="Q7" s="12">
        <f t="shared" si="12"/>
        <v>0</v>
      </c>
      <c r="R7" s="12">
        <f t="shared" si="0"/>
        <v>0</v>
      </c>
      <c r="S7" s="12">
        <f t="shared" si="1"/>
        <v>0</v>
      </c>
      <c r="T7" s="12">
        <f t="shared" si="2"/>
        <v>0</v>
      </c>
      <c r="U7" s="12">
        <f t="shared" si="3"/>
        <v>130750</v>
      </c>
      <c r="V7" s="12">
        <f t="shared" si="4"/>
        <v>0</v>
      </c>
      <c r="W7" s="12">
        <f t="shared" si="5"/>
        <v>0</v>
      </c>
      <c r="X7" s="12">
        <f t="shared" si="6"/>
        <v>0</v>
      </c>
      <c r="Y7" s="12">
        <f t="shared" si="7"/>
        <v>0</v>
      </c>
      <c r="Z7" s="12">
        <f t="shared" si="8"/>
        <v>0</v>
      </c>
      <c r="AA7" s="12">
        <f t="shared" si="9"/>
        <v>0</v>
      </c>
      <c r="AB7" s="12">
        <f t="shared" si="10"/>
        <v>130750</v>
      </c>
      <c r="AC7" s="12">
        <f t="shared" si="11"/>
        <v>261500</v>
      </c>
    </row>
    <row r="8" spans="1:29" x14ac:dyDescent="0.2">
      <c r="A8" s="4" t="s">
        <v>8</v>
      </c>
      <c r="B8" s="4">
        <v>0</v>
      </c>
      <c r="C8" s="4">
        <v>2</v>
      </c>
      <c r="D8" s="4">
        <v>3</v>
      </c>
      <c r="E8" s="4">
        <v>1</v>
      </c>
      <c r="F8" s="4">
        <v>3</v>
      </c>
      <c r="G8" s="4">
        <v>3</v>
      </c>
      <c r="H8" s="4">
        <v>2</v>
      </c>
      <c r="I8" s="4">
        <v>1</v>
      </c>
      <c r="J8" s="4">
        <v>3</v>
      </c>
      <c r="K8" s="4">
        <v>3</v>
      </c>
      <c r="L8" s="4">
        <v>0</v>
      </c>
      <c r="M8" s="4">
        <v>2</v>
      </c>
      <c r="N8" s="4">
        <v>23</v>
      </c>
      <c r="O8" s="6">
        <v>233117.39130434784</v>
      </c>
      <c r="Q8" s="12">
        <f t="shared" si="12"/>
        <v>0</v>
      </c>
      <c r="R8" s="12">
        <f t="shared" si="0"/>
        <v>466234.78260869568</v>
      </c>
      <c r="S8" s="12">
        <f t="shared" si="1"/>
        <v>699352.17391304346</v>
      </c>
      <c r="T8" s="12">
        <f t="shared" si="2"/>
        <v>233117.39130434784</v>
      </c>
      <c r="U8" s="12">
        <f t="shared" si="3"/>
        <v>699352.17391304346</v>
      </c>
      <c r="V8" s="12">
        <f t="shared" si="4"/>
        <v>699352.17391304346</v>
      </c>
      <c r="W8" s="12">
        <f t="shared" si="5"/>
        <v>466234.78260869568</v>
      </c>
      <c r="X8" s="12">
        <f t="shared" si="6"/>
        <v>233117.39130434784</v>
      </c>
      <c r="Y8" s="12">
        <f t="shared" si="7"/>
        <v>699352.17391304346</v>
      </c>
      <c r="Z8" s="12">
        <f t="shared" si="8"/>
        <v>699352.17391304346</v>
      </c>
      <c r="AA8" s="12">
        <f t="shared" si="9"/>
        <v>0</v>
      </c>
      <c r="AB8" s="12">
        <f t="shared" si="10"/>
        <v>466234.78260869568</v>
      </c>
      <c r="AC8" s="12">
        <f t="shared" si="11"/>
        <v>5361700</v>
      </c>
    </row>
    <row r="9" spans="1:29" x14ac:dyDescent="0.2">
      <c r="A9" s="4" t="s">
        <v>9</v>
      </c>
      <c r="B9" s="4">
        <v>2</v>
      </c>
      <c r="C9" s="4">
        <v>9</v>
      </c>
      <c r="D9" s="4">
        <v>2</v>
      </c>
      <c r="E9" s="4">
        <v>4</v>
      </c>
      <c r="F9" s="4">
        <v>2</v>
      </c>
      <c r="G9" s="4">
        <v>8</v>
      </c>
      <c r="H9" s="4">
        <v>3</v>
      </c>
      <c r="I9" s="4">
        <v>14</v>
      </c>
      <c r="J9" s="4">
        <v>9</v>
      </c>
      <c r="K9" s="4">
        <v>1</v>
      </c>
      <c r="L9" s="4">
        <v>3</v>
      </c>
      <c r="M9" s="4">
        <v>7</v>
      </c>
      <c r="N9" s="4">
        <v>64</v>
      </c>
      <c r="O9" s="6">
        <v>90279.867381198346</v>
      </c>
      <c r="Q9" s="12">
        <f t="shared" si="12"/>
        <v>180559.73476239669</v>
      </c>
      <c r="R9" s="12">
        <f t="shared" si="0"/>
        <v>812518.8064307851</v>
      </c>
      <c r="S9" s="12">
        <f t="shared" si="1"/>
        <v>180559.73476239669</v>
      </c>
      <c r="T9" s="12">
        <f t="shared" si="2"/>
        <v>361119.46952479339</v>
      </c>
      <c r="U9" s="12">
        <f t="shared" si="3"/>
        <v>180559.73476239669</v>
      </c>
      <c r="V9" s="12">
        <f t="shared" si="4"/>
        <v>722238.93904958677</v>
      </c>
      <c r="W9" s="12">
        <f t="shared" si="5"/>
        <v>270839.60214359505</v>
      </c>
      <c r="X9" s="12">
        <f t="shared" si="6"/>
        <v>1263918.1433367769</v>
      </c>
      <c r="Y9" s="12">
        <f t="shared" si="7"/>
        <v>812518.8064307851</v>
      </c>
      <c r="Z9" s="12">
        <f t="shared" si="8"/>
        <v>90279.867381198346</v>
      </c>
      <c r="AA9" s="12">
        <f t="shared" si="9"/>
        <v>270839.60214359505</v>
      </c>
      <c r="AB9" s="12">
        <f t="shared" si="10"/>
        <v>631959.07166838844</v>
      </c>
      <c r="AC9" s="12">
        <f t="shared" si="11"/>
        <v>5777911.5123966942</v>
      </c>
    </row>
    <row r="10" spans="1:29" x14ac:dyDescent="0.2">
      <c r="A10" s="4" t="s">
        <v>10</v>
      </c>
      <c r="B10" s="4">
        <v>2</v>
      </c>
      <c r="C10" s="4">
        <v>1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4">
        <v>2</v>
      </c>
      <c r="K10" s="4">
        <v>0</v>
      </c>
      <c r="L10" s="4">
        <v>0</v>
      </c>
      <c r="M10" s="4">
        <v>1</v>
      </c>
      <c r="N10" s="4">
        <v>8</v>
      </c>
      <c r="O10" s="6">
        <v>383500</v>
      </c>
      <c r="Q10" s="12">
        <f t="shared" si="12"/>
        <v>767000</v>
      </c>
      <c r="R10" s="12">
        <f t="shared" si="0"/>
        <v>383500</v>
      </c>
      <c r="S10" s="12">
        <f t="shared" si="1"/>
        <v>0</v>
      </c>
      <c r="T10" s="12">
        <f t="shared" si="2"/>
        <v>0</v>
      </c>
      <c r="U10" s="12">
        <f t="shared" si="3"/>
        <v>0</v>
      </c>
      <c r="V10" s="12">
        <f t="shared" si="4"/>
        <v>767000</v>
      </c>
      <c r="W10" s="12">
        <f t="shared" si="5"/>
        <v>0</v>
      </c>
      <c r="X10" s="12">
        <f t="shared" si="6"/>
        <v>0</v>
      </c>
      <c r="Y10" s="12">
        <f t="shared" si="7"/>
        <v>767000</v>
      </c>
      <c r="Z10" s="12">
        <f t="shared" si="8"/>
        <v>0</v>
      </c>
      <c r="AA10" s="12">
        <f t="shared" si="9"/>
        <v>0</v>
      </c>
      <c r="AB10" s="12">
        <f t="shared" si="10"/>
        <v>383500</v>
      </c>
      <c r="AC10" s="12">
        <f t="shared" si="11"/>
        <v>3068000</v>
      </c>
    </row>
    <row r="11" spans="1:29" x14ac:dyDescent="0.2">
      <c r="A11" s="4" t="s">
        <v>11</v>
      </c>
      <c r="B11" s="4">
        <v>7</v>
      </c>
      <c r="C11" s="4">
        <v>8</v>
      </c>
      <c r="D11" s="4">
        <v>5</v>
      </c>
      <c r="E11" s="4">
        <v>3</v>
      </c>
      <c r="F11" s="4">
        <v>2</v>
      </c>
      <c r="G11" s="4">
        <v>9</v>
      </c>
      <c r="H11" s="4">
        <v>5</v>
      </c>
      <c r="I11" s="4">
        <v>5</v>
      </c>
      <c r="J11" s="4">
        <v>9</v>
      </c>
      <c r="K11" s="4">
        <v>12</v>
      </c>
      <c r="L11" s="4">
        <v>7</v>
      </c>
      <c r="M11" s="4">
        <v>11</v>
      </c>
      <c r="N11" s="4">
        <v>83</v>
      </c>
      <c r="O11" s="6">
        <v>74505.582294844615</v>
      </c>
      <c r="Q11" s="12">
        <f t="shared" si="12"/>
        <v>521539.0760639123</v>
      </c>
      <c r="R11" s="12">
        <f t="shared" si="0"/>
        <v>596044.65835875692</v>
      </c>
      <c r="S11" s="12">
        <f t="shared" si="1"/>
        <v>372527.91147422307</v>
      </c>
      <c r="T11" s="12">
        <f t="shared" si="2"/>
        <v>223516.74688453384</v>
      </c>
      <c r="U11" s="12">
        <f t="shared" si="3"/>
        <v>149011.16458968923</v>
      </c>
      <c r="V11" s="12">
        <f t="shared" si="4"/>
        <v>670550.24065360148</v>
      </c>
      <c r="W11" s="12">
        <f t="shared" si="5"/>
        <v>372527.91147422307</v>
      </c>
      <c r="X11" s="12">
        <f t="shared" si="6"/>
        <v>372527.91147422307</v>
      </c>
      <c r="Y11" s="12">
        <f t="shared" si="7"/>
        <v>670550.24065360148</v>
      </c>
      <c r="Z11" s="12">
        <f t="shared" si="8"/>
        <v>894066.98753813538</v>
      </c>
      <c r="AA11" s="12">
        <f t="shared" si="9"/>
        <v>521539.0760639123</v>
      </c>
      <c r="AB11" s="12">
        <f t="shared" si="10"/>
        <v>819561.40524329082</v>
      </c>
      <c r="AC11" s="12">
        <f t="shared" si="11"/>
        <v>6183963.3304721033</v>
      </c>
    </row>
    <row r="12" spans="1:29" x14ac:dyDescent="0.2">
      <c r="A12" s="4" t="s">
        <v>12</v>
      </c>
      <c r="B12" s="4">
        <v>3</v>
      </c>
      <c r="C12" s="4">
        <v>6</v>
      </c>
      <c r="D12" s="4">
        <v>2</v>
      </c>
      <c r="E12" s="4">
        <v>2</v>
      </c>
      <c r="F12" s="4">
        <v>3</v>
      </c>
      <c r="G12" s="4">
        <v>2</v>
      </c>
      <c r="H12" s="4">
        <v>2</v>
      </c>
      <c r="I12" s="4">
        <v>3</v>
      </c>
      <c r="J12" s="4">
        <v>2</v>
      </c>
      <c r="K12" s="4">
        <v>3</v>
      </c>
      <c r="L12" s="4">
        <v>4</v>
      </c>
      <c r="M12" s="4">
        <v>2</v>
      </c>
      <c r="N12" s="4">
        <v>34</v>
      </c>
      <c r="O12" s="6">
        <v>86051.470588235301</v>
      </c>
      <c r="Q12" s="12">
        <f t="shared" si="12"/>
        <v>258154.4117647059</v>
      </c>
      <c r="R12" s="12">
        <f t="shared" si="0"/>
        <v>516308.82352941181</v>
      </c>
      <c r="S12" s="12">
        <f t="shared" si="1"/>
        <v>172102.9411764706</v>
      </c>
      <c r="T12" s="12">
        <f t="shared" si="2"/>
        <v>172102.9411764706</v>
      </c>
      <c r="U12" s="12">
        <f t="shared" si="3"/>
        <v>258154.4117647059</v>
      </c>
      <c r="V12" s="12">
        <f t="shared" si="4"/>
        <v>172102.9411764706</v>
      </c>
      <c r="W12" s="12">
        <f t="shared" si="5"/>
        <v>172102.9411764706</v>
      </c>
      <c r="X12" s="12">
        <f t="shared" si="6"/>
        <v>258154.4117647059</v>
      </c>
      <c r="Y12" s="12">
        <f t="shared" si="7"/>
        <v>172102.9411764706</v>
      </c>
      <c r="Z12" s="12">
        <f t="shared" si="8"/>
        <v>258154.4117647059</v>
      </c>
      <c r="AA12" s="12">
        <f t="shared" si="9"/>
        <v>344205.8823529412</v>
      </c>
      <c r="AB12" s="12">
        <f t="shared" si="10"/>
        <v>172102.9411764706</v>
      </c>
      <c r="AC12" s="12">
        <f t="shared" si="11"/>
        <v>2925750</v>
      </c>
    </row>
    <row r="13" spans="1:29" x14ac:dyDescent="0.2">
      <c r="A13" s="4" t="s">
        <v>13</v>
      </c>
      <c r="B13" s="4">
        <v>7</v>
      </c>
      <c r="C13" s="4">
        <v>16</v>
      </c>
      <c r="D13" s="4">
        <v>6</v>
      </c>
      <c r="E13" s="4">
        <v>4</v>
      </c>
      <c r="F13" s="4">
        <v>6</v>
      </c>
      <c r="G13" s="4">
        <v>6</v>
      </c>
      <c r="H13" s="4">
        <v>8</v>
      </c>
      <c r="I13" s="4">
        <v>7</v>
      </c>
      <c r="J13" s="4">
        <v>12</v>
      </c>
      <c r="K13" s="4">
        <v>10</v>
      </c>
      <c r="L13" s="4">
        <v>14</v>
      </c>
      <c r="M13" s="4">
        <v>18</v>
      </c>
      <c r="N13" s="4">
        <v>114</v>
      </c>
      <c r="O13" s="6">
        <v>135524.47368421053</v>
      </c>
      <c r="Q13" s="12">
        <f t="shared" si="12"/>
        <v>948671.31578947371</v>
      </c>
      <c r="R13" s="12">
        <f t="shared" si="0"/>
        <v>2168391.5789473685</v>
      </c>
      <c r="S13" s="12">
        <f t="shared" si="1"/>
        <v>813146.84210526315</v>
      </c>
      <c r="T13" s="12">
        <f t="shared" si="2"/>
        <v>542097.89473684214</v>
      </c>
      <c r="U13" s="12">
        <f t="shared" si="3"/>
        <v>813146.84210526315</v>
      </c>
      <c r="V13" s="12">
        <f t="shared" si="4"/>
        <v>813146.84210526315</v>
      </c>
      <c r="W13" s="12">
        <f t="shared" si="5"/>
        <v>1084195.7894736843</v>
      </c>
      <c r="X13" s="12">
        <f t="shared" si="6"/>
        <v>948671.31578947371</v>
      </c>
      <c r="Y13" s="12">
        <f t="shared" si="7"/>
        <v>1626293.6842105263</v>
      </c>
      <c r="Z13" s="12">
        <f t="shared" si="8"/>
        <v>1355244.7368421054</v>
      </c>
      <c r="AA13" s="12">
        <f t="shared" si="9"/>
        <v>1897342.6315789474</v>
      </c>
      <c r="AB13" s="12">
        <f t="shared" si="10"/>
        <v>2439440.5263157897</v>
      </c>
      <c r="AC13" s="12">
        <f t="shared" si="11"/>
        <v>15449790</v>
      </c>
    </row>
    <row r="14" spans="1:29" x14ac:dyDescent="0.2">
      <c r="A14" s="4" t="s">
        <v>14</v>
      </c>
      <c r="B14" s="4">
        <v>0</v>
      </c>
      <c r="C14" s="4">
        <v>5</v>
      </c>
      <c r="D14" s="4">
        <v>0</v>
      </c>
      <c r="E14" s="4">
        <v>2</v>
      </c>
      <c r="F14" s="4">
        <v>5</v>
      </c>
      <c r="G14" s="4">
        <v>1</v>
      </c>
      <c r="H14" s="4">
        <v>1</v>
      </c>
      <c r="I14" s="4">
        <v>7</v>
      </c>
      <c r="J14" s="4">
        <v>5</v>
      </c>
      <c r="K14" s="4">
        <v>6</v>
      </c>
      <c r="L14" s="4">
        <v>4</v>
      </c>
      <c r="M14" s="4">
        <v>8</v>
      </c>
      <c r="N14" s="4">
        <v>44</v>
      </c>
      <c r="O14" s="6">
        <v>136181.81818181818</v>
      </c>
      <c r="Q14" s="12">
        <f t="shared" si="12"/>
        <v>0</v>
      </c>
      <c r="R14" s="12">
        <f t="shared" si="0"/>
        <v>680909.09090909082</v>
      </c>
      <c r="S14" s="12">
        <f t="shared" si="1"/>
        <v>0</v>
      </c>
      <c r="T14" s="12">
        <f t="shared" si="2"/>
        <v>272363.63636363635</v>
      </c>
      <c r="U14" s="12">
        <f t="shared" si="3"/>
        <v>680909.09090909082</v>
      </c>
      <c r="V14" s="12">
        <f t="shared" si="4"/>
        <v>136181.81818181818</v>
      </c>
      <c r="W14" s="12">
        <f t="shared" si="5"/>
        <v>136181.81818181818</v>
      </c>
      <c r="X14" s="12">
        <f t="shared" si="6"/>
        <v>953272.72727272729</v>
      </c>
      <c r="Y14" s="12">
        <f t="shared" si="7"/>
        <v>680909.09090909082</v>
      </c>
      <c r="Z14" s="12">
        <f t="shared" si="8"/>
        <v>817090.90909090906</v>
      </c>
      <c r="AA14" s="12">
        <f t="shared" si="9"/>
        <v>544727.27272727271</v>
      </c>
      <c r="AB14" s="12">
        <f t="shared" si="10"/>
        <v>1089454.5454545454</v>
      </c>
      <c r="AC14" s="12">
        <f t="shared" si="11"/>
        <v>5992000</v>
      </c>
    </row>
    <row r="15" spans="1:29" x14ac:dyDescent="0.2">
      <c r="A15" s="4" t="s">
        <v>15</v>
      </c>
      <c r="B15" s="4">
        <v>9</v>
      </c>
      <c r="C15" s="4">
        <v>10</v>
      </c>
      <c r="D15" s="4">
        <v>5</v>
      </c>
      <c r="E15" s="4">
        <v>7</v>
      </c>
      <c r="F15" s="4">
        <v>4</v>
      </c>
      <c r="G15" s="4">
        <v>5</v>
      </c>
      <c r="H15" s="4">
        <v>12</v>
      </c>
      <c r="I15" s="4">
        <v>8</v>
      </c>
      <c r="J15" s="4">
        <v>13</v>
      </c>
      <c r="K15" s="4">
        <v>11</v>
      </c>
      <c r="L15" s="4">
        <v>9</v>
      </c>
      <c r="M15" s="4">
        <v>6</v>
      </c>
      <c r="N15" s="4">
        <v>99</v>
      </c>
      <c r="O15" s="6">
        <v>71418.216922072432</v>
      </c>
      <c r="Q15" s="12">
        <f t="shared" si="12"/>
        <v>642763.95229865192</v>
      </c>
      <c r="R15" s="12">
        <f t="shared" si="0"/>
        <v>714182.16922072438</v>
      </c>
      <c r="S15" s="12">
        <f t="shared" si="1"/>
        <v>357091.08461036219</v>
      </c>
      <c r="T15" s="12">
        <f t="shared" si="2"/>
        <v>499927.51845450699</v>
      </c>
      <c r="U15" s="12">
        <f t="shared" si="3"/>
        <v>285672.86768828973</v>
      </c>
      <c r="V15" s="12">
        <f t="shared" si="4"/>
        <v>357091.08461036219</v>
      </c>
      <c r="W15" s="12">
        <f t="shared" si="5"/>
        <v>857018.60306486918</v>
      </c>
      <c r="X15" s="12">
        <f t="shared" si="6"/>
        <v>571345.73537657945</v>
      </c>
      <c r="Y15" s="12">
        <f t="shared" si="7"/>
        <v>928436.81998694164</v>
      </c>
      <c r="Z15" s="12">
        <f t="shared" si="8"/>
        <v>785600.38614279672</v>
      </c>
      <c r="AA15" s="12">
        <f t="shared" si="9"/>
        <v>642763.95229865192</v>
      </c>
      <c r="AB15" s="12">
        <f t="shared" si="10"/>
        <v>428509.30153243459</v>
      </c>
      <c r="AC15" s="12">
        <f t="shared" si="11"/>
        <v>7070403.4752851706</v>
      </c>
    </row>
    <row r="16" spans="1:29" x14ac:dyDescent="0.2">
      <c r="A16" s="4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1</v>
      </c>
      <c r="G16" s="4">
        <v>7</v>
      </c>
      <c r="H16" s="4">
        <v>11</v>
      </c>
      <c r="I16" s="4">
        <v>8</v>
      </c>
      <c r="J16" s="4">
        <v>8</v>
      </c>
      <c r="K16" s="4">
        <v>9</v>
      </c>
      <c r="L16" s="4">
        <v>1</v>
      </c>
      <c r="M16" s="4">
        <v>6</v>
      </c>
      <c r="N16" s="4">
        <v>51</v>
      </c>
      <c r="O16" s="6">
        <v>193440.58823529413</v>
      </c>
      <c r="Q16" s="12">
        <f t="shared" si="12"/>
        <v>0</v>
      </c>
      <c r="R16" s="12">
        <f t="shared" si="0"/>
        <v>0</v>
      </c>
      <c r="S16" s="12">
        <f t="shared" si="1"/>
        <v>0</v>
      </c>
      <c r="T16" s="12">
        <f t="shared" si="2"/>
        <v>0</v>
      </c>
      <c r="U16" s="12">
        <f t="shared" si="3"/>
        <v>193440.58823529413</v>
      </c>
      <c r="V16" s="12">
        <f t="shared" si="4"/>
        <v>1354084.1176470588</v>
      </c>
      <c r="W16" s="12">
        <f t="shared" si="5"/>
        <v>2127846.4705882352</v>
      </c>
      <c r="X16" s="12">
        <f t="shared" si="6"/>
        <v>1547524.705882353</v>
      </c>
      <c r="Y16" s="12">
        <f t="shared" si="7"/>
        <v>1547524.705882353</v>
      </c>
      <c r="Z16" s="12">
        <f t="shared" si="8"/>
        <v>1740965.2941176472</v>
      </c>
      <c r="AA16" s="12">
        <f t="shared" si="9"/>
        <v>193440.58823529413</v>
      </c>
      <c r="AB16" s="12">
        <f t="shared" si="10"/>
        <v>1160643.5294117648</v>
      </c>
      <c r="AC16" s="12">
        <f t="shared" si="11"/>
        <v>9865470</v>
      </c>
    </row>
    <row r="17" spans="1:29" x14ac:dyDescent="0.2">
      <c r="A17" s="4" t="s">
        <v>17</v>
      </c>
      <c r="B17" s="4">
        <v>7</v>
      </c>
      <c r="C17" s="4">
        <v>2</v>
      </c>
      <c r="D17" s="4">
        <v>3</v>
      </c>
      <c r="E17" s="4">
        <v>2</v>
      </c>
      <c r="F17" s="4">
        <v>1</v>
      </c>
      <c r="G17" s="4">
        <v>7</v>
      </c>
      <c r="H17" s="4">
        <v>2</v>
      </c>
      <c r="I17" s="4">
        <v>0</v>
      </c>
      <c r="J17" s="4">
        <v>4</v>
      </c>
      <c r="K17" s="4">
        <v>2</v>
      </c>
      <c r="L17" s="4">
        <v>5</v>
      </c>
      <c r="M17" s="4">
        <v>4</v>
      </c>
      <c r="N17" s="4">
        <v>39</v>
      </c>
      <c r="O17" s="6">
        <v>148907.33333333334</v>
      </c>
      <c r="Q17" s="12">
        <f t="shared" si="12"/>
        <v>1042351.3333333334</v>
      </c>
      <c r="R17" s="12">
        <f t="shared" si="0"/>
        <v>297814.66666666669</v>
      </c>
      <c r="S17" s="12">
        <f t="shared" si="1"/>
        <v>446722</v>
      </c>
      <c r="T17" s="12">
        <f t="shared" si="2"/>
        <v>297814.66666666669</v>
      </c>
      <c r="U17" s="12">
        <f t="shared" si="3"/>
        <v>148907.33333333334</v>
      </c>
      <c r="V17" s="12">
        <f t="shared" si="4"/>
        <v>1042351.3333333334</v>
      </c>
      <c r="W17" s="12">
        <f t="shared" si="5"/>
        <v>297814.66666666669</v>
      </c>
      <c r="X17" s="12">
        <f t="shared" si="6"/>
        <v>0</v>
      </c>
      <c r="Y17" s="12">
        <f t="shared" si="7"/>
        <v>595629.33333333337</v>
      </c>
      <c r="Z17" s="12">
        <f t="shared" si="8"/>
        <v>297814.66666666669</v>
      </c>
      <c r="AA17" s="12">
        <f t="shared" si="9"/>
        <v>744536.66666666674</v>
      </c>
      <c r="AB17" s="12">
        <f t="shared" si="10"/>
        <v>595629.33333333337</v>
      </c>
      <c r="AC17" s="12">
        <f t="shared" si="11"/>
        <v>5807386</v>
      </c>
    </row>
    <row r="18" spans="1:29" x14ac:dyDescent="0.2">
      <c r="A18" s="4" t="s">
        <v>18</v>
      </c>
      <c r="B18" s="4">
        <v>2</v>
      </c>
      <c r="C18" s="4">
        <v>0</v>
      </c>
      <c r="D18" s="4">
        <v>0</v>
      </c>
      <c r="E18" s="4">
        <v>0</v>
      </c>
      <c r="F18" s="4">
        <v>0</v>
      </c>
      <c r="G18" s="4">
        <v>2</v>
      </c>
      <c r="H18" s="4">
        <v>0</v>
      </c>
      <c r="I18" s="4">
        <v>1</v>
      </c>
      <c r="J18" s="4">
        <v>2</v>
      </c>
      <c r="K18" s="4">
        <v>4</v>
      </c>
      <c r="L18" s="4">
        <v>1</v>
      </c>
      <c r="M18" s="4">
        <v>1</v>
      </c>
      <c r="N18" s="4">
        <v>13</v>
      </c>
      <c r="O18" s="6">
        <v>112115.38461538461</v>
      </c>
      <c r="Q18" s="12">
        <f t="shared" si="12"/>
        <v>224230.76923076922</v>
      </c>
      <c r="R18" s="12">
        <f t="shared" si="0"/>
        <v>0</v>
      </c>
      <c r="S18" s="12">
        <f t="shared" si="1"/>
        <v>0</v>
      </c>
      <c r="T18" s="12">
        <f t="shared" si="2"/>
        <v>0</v>
      </c>
      <c r="U18" s="12">
        <f t="shared" si="3"/>
        <v>0</v>
      </c>
      <c r="V18" s="12">
        <f t="shared" si="4"/>
        <v>224230.76923076922</v>
      </c>
      <c r="W18" s="12">
        <f t="shared" si="5"/>
        <v>0</v>
      </c>
      <c r="X18" s="12">
        <f t="shared" si="6"/>
        <v>112115.38461538461</v>
      </c>
      <c r="Y18" s="12">
        <f t="shared" si="7"/>
        <v>224230.76923076922</v>
      </c>
      <c r="Z18" s="12">
        <f t="shared" si="8"/>
        <v>448461.53846153844</v>
      </c>
      <c r="AA18" s="12">
        <f t="shared" si="9"/>
        <v>112115.38461538461</v>
      </c>
      <c r="AB18" s="12">
        <f t="shared" si="10"/>
        <v>112115.38461538461</v>
      </c>
      <c r="AC18" s="12">
        <f t="shared" si="11"/>
        <v>1457500</v>
      </c>
    </row>
    <row r="19" spans="1:29" x14ac:dyDescent="0.2">
      <c r="A19" s="4" t="s">
        <v>19</v>
      </c>
      <c r="B19" s="4">
        <v>20</v>
      </c>
      <c r="C19" s="4">
        <v>23</v>
      </c>
      <c r="D19" s="4">
        <v>21</v>
      </c>
      <c r="E19" s="4">
        <v>12</v>
      </c>
      <c r="F19" s="4">
        <v>16</v>
      </c>
      <c r="G19" s="4">
        <v>21</v>
      </c>
      <c r="H19" s="4">
        <v>22</v>
      </c>
      <c r="I19" s="4">
        <v>20</v>
      </c>
      <c r="J19" s="4">
        <v>24</v>
      </c>
      <c r="K19" s="4">
        <v>21</v>
      </c>
      <c r="L19" s="4">
        <v>21</v>
      </c>
      <c r="M19" s="4">
        <v>31</v>
      </c>
      <c r="N19" s="4">
        <v>252</v>
      </c>
      <c r="O19" s="6">
        <v>105634.72222222222</v>
      </c>
      <c r="Q19" s="12">
        <f t="shared" si="12"/>
        <v>2112694.4444444445</v>
      </c>
      <c r="R19" s="12">
        <f t="shared" si="0"/>
        <v>2429598.611111111</v>
      </c>
      <c r="S19" s="12">
        <f t="shared" si="1"/>
        <v>2218329.1666666665</v>
      </c>
      <c r="T19" s="12">
        <f t="shared" si="2"/>
        <v>1267616.6666666665</v>
      </c>
      <c r="U19" s="12">
        <f t="shared" si="3"/>
        <v>1690155.5555555555</v>
      </c>
      <c r="V19" s="12">
        <f t="shared" si="4"/>
        <v>2218329.1666666665</v>
      </c>
      <c r="W19" s="12">
        <f t="shared" si="5"/>
        <v>2323963.888888889</v>
      </c>
      <c r="X19" s="12">
        <f t="shared" si="6"/>
        <v>2112694.4444444445</v>
      </c>
      <c r="Y19" s="12">
        <f t="shared" si="7"/>
        <v>2535233.333333333</v>
      </c>
      <c r="Z19" s="12">
        <f t="shared" si="8"/>
        <v>2218329.1666666665</v>
      </c>
      <c r="AA19" s="12">
        <f t="shared" si="9"/>
        <v>2218329.1666666665</v>
      </c>
      <c r="AB19" s="12">
        <f t="shared" si="10"/>
        <v>3274676.388888889</v>
      </c>
      <c r="AC19" s="12">
        <f t="shared" si="11"/>
        <v>26619950</v>
      </c>
    </row>
    <row r="20" spans="1:29" x14ac:dyDescent="0.2">
      <c r="A20" s="4" t="s">
        <v>20</v>
      </c>
      <c r="B20" s="4">
        <v>3</v>
      </c>
      <c r="C20" s="4">
        <v>11</v>
      </c>
      <c r="D20" s="4">
        <v>5</v>
      </c>
      <c r="E20" s="4">
        <v>3</v>
      </c>
      <c r="F20" s="4">
        <v>9</v>
      </c>
      <c r="G20" s="4">
        <v>12</v>
      </c>
      <c r="H20" s="4">
        <v>9</v>
      </c>
      <c r="I20" s="4">
        <v>8</v>
      </c>
      <c r="J20" s="4">
        <v>9</v>
      </c>
      <c r="K20" s="4">
        <v>7</v>
      </c>
      <c r="L20" s="4">
        <v>12</v>
      </c>
      <c r="M20" s="4">
        <v>12</v>
      </c>
      <c r="N20" s="4">
        <v>100</v>
      </c>
      <c r="O20" s="6">
        <v>143433.81561983473</v>
      </c>
      <c r="Q20" s="12">
        <f t="shared" si="12"/>
        <v>430301.44685950421</v>
      </c>
      <c r="R20" s="12">
        <f t="shared" si="0"/>
        <v>1577771.9718181819</v>
      </c>
      <c r="S20" s="12">
        <f t="shared" si="1"/>
        <v>717169.07809917361</v>
      </c>
      <c r="T20" s="12">
        <f t="shared" si="2"/>
        <v>430301.44685950421</v>
      </c>
      <c r="U20" s="12">
        <f t="shared" si="3"/>
        <v>1290904.3405785125</v>
      </c>
      <c r="V20" s="12">
        <f t="shared" si="4"/>
        <v>1721205.7874380169</v>
      </c>
      <c r="W20" s="12">
        <f t="shared" si="5"/>
        <v>1290904.3405785125</v>
      </c>
      <c r="X20" s="12">
        <f t="shared" si="6"/>
        <v>1147470.5249586778</v>
      </c>
      <c r="Y20" s="12">
        <f t="shared" si="7"/>
        <v>1290904.3405785125</v>
      </c>
      <c r="Z20" s="12">
        <f t="shared" si="8"/>
        <v>1004036.7093388431</v>
      </c>
      <c r="AA20" s="12">
        <f t="shared" si="9"/>
        <v>1721205.7874380169</v>
      </c>
      <c r="AB20" s="12">
        <f t="shared" si="10"/>
        <v>1721205.7874380169</v>
      </c>
      <c r="AC20" s="12">
        <f t="shared" si="11"/>
        <v>14343381.561983474</v>
      </c>
    </row>
    <row r="21" spans="1:29" x14ac:dyDescent="0.2">
      <c r="A21" s="4" t="s">
        <v>21</v>
      </c>
      <c r="B21" s="4">
        <v>4</v>
      </c>
      <c r="C21" s="4">
        <v>6</v>
      </c>
      <c r="D21" s="4">
        <v>3</v>
      </c>
      <c r="E21" s="4">
        <v>4</v>
      </c>
      <c r="F21" s="4">
        <v>5</v>
      </c>
      <c r="G21" s="4">
        <v>4</v>
      </c>
      <c r="H21" s="4">
        <v>4</v>
      </c>
      <c r="I21" s="4">
        <v>1</v>
      </c>
      <c r="J21" s="4">
        <v>6</v>
      </c>
      <c r="K21" s="4">
        <v>1</v>
      </c>
      <c r="L21" s="4">
        <v>4</v>
      </c>
      <c r="M21" s="4">
        <v>1</v>
      </c>
      <c r="N21" s="4">
        <v>43</v>
      </c>
      <c r="O21" s="6">
        <v>87912.790697674413</v>
      </c>
      <c r="Q21" s="12">
        <f t="shared" si="12"/>
        <v>351651.16279069765</v>
      </c>
      <c r="R21" s="12">
        <f t="shared" si="0"/>
        <v>527476.74418604653</v>
      </c>
      <c r="S21" s="12">
        <f t="shared" si="1"/>
        <v>263738.37209302327</v>
      </c>
      <c r="T21" s="12">
        <f t="shared" si="2"/>
        <v>351651.16279069765</v>
      </c>
      <c r="U21" s="12">
        <f t="shared" si="3"/>
        <v>439563.95348837203</v>
      </c>
      <c r="V21" s="12">
        <f t="shared" si="4"/>
        <v>351651.16279069765</v>
      </c>
      <c r="W21" s="12">
        <f t="shared" si="5"/>
        <v>351651.16279069765</v>
      </c>
      <c r="X21" s="12">
        <f t="shared" si="6"/>
        <v>87912.790697674413</v>
      </c>
      <c r="Y21" s="12">
        <f t="shared" si="7"/>
        <v>527476.74418604653</v>
      </c>
      <c r="Z21" s="12">
        <f t="shared" si="8"/>
        <v>87912.790697674413</v>
      </c>
      <c r="AA21" s="12">
        <f t="shared" si="9"/>
        <v>351651.16279069765</v>
      </c>
      <c r="AB21" s="12">
        <f t="shared" si="10"/>
        <v>87912.790697674413</v>
      </c>
      <c r="AC21" s="12">
        <f t="shared" si="11"/>
        <v>3780249.9999999995</v>
      </c>
    </row>
    <row r="22" spans="1:29" x14ac:dyDescent="0.2">
      <c r="A22" s="4" t="s">
        <v>22</v>
      </c>
      <c r="B22" s="4">
        <v>6</v>
      </c>
      <c r="C22" s="4">
        <v>6</v>
      </c>
      <c r="D22" s="4">
        <v>4</v>
      </c>
      <c r="E22" s="4">
        <v>4</v>
      </c>
      <c r="F22" s="4">
        <v>4</v>
      </c>
      <c r="G22" s="4">
        <v>5</v>
      </c>
      <c r="H22" s="4">
        <v>7</v>
      </c>
      <c r="I22" s="4">
        <v>4</v>
      </c>
      <c r="J22" s="4">
        <v>5</v>
      </c>
      <c r="K22" s="4">
        <v>4</v>
      </c>
      <c r="L22" s="4">
        <v>4</v>
      </c>
      <c r="M22" s="4">
        <v>4</v>
      </c>
      <c r="N22" s="4">
        <v>57</v>
      </c>
      <c r="O22" s="6">
        <v>127082.45614035087</v>
      </c>
      <c r="Q22" s="12">
        <f t="shared" si="12"/>
        <v>762494.73684210517</v>
      </c>
      <c r="R22" s="12">
        <f t="shared" si="0"/>
        <v>762494.73684210517</v>
      </c>
      <c r="S22" s="12">
        <f t="shared" si="1"/>
        <v>508329.82456140348</v>
      </c>
      <c r="T22" s="12">
        <f t="shared" si="2"/>
        <v>508329.82456140348</v>
      </c>
      <c r="U22" s="12">
        <f t="shared" si="3"/>
        <v>508329.82456140348</v>
      </c>
      <c r="V22" s="12">
        <f t="shared" si="4"/>
        <v>635412.28070175438</v>
      </c>
      <c r="W22" s="12">
        <f t="shared" si="5"/>
        <v>889577.19298245606</v>
      </c>
      <c r="X22" s="12">
        <f t="shared" si="6"/>
        <v>508329.82456140348</v>
      </c>
      <c r="Y22" s="12">
        <f t="shared" si="7"/>
        <v>635412.28070175438</v>
      </c>
      <c r="Z22" s="12">
        <f t="shared" si="8"/>
        <v>508329.82456140348</v>
      </c>
      <c r="AA22" s="12">
        <f t="shared" si="9"/>
        <v>508329.82456140348</v>
      </c>
      <c r="AB22" s="12">
        <f t="shared" si="10"/>
        <v>508329.82456140348</v>
      </c>
      <c r="AC22" s="12">
        <f t="shared" si="11"/>
        <v>7243700</v>
      </c>
    </row>
    <row r="23" spans="1:29" x14ac:dyDescent="0.2">
      <c r="A23" s="4" t="s">
        <v>23</v>
      </c>
      <c r="B23" s="4">
        <v>2</v>
      </c>
      <c r="C23" s="4">
        <v>5</v>
      </c>
      <c r="D23" s="4">
        <v>4</v>
      </c>
      <c r="E23" s="4">
        <v>3</v>
      </c>
      <c r="F23" s="4">
        <v>5</v>
      </c>
      <c r="G23" s="4">
        <v>9</v>
      </c>
      <c r="H23" s="4">
        <v>4</v>
      </c>
      <c r="I23" s="4">
        <v>9</v>
      </c>
      <c r="J23" s="4">
        <v>7</v>
      </c>
      <c r="K23" s="4">
        <v>5</v>
      </c>
      <c r="L23" s="4">
        <v>6</v>
      </c>
      <c r="M23" s="4">
        <v>5</v>
      </c>
      <c r="N23" s="4">
        <v>64</v>
      </c>
      <c r="O23" s="6">
        <v>215411.38623046875</v>
      </c>
      <c r="Q23" s="12">
        <f t="shared" si="12"/>
        <v>430822.7724609375</v>
      </c>
      <c r="R23" s="12">
        <f t="shared" si="0"/>
        <v>1077056.9311523438</v>
      </c>
      <c r="S23" s="12">
        <f t="shared" si="1"/>
        <v>861645.544921875</v>
      </c>
      <c r="T23" s="12">
        <f t="shared" si="2"/>
        <v>646234.15869140625</v>
      </c>
      <c r="U23" s="12">
        <f t="shared" si="3"/>
        <v>1077056.9311523438</v>
      </c>
      <c r="V23" s="12">
        <f t="shared" si="4"/>
        <v>1938702.4760742188</v>
      </c>
      <c r="W23" s="12">
        <f t="shared" si="5"/>
        <v>861645.544921875</v>
      </c>
      <c r="X23" s="12">
        <f t="shared" si="6"/>
        <v>1938702.4760742188</v>
      </c>
      <c r="Y23" s="12">
        <f t="shared" si="7"/>
        <v>1507879.7036132812</v>
      </c>
      <c r="Z23" s="12">
        <f t="shared" si="8"/>
        <v>1077056.9311523438</v>
      </c>
      <c r="AA23" s="12">
        <f t="shared" si="9"/>
        <v>1292468.3173828125</v>
      </c>
      <c r="AB23" s="12">
        <f t="shared" si="10"/>
        <v>1077056.9311523438</v>
      </c>
      <c r="AC23" s="12">
        <f t="shared" si="11"/>
        <v>13786328.71875</v>
      </c>
    </row>
    <row r="24" spans="1:29" x14ac:dyDescent="0.2">
      <c r="A24" s="4" t="s">
        <v>24</v>
      </c>
      <c r="B24" s="4">
        <v>3</v>
      </c>
      <c r="C24" s="4">
        <v>5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2</v>
      </c>
      <c r="K24" s="4">
        <v>0</v>
      </c>
      <c r="L24" s="4">
        <v>0</v>
      </c>
      <c r="M24" s="4">
        <v>1</v>
      </c>
      <c r="N24" s="4">
        <v>13</v>
      </c>
      <c r="O24" s="6">
        <v>173461.53846153847</v>
      </c>
      <c r="Q24" s="12">
        <f t="shared" si="12"/>
        <v>520384.61538461538</v>
      </c>
      <c r="R24" s="12">
        <f t="shared" si="0"/>
        <v>867307.69230769237</v>
      </c>
      <c r="S24" s="12">
        <f t="shared" si="1"/>
        <v>346923.07692307694</v>
      </c>
      <c r="T24" s="12">
        <f t="shared" si="2"/>
        <v>0</v>
      </c>
      <c r="U24" s="12">
        <f t="shared" si="3"/>
        <v>0</v>
      </c>
      <c r="V24" s="12">
        <f t="shared" si="4"/>
        <v>0</v>
      </c>
      <c r="W24" s="12">
        <f t="shared" si="5"/>
        <v>0</v>
      </c>
      <c r="X24" s="12">
        <f t="shared" si="6"/>
        <v>0</v>
      </c>
      <c r="Y24" s="12">
        <f t="shared" si="7"/>
        <v>346923.07692307694</v>
      </c>
      <c r="Z24" s="12">
        <f t="shared" si="8"/>
        <v>0</v>
      </c>
      <c r="AA24" s="12">
        <f t="shared" si="9"/>
        <v>0</v>
      </c>
      <c r="AB24" s="12">
        <f t="shared" si="10"/>
        <v>173461.53846153847</v>
      </c>
      <c r="AC24" s="12">
        <f t="shared" si="11"/>
        <v>2255000</v>
      </c>
    </row>
    <row r="25" spans="1:29" x14ac:dyDescent="0.2">
      <c r="A25" s="4" t="s">
        <v>25</v>
      </c>
      <c r="B25" s="4">
        <v>2</v>
      </c>
      <c r="C25" s="4">
        <v>5</v>
      </c>
      <c r="D25" s="4">
        <v>1</v>
      </c>
      <c r="E25" s="4">
        <v>1</v>
      </c>
      <c r="F25" s="4">
        <v>0</v>
      </c>
      <c r="G25" s="4">
        <v>5</v>
      </c>
      <c r="H25" s="4">
        <v>2</v>
      </c>
      <c r="I25" s="4">
        <v>3</v>
      </c>
      <c r="J25" s="4">
        <v>1</v>
      </c>
      <c r="K25" s="4">
        <v>1</v>
      </c>
      <c r="L25" s="4">
        <v>0</v>
      </c>
      <c r="M25" s="4">
        <v>3</v>
      </c>
      <c r="N25" s="4">
        <v>24</v>
      </c>
      <c r="O25" s="6">
        <v>93953.772031834364</v>
      </c>
      <c r="Q25" s="12">
        <f t="shared" si="12"/>
        <v>187907.54406366873</v>
      </c>
      <c r="R25" s="12">
        <f t="shared" si="0"/>
        <v>469768.8601591718</v>
      </c>
      <c r="S25" s="12">
        <f t="shared" si="1"/>
        <v>93953.772031834364</v>
      </c>
      <c r="T25" s="12">
        <f t="shared" si="2"/>
        <v>93953.772031834364</v>
      </c>
      <c r="U25" s="12">
        <f t="shared" si="3"/>
        <v>0</v>
      </c>
      <c r="V25" s="12">
        <f t="shared" si="4"/>
        <v>469768.8601591718</v>
      </c>
      <c r="W25" s="12">
        <f t="shared" si="5"/>
        <v>187907.54406366873</v>
      </c>
      <c r="X25" s="12">
        <f t="shared" si="6"/>
        <v>281861.31609550311</v>
      </c>
      <c r="Y25" s="12">
        <f t="shared" si="7"/>
        <v>93953.772031834364</v>
      </c>
      <c r="Z25" s="12">
        <f t="shared" si="8"/>
        <v>93953.772031834364</v>
      </c>
      <c r="AA25" s="12">
        <f t="shared" si="9"/>
        <v>0</v>
      </c>
      <c r="AB25" s="12">
        <f t="shared" si="10"/>
        <v>281861.31609550311</v>
      </c>
      <c r="AC25" s="12">
        <f t="shared" si="11"/>
        <v>2254890.5287640248</v>
      </c>
    </row>
    <row r="26" spans="1:29" x14ac:dyDescent="0.2">
      <c r="A26" s="4" t="s">
        <v>26</v>
      </c>
      <c r="B26" s="4">
        <v>9</v>
      </c>
      <c r="C26" s="4">
        <v>13</v>
      </c>
      <c r="D26" s="4">
        <v>11</v>
      </c>
      <c r="E26" s="4">
        <v>12</v>
      </c>
      <c r="F26" s="4">
        <v>11</v>
      </c>
      <c r="G26" s="4">
        <v>12</v>
      </c>
      <c r="H26" s="4">
        <v>16</v>
      </c>
      <c r="I26" s="4">
        <v>13</v>
      </c>
      <c r="J26" s="4">
        <v>16</v>
      </c>
      <c r="K26" s="4">
        <v>12</v>
      </c>
      <c r="L26" s="4">
        <v>12</v>
      </c>
      <c r="M26" s="4">
        <v>6</v>
      </c>
      <c r="N26" s="4">
        <v>143</v>
      </c>
      <c r="O26" s="6">
        <v>114404.64793826862</v>
      </c>
      <c r="Q26" s="12">
        <f t="shared" si="12"/>
        <v>1029641.8314444176</v>
      </c>
      <c r="R26" s="12">
        <f t="shared" si="0"/>
        <v>1487260.423197492</v>
      </c>
      <c r="S26" s="12">
        <f t="shared" si="1"/>
        <v>1258451.1273209548</v>
      </c>
      <c r="T26" s="12">
        <f t="shared" si="2"/>
        <v>1372855.7752592235</v>
      </c>
      <c r="U26" s="12">
        <f t="shared" si="3"/>
        <v>1258451.1273209548</v>
      </c>
      <c r="V26" s="12">
        <f t="shared" si="4"/>
        <v>1372855.7752592235</v>
      </c>
      <c r="W26" s="12">
        <f t="shared" si="5"/>
        <v>1830474.367012298</v>
      </c>
      <c r="X26" s="12">
        <f t="shared" si="6"/>
        <v>1487260.423197492</v>
      </c>
      <c r="Y26" s="12">
        <f t="shared" si="7"/>
        <v>1830474.367012298</v>
      </c>
      <c r="Z26" s="12">
        <f t="shared" si="8"/>
        <v>1372855.7752592235</v>
      </c>
      <c r="AA26" s="12">
        <f t="shared" si="9"/>
        <v>1372855.7752592235</v>
      </c>
      <c r="AB26" s="12">
        <f t="shared" si="10"/>
        <v>686427.88762961177</v>
      </c>
      <c r="AC26" s="12">
        <f t="shared" si="11"/>
        <v>16359864.655172413</v>
      </c>
    </row>
    <row r="27" spans="1:29" x14ac:dyDescent="0.2">
      <c r="A27" s="4" t="s">
        <v>27</v>
      </c>
      <c r="B27" s="4">
        <v>9</v>
      </c>
      <c r="C27" s="4">
        <v>13</v>
      </c>
      <c r="D27" s="4">
        <v>5</v>
      </c>
      <c r="E27" s="4">
        <v>8</v>
      </c>
      <c r="F27" s="4">
        <v>12</v>
      </c>
      <c r="G27" s="4">
        <v>8</v>
      </c>
      <c r="H27" s="4">
        <v>8</v>
      </c>
      <c r="I27" s="4">
        <v>12</v>
      </c>
      <c r="J27" s="4">
        <v>6</v>
      </c>
      <c r="K27" s="4">
        <v>18</v>
      </c>
      <c r="L27" s="4">
        <v>7</v>
      </c>
      <c r="M27" s="4">
        <v>14</v>
      </c>
      <c r="N27" s="4">
        <v>120</v>
      </c>
      <c r="O27" s="6">
        <v>154643.88333333333</v>
      </c>
      <c r="Q27" s="12">
        <f t="shared" si="12"/>
        <v>1391794.95</v>
      </c>
      <c r="R27" s="12">
        <f t="shared" si="0"/>
        <v>2010370.4833333334</v>
      </c>
      <c r="S27" s="12">
        <f t="shared" si="1"/>
        <v>773219.41666666663</v>
      </c>
      <c r="T27" s="12">
        <f t="shared" si="2"/>
        <v>1237151.0666666667</v>
      </c>
      <c r="U27" s="12">
        <f t="shared" si="3"/>
        <v>1855726.6</v>
      </c>
      <c r="V27" s="12">
        <f t="shared" si="4"/>
        <v>1237151.0666666667</v>
      </c>
      <c r="W27" s="12">
        <f t="shared" si="5"/>
        <v>1237151.0666666667</v>
      </c>
      <c r="X27" s="12">
        <f t="shared" si="6"/>
        <v>1855726.6</v>
      </c>
      <c r="Y27" s="12">
        <f t="shared" si="7"/>
        <v>927863.3</v>
      </c>
      <c r="Z27" s="12">
        <f t="shared" si="8"/>
        <v>2783589.9</v>
      </c>
      <c r="AA27" s="12">
        <f t="shared" si="9"/>
        <v>1082507.1833333333</v>
      </c>
      <c r="AB27" s="12">
        <f t="shared" si="10"/>
        <v>2165014.3666666667</v>
      </c>
      <c r="AC27" s="12">
        <f t="shared" si="11"/>
        <v>18557266</v>
      </c>
    </row>
    <row r="28" spans="1:29" x14ac:dyDescent="0.2">
      <c r="A28" s="4" t="s">
        <v>28</v>
      </c>
      <c r="B28" s="4">
        <v>10</v>
      </c>
      <c r="C28" s="4">
        <v>3</v>
      </c>
      <c r="D28" s="4">
        <v>7</v>
      </c>
      <c r="E28" s="4">
        <v>1</v>
      </c>
      <c r="F28" s="4">
        <v>2</v>
      </c>
      <c r="G28" s="4">
        <v>8</v>
      </c>
      <c r="H28" s="4">
        <v>10</v>
      </c>
      <c r="I28" s="4">
        <v>8</v>
      </c>
      <c r="J28" s="4">
        <v>2</v>
      </c>
      <c r="K28" s="4">
        <v>5</v>
      </c>
      <c r="L28" s="4">
        <v>6</v>
      </c>
      <c r="M28" s="4">
        <v>5</v>
      </c>
      <c r="N28" s="4">
        <v>67</v>
      </c>
      <c r="O28" s="6">
        <v>94329.850746268654</v>
      </c>
      <c r="Q28" s="12">
        <f t="shared" si="12"/>
        <v>943298.50746268651</v>
      </c>
      <c r="R28" s="12">
        <f t="shared" si="0"/>
        <v>282989.55223880598</v>
      </c>
      <c r="S28" s="12">
        <f t="shared" si="1"/>
        <v>660308.95522388059</v>
      </c>
      <c r="T28" s="12">
        <f t="shared" si="2"/>
        <v>94329.850746268654</v>
      </c>
      <c r="U28" s="12">
        <f t="shared" si="3"/>
        <v>188659.70149253731</v>
      </c>
      <c r="V28" s="12">
        <f t="shared" si="4"/>
        <v>754638.80597014923</v>
      </c>
      <c r="W28" s="12">
        <f t="shared" si="5"/>
        <v>943298.50746268651</v>
      </c>
      <c r="X28" s="12">
        <f t="shared" si="6"/>
        <v>754638.80597014923</v>
      </c>
      <c r="Y28" s="12">
        <f t="shared" si="7"/>
        <v>188659.70149253731</v>
      </c>
      <c r="Z28" s="12">
        <f t="shared" si="8"/>
        <v>471649.25373134325</v>
      </c>
      <c r="AA28" s="12">
        <f t="shared" si="9"/>
        <v>565979.10447761195</v>
      </c>
      <c r="AB28" s="12">
        <f t="shared" si="10"/>
        <v>471649.25373134325</v>
      </c>
      <c r="AC28" s="12">
        <f t="shared" si="11"/>
        <v>6320100</v>
      </c>
    </row>
    <row r="29" spans="1:29" x14ac:dyDescent="0.2">
      <c r="A29" s="4" t="s">
        <v>29</v>
      </c>
      <c r="B29" s="4">
        <v>4</v>
      </c>
      <c r="C29" s="4">
        <v>4</v>
      </c>
      <c r="D29" s="4">
        <v>0</v>
      </c>
      <c r="E29" s="4">
        <v>2</v>
      </c>
      <c r="F29" s="4">
        <v>0</v>
      </c>
      <c r="G29" s="4">
        <v>8</v>
      </c>
      <c r="H29" s="4">
        <v>3</v>
      </c>
      <c r="I29" s="4">
        <v>3</v>
      </c>
      <c r="J29" s="4">
        <v>5</v>
      </c>
      <c r="K29" s="4">
        <v>4</v>
      </c>
      <c r="L29" s="4">
        <v>2</v>
      </c>
      <c r="M29" s="4">
        <v>3</v>
      </c>
      <c r="N29" s="4">
        <v>38</v>
      </c>
      <c r="O29" s="6">
        <v>55866.360572483842</v>
      </c>
      <c r="Q29" s="12">
        <f t="shared" si="12"/>
        <v>223465.44228993537</v>
      </c>
      <c r="R29" s="12">
        <f t="shared" si="0"/>
        <v>223465.44228993537</v>
      </c>
      <c r="S29" s="12">
        <f t="shared" si="1"/>
        <v>0</v>
      </c>
      <c r="T29" s="12">
        <f t="shared" si="2"/>
        <v>111732.72114496768</v>
      </c>
      <c r="U29" s="12">
        <f t="shared" si="3"/>
        <v>0</v>
      </c>
      <c r="V29" s="12">
        <f t="shared" si="4"/>
        <v>446930.88457987073</v>
      </c>
      <c r="W29" s="12">
        <f t="shared" si="5"/>
        <v>167599.08171745151</v>
      </c>
      <c r="X29" s="12">
        <f t="shared" si="6"/>
        <v>167599.08171745151</v>
      </c>
      <c r="Y29" s="12">
        <f t="shared" si="7"/>
        <v>279331.80286241922</v>
      </c>
      <c r="Z29" s="12">
        <f t="shared" si="8"/>
        <v>223465.44228993537</v>
      </c>
      <c r="AA29" s="12">
        <f t="shared" si="9"/>
        <v>111732.72114496768</v>
      </c>
      <c r="AB29" s="12">
        <f t="shared" si="10"/>
        <v>167599.08171745151</v>
      </c>
      <c r="AC29" s="12">
        <f t="shared" si="11"/>
        <v>2122921.7017543861</v>
      </c>
    </row>
    <row r="30" spans="1:29" x14ac:dyDescent="0.2">
      <c r="A30" s="4" t="s">
        <v>30</v>
      </c>
      <c r="B30" s="4">
        <v>17</v>
      </c>
      <c r="C30" s="4">
        <v>23</v>
      </c>
      <c r="D30" s="4">
        <v>14</v>
      </c>
      <c r="E30" s="4">
        <v>14</v>
      </c>
      <c r="F30" s="4">
        <v>20</v>
      </c>
      <c r="G30" s="4">
        <v>19</v>
      </c>
      <c r="H30" s="4">
        <v>17</v>
      </c>
      <c r="I30" s="4">
        <v>21</v>
      </c>
      <c r="J30" s="4">
        <v>21</v>
      </c>
      <c r="K30" s="4">
        <v>18</v>
      </c>
      <c r="L30" s="4">
        <v>23</v>
      </c>
      <c r="M30" s="4">
        <v>19</v>
      </c>
      <c r="N30" s="4">
        <v>226</v>
      </c>
      <c r="O30" s="6">
        <v>175991.51769911504</v>
      </c>
      <c r="Q30" s="12">
        <f t="shared" si="12"/>
        <v>2991855.8008849556</v>
      </c>
      <c r="R30" s="12">
        <f t="shared" si="0"/>
        <v>4047804.9070796459</v>
      </c>
      <c r="S30" s="12">
        <f t="shared" si="1"/>
        <v>2463881.2477876106</v>
      </c>
      <c r="T30" s="12">
        <f t="shared" si="2"/>
        <v>2463881.2477876106</v>
      </c>
      <c r="U30" s="12">
        <f t="shared" si="3"/>
        <v>3519830.3539823005</v>
      </c>
      <c r="V30" s="12">
        <f t="shared" si="4"/>
        <v>3343838.8362831855</v>
      </c>
      <c r="W30" s="12">
        <f t="shared" si="5"/>
        <v>2991855.8008849556</v>
      </c>
      <c r="X30" s="12">
        <f t="shared" si="6"/>
        <v>3695821.8716814159</v>
      </c>
      <c r="Y30" s="12">
        <f t="shared" si="7"/>
        <v>3695821.8716814159</v>
      </c>
      <c r="Z30" s="12">
        <f t="shared" si="8"/>
        <v>3167847.3185840705</v>
      </c>
      <c r="AA30" s="12">
        <f t="shared" si="9"/>
        <v>4047804.9070796459</v>
      </c>
      <c r="AB30" s="12">
        <f t="shared" si="10"/>
        <v>3343838.8362831855</v>
      </c>
      <c r="AC30" s="12">
        <f t="shared" si="11"/>
        <v>39774083</v>
      </c>
    </row>
    <row r="31" spans="1:29" x14ac:dyDescent="0.2">
      <c r="A31" s="4" t="s">
        <v>31</v>
      </c>
      <c r="B31" s="4">
        <v>0</v>
      </c>
      <c r="C31" s="4">
        <v>0</v>
      </c>
      <c r="D31" s="4">
        <v>0</v>
      </c>
      <c r="E31" s="4">
        <v>1</v>
      </c>
      <c r="F31" s="4">
        <v>1</v>
      </c>
      <c r="G31" s="4">
        <v>1</v>
      </c>
      <c r="H31" s="4">
        <v>1</v>
      </c>
      <c r="I31" s="4">
        <v>3</v>
      </c>
      <c r="J31" s="4">
        <v>3</v>
      </c>
      <c r="K31" s="4">
        <v>0</v>
      </c>
      <c r="L31" s="4">
        <v>0</v>
      </c>
      <c r="M31" s="4">
        <v>3</v>
      </c>
      <c r="N31" s="4">
        <v>13</v>
      </c>
      <c r="O31" s="6">
        <v>93307.692307692312</v>
      </c>
      <c r="Q31" s="12">
        <f t="shared" si="12"/>
        <v>0</v>
      </c>
      <c r="R31" s="12">
        <f t="shared" si="0"/>
        <v>0</v>
      </c>
      <c r="S31" s="12">
        <f t="shared" si="1"/>
        <v>0</v>
      </c>
      <c r="T31" s="12">
        <f t="shared" si="2"/>
        <v>93307.692307692312</v>
      </c>
      <c r="U31" s="12">
        <f t="shared" si="3"/>
        <v>93307.692307692312</v>
      </c>
      <c r="V31" s="12">
        <f t="shared" si="4"/>
        <v>93307.692307692312</v>
      </c>
      <c r="W31" s="12">
        <f t="shared" si="5"/>
        <v>93307.692307692312</v>
      </c>
      <c r="X31" s="12">
        <f t="shared" si="6"/>
        <v>279923.07692307694</v>
      </c>
      <c r="Y31" s="12">
        <f t="shared" si="7"/>
        <v>279923.07692307694</v>
      </c>
      <c r="Z31" s="12">
        <f t="shared" si="8"/>
        <v>0</v>
      </c>
      <c r="AA31" s="12">
        <f t="shared" si="9"/>
        <v>0</v>
      </c>
      <c r="AB31" s="12">
        <f t="shared" si="10"/>
        <v>279923.07692307694</v>
      </c>
      <c r="AC31" s="12">
        <f t="shared" si="11"/>
        <v>1213000</v>
      </c>
    </row>
    <row r="32" spans="1:29" x14ac:dyDescent="0.2">
      <c r="A32" s="4" t="s">
        <v>32</v>
      </c>
      <c r="B32" s="4">
        <v>9</v>
      </c>
      <c r="C32" s="4">
        <v>4</v>
      </c>
      <c r="D32" s="4">
        <v>9</v>
      </c>
      <c r="E32" s="4">
        <v>6</v>
      </c>
      <c r="F32" s="4">
        <v>8</v>
      </c>
      <c r="G32" s="4">
        <v>10</v>
      </c>
      <c r="H32" s="4">
        <v>7</v>
      </c>
      <c r="I32" s="4">
        <v>8</v>
      </c>
      <c r="J32" s="4">
        <v>12</v>
      </c>
      <c r="K32" s="4">
        <v>7</v>
      </c>
      <c r="L32" s="4">
        <v>5</v>
      </c>
      <c r="M32" s="4">
        <v>8</v>
      </c>
      <c r="N32" s="4">
        <v>93</v>
      </c>
      <c r="O32" s="6">
        <v>67442.674731182793</v>
      </c>
      <c r="Q32" s="12">
        <f t="shared" si="12"/>
        <v>606984.07258064509</v>
      </c>
      <c r="R32" s="12">
        <f t="shared" si="0"/>
        <v>269770.69892473117</v>
      </c>
      <c r="S32" s="12">
        <f t="shared" si="1"/>
        <v>606984.07258064509</v>
      </c>
      <c r="T32" s="12">
        <f t="shared" si="2"/>
        <v>404656.04838709673</v>
      </c>
      <c r="U32" s="12">
        <f t="shared" si="3"/>
        <v>539541.39784946234</v>
      </c>
      <c r="V32" s="12">
        <f t="shared" si="4"/>
        <v>674426.74731182796</v>
      </c>
      <c r="W32" s="12">
        <f t="shared" si="5"/>
        <v>472098.72311827954</v>
      </c>
      <c r="X32" s="12">
        <f t="shared" si="6"/>
        <v>539541.39784946234</v>
      </c>
      <c r="Y32" s="12">
        <f t="shared" si="7"/>
        <v>809312.09677419346</v>
      </c>
      <c r="Z32" s="12">
        <f t="shared" si="8"/>
        <v>472098.72311827954</v>
      </c>
      <c r="AA32" s="12">
        <f t="shared" si="9"/>
        <v>337213.37365591398</v>
      </c>
      <c r="AB32" s="12">
        <f t="shared" si="10"/>
        <v>539541.39784946234</v>
      </c>
      <c r="AC32" s="12">
        <f t="shared" si="11"/>
        <v>6272168.75</v>
      </c>
    </row>
    <row r="33" spans="1:29" x14ac:dyDescent="0.2">
      <c r="A33" s="4" t="s">
        <v>33</v>
      </c>
      <c r="B33" s="4">
        <v>22</v>
      </c>
      <c r="C33" s="4">
        <v>34</v>
      </c>
      <c r="D33" s="4">
        <v>17</v>
      </c>
      <c r="E33" s="4">
        <v>19</v>
      </c>
      <c r="F33" s="4">
        <v>20</v>
      </c>
      <c r="G33" s="4">
        <v>22</v>
      </c>
      <c r="H33" s="4">
        <v>31</v>
      </c>
      <c r="I33" s="4">
        <v>23</v>
      </c>
      <c r="J33" s="4">
        <v>26</v>
      </c>
      <c r="K33" s="4">
        <v>27</v>
      </c>
      <c r="L33" s="4">
        <v>27</v>
      </c>
      <c r="M33" s="4">
        <v>45</v>
      </c>
      <c r="N33" s="4">
        <v>313</v>
      </c>
      <c r="O33" s="6">
        <v>176631.32042890624</v>
      </c>
      <c r="Q33" s="12">
        <f t="shared" si="12"/>
        <v>3885889.0494359373</v>
      </c>
      <c r="R33" s="12">
        <f t="shared" si="0"/>
        <v>6005464.8945828117</v>
      </c>
      <c r="S33" s="12">
        <f t="shared" si="1"/>
        <v>3002732.4472914059</v>
      </c>
      <c r="T33" s="12">
        <f t="shared" si="2"/>
        <v>3355995.0881492188</v>
      </c>
      <c r="U33" s="12">
        <f t="shared" si="3"/>
        <v>3532626.4085781248</v>
      </c>
      <c r="V33" s="12">
        <f t="shared" si="4"/>
        <v>3885889.0494359373</v>
      </c>
      <c r="W33" s="12">
        <f t="shared" si="5"/>
        <v>5475570.9332960937</v>
      </c>
      <c r="X33" s="12">
        <f t="shared" si="6"/>
        <v>4062520.3698648438</v>
      </c>
      <c r="Y33" s="12">
        <f t="shared" si="7"/>
        <v>4592414.3311515618</v>
      </c>
      <c r="Z33" s="12">
        <f t="shared" si="8"/>
        <v>4769045.6515804688</v>
      </c>
      <c r="AA33" s="12">
        <f t="shared" si="9"/>
        <v>4769045.6515804688</v>
      </c>
      <c r="AB33" s="12">
        <f t="shared" si="10"/>
        <v>7948409.4193007806</v>
      </c>
      <c r="AC33" s="12">
        <f t="shared" si="11"/>
        <v>55285603.294247657</v>
      </c>
    </row>
    <row r="34" spans="1:29" x14ac:dyDescent="0.2">
      <c r="A34" s="4" t="s">
        <v>34</v>
      </c>
      <c r="B34" s="4">
        <v>8</v>
      </c>
      <c r="C34" s="4">
        <v>9</v>
      </c>
      <c r="D34" s="4">
        <v>5</v>
      </c>
      <c r="E34" s="4">
        <v>8</v>
      </c>
      <c r="F34" s="4">
        <v>5</v>
      </c>
      <c r="G34" s="4">
        <v>7</v>
      </c>
      <c r="H34" s="4">
        <v>9</v>
      </c>
      <c r="I34" s="4">
        <v>8</v>
      </c>
      <c r="J34" s="4">
        <v>7</v>
      </c>
      <c r="K34" s="4">
        <v>14</v>
      </c>
      <c r="L34" s="4">
        <v>10</v>
      </c>
      <c r="M34" s="4">
        <v>12</v>
      </c>
      <c r="N34" s="4">
        <v>102</v>
      </c>
      <c r="O34" s="6">
        <v>198524.50980392157</v>
      </c>
      <c r="Q34" s="12">
        <f t="shared" si="12"/>
        <v>1588196.0784313725</v>
      </c>
      <c r="R34" s="12">
        <f t="shared" si="0"/>
        <v>1786720.588235294</v>
      </c>
      <c r="S34" s="12">
        <f t="shared" si="1"/>
        <v>992622.54901960783</v>
      </c>
      <c r="T34" s="12">
        <f t="shared" si="2"/>
        <v>1588196.0784313725</v>
      </c>
      <c r="U34" s="12">
        <f t="shared" si="3"/>
        <v>992622.54901960783</v>
      </c>
      <c r="V34" s="12">
        <f t="shared" si="4"/>
        <v>1389671.5686274511</v>
      </c>
      <c r="W34" s="12">
        <f t="shared" si="5"/>
        <v>1786720.588235294</v>
      </c>
      <c r="X34" s="12">
        <f t="shared" si="6"/>
        <v>1588196.0784313725</v>
      </c>
      <c r="Y34" s="12">
        <f t="shared" si="7"/>
        <v>1389671.5686274511</v>
      </c>
      <c r="Z34" s="12">
        <f t="shared" si="8"/>
        <v>2779343.1372549022</v>
      </c>
      <c r="AA34" s="12">
        <f t="shared" si="9"/>
        <v>1985245.0980392157</v>
      </c>
      <c r="AB34" s="12">
        <f t="shared" si="10"/>
        <v>2382294.1176470588</v>
      </c>
      <c r="AC34" s="12">
        <f t="shared" si="11"/>
        <v>20249500</v>
      </c>
    </row>
    <row r="35" spans="1:29" x14ac:dyDescent="0.2">
      <c r="A35" s="4" t="s">
        <v>35</v>
      </c>
      <c r="B35" s="4">
        <v>5</v>
      </c>
      <c r="C35" s="4">
        <v>8</v>
      </c>
      <c r="D35" s="4">
        <v>11</v>
      </c>
      <c r="E35" s="4">
        <v>13</v>
      </c>
      <c r="F35" s="4">
        <v>10</v>
      </c>
      <c r="G35" s="4">
        <v>8</v>
      </c>
      <c r="H35" s="4">
        <v>13</v>
      </c>
      <c r="I35" s="4">
        <v>15</v>
      </c>
      <c r="J35" s="4">
        <v>7</v>
      </c>
      <c r="K35" s="4">
        <v>17</v>
      </c>
      <c r="L35" s="4">
        <v>9</v>
      </c>
      <c r="M35" s="4">
        <v>10</v>
      </c>
      <c r="N35" s="4">
        <v>126</v>
      </c>
      <c r="O35" s="6">
        <v>85169.521980029531</v>
      </c>
      <c r="Q35" s="12">
        <f t="shared" si="12"/>
        <v>425847.60990014765</v>
      </c>
      <c r="R35" s="12">
        <f t="shared" si="0"/>
        <v>681356.17584023625</v>
      </c>
      <c r="S35" s="12">
        <f t="shared" si="1"/>
        <v>936864.74178032484</v>
      </c>
      <c r="T35" s="12">
        <f t="shared" si="2"/>
        <v>1107203.7857403839</v>
      </c>
      <c r="U35" s="12">
        <f t="shared" si="3"/>
        <v>851695.21980029531</v>
      </c>
      <c r="V35" s="12">
        <f t="shared" si="4"/>
        <v>681356.17584023625</v>
      </c>
      <c r="W35" s="12">
        <f t="shared" si="5"/>
        <v>1107203.7857403839</v>
      </c>
      <c r="X35" s="12">
        <f t="shared" si="6"/>
        <v>1277542.829700443</v>
      </c>
      <c r="Y35" s="12">
        <f t="shared" si="7"/>
        <v>596186.65386020672</v>
      </c>
      <c r="Z35" s="12">
        <f t="shared" si="8"/>
        <v>1447881.873660502</v>
      </c>
      <c r="AA35" s="12">
        <f t="shared" si="9"/>
        <v>766525.69782026578</v>
      </c>
      <c r="AB35" s="12">
        <f t="shared" si="10"/>
        <v>851695.21980029531</v>
      </c>
      <c r="AC35" s="12">
        <f t="shared" si="11"/>
        <v>10731359.769483721</v>
      </c>
    </row>
    <row r="36" spans="1:29" x14ac:dyDescent="0.2">
      <c r="A36" s="4" t="s">
        <v>36</v>
      </c>
      <c r="B36" s="4">
        <v>2</v>
      </c>
      <c r="C36" s="4">
        <v>4</v>
      </c>
      <c r="D36" s="4">
        <v>3</v>
      </c>
      <c r="E36" s="4">
        <v>1</v>
      </c>
      <c r="F36" s="4">
        <v>2</v>
      </c>
      <c r="G36" s="4">
        <v>4</v>
      </c>
      <c r="H36" s="4">
        <v>3</v>
      </c>
      <c r="I36" s="4">
        <v>2</v>
      </c>
      <c r="J36" s="4">
        <v>4</v>
      </c>
      <c r="K36" s="4">
        <v>5</v>
      </c>
      <c r="L36" s="4">
        <v>7</v>
      </c>
      <c r="M36" s="4">
        <v>2</v>
      </c>
      <c r="N36" s="4">
        <v>39</v>
      </c>
      <c r="O36" s="6">
        <v>145935.89743589744</v>
      </c>
      <c r="Q36" s="12">
        <f t="shared" si="12"/>
        <v>291871.79487179487</v>
      </c>
      <c r="R36" s="12">
        <f t="shared" si="0"/>
        <v>583743.58974358975</v>
      </c>
      <c r="S36" s="12">
        <f t="shared" si="1"/>
        <v>437807.69230769231</v>
      </c>
      <c r="T36" s="12">
        <f t="shared" si="2"/>
        <v>145935.89743589744</v>
      </c>
      <c r="U36" s="12">
        <f t="shared" si="3"/>
        <v>291871.79487179487</v>
      </c>
      <c r="V36" s="12">
        <f t="shared" si="4"/>
        <v>583743.58974358975</v>
      </c>
      <c r="W36" s="12">
        <f t="shared" si="5"/>
        <v>437807.69230769231</v>
      </c>
      <c r="X36" s="12">
        <f t="shared" si="6"/>
        <v>291871.79487179487</v>
      </c>
      <c r="Y36" s="12">
        <f t="shared" si="7"/>
        <v>583743.58974358975</v>
      </c>
      <c r="Z36" s="12">
        <f t="shared" si="8"/>
        <v>729679.48717948725</v>
      </c>
      <c r="AA36" s="12">
        <f t="shared" si="9"/>
        <v>1021551.282051282</v>
      </c>
      <c r="AB36" s="12">
        <f t="shared" si="10"/>
        <v>291871.79487179487</v>
      </c>
      <c r="AC36" s="12">
        <f t="shared" si="11"/>
        <v>5691500</v>
      </c>
    </row>
    <row r="37" spans="1:29" x14ac:dyDescent="0.2">
      <c r="A37" s="4" t="s">
        <v>37</v>
      </c>
      <c r="B37" s="4">
        <v>5</v>
      </c>
      <c r="C37" s="4">
        <v>12</v>
      </c>
      <c r="D37" s="4">
        <v>0</v>
      </c>
      <c r="E37" s="4">
        <v>1</v>
      </c>
      <c r="F37" s="4">
        <v>4</v>
      </c>
      <c r="G37" s="4">
        <v>8</v>
      </c>
      <c r="H37" s="4">
        <v>3</v>
      </c>
      <c r="I37" s="4">
        <v>1</v>
      </c>
      <c r="J37" s="4">
        <v>4</v>
      </c>
      <c r="K37" s="4">
        <v>8</v>
      </c>
      <c r="L37" s="4">
        <v>0</v>
      </c>
      <c r="M37" s="4">
        <v>6</v>
      </c>
      <c r="N37" s="4">
        <v>52</v>
      </c>
      <c r="O37" s="6">
        <v>179637.69230769231</v>
      </c>
      <c r="Q37" s="12">
        <f t="shared" si="12"/>
        <v>898188.4615384615</v>
      </c>
      <c r="R37" s="12">
        <f t="shared" si="0"/>
        <v>2155652.307692308</v>
      </c>
      <c r="S37" s="12">
        <f t="shared" si="1"/>
        <v>0</v>
      </c>
      <c r="T37" s="12">
        <f t="shared" si="2"/>
        <v>179637.69230769231</v>
      </c>
      <c r="U37" s="12">
        <f t="shared" si="3"/>
        <v>718550.76923076925</v>
      </c>
      <c r="V37" s="12">
        <f t="shared" si="4"/>
        <v>1437101.5384615385</v>
      </c>
      <c r="W37" s="12">
        <f t="shared" si="5"/>
        <v>538913.07692307699</v>
      </c>
      <c r="X37" s="12">
        <f t="shared" si="6"/>
        <v>179637.69230769231</v>
      </c>
      <c r="Y37" s="12">
        <f t="shared" si="7"/>
        <v>718550.76923076925</v>
      </c>
      <c r="Z37" s="12">
        <f t="shared" si="8"/>
        <v>1437101.5384615385</v>
      </c>
      <c r="AA37" s="12">
        <f t="shared" si="9"/>
        <v>0</v>
      </c>
      <c r="AB37" s="12">
        <f t="shared" si="10"/>
        <v>1077826.153846154</v>
      </c>
      <c r="AC37" s="12">
        <f t="shared" si="11"/>
        <v>9341160</v>
      </c>
    </row>
    <row r="38" spans="1:29" x14ac:dyDescent="0.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 s="1">
        <v>235000</v>
      </c>
      <c r="Q38" s="12">
        <f t="shared" si="12"/>
        <v>0</v>
      </c>
      <c r="R38" s="12">
        <f t="shared" si="0"/>
        <v>0</v>
      </c>
      <c r="S38" s="12">
        <f t="shared" si="1"/>
        <v>0</v>
      </c>
      <c r="T38" s="12">
        <f t="shared" si="2"/>
        <v>0</v>
      </c>
      <c r="U38" s="12">
        <f t="shared" si="3"/>
        <v>0</v>
      </c>
      <c r="V38" s="12">
        <f t="shared" si="4"/>
        <v>0</v>
      </c>
      <c r="W38" s="12">
        <f t="shared" si="5"/>
        <v>0</v>
      </c>
      <c r="X38" s="12">
        <f t="shared" si="6"/>
        <v>0</v>
      </c>
      <c r="Y38" s="12">
        <f t="shared" si="7"/>
        <v>0</v>
      </c>
      <c r="Z38" s="12">
        <f t="shared" si="8"/>
        <v>0</v>
      </c>
      <c r="AA38" s="12">
        <f t="shared" si="9"/>
        <v>0</v>
      </c>
      <c r="AB38" s="12">
        <f t="shared" si="10"/>
        <v>235000</v>
      </c>
      <c r="AC38" s="12">
        <f t="shared" si="11"/>
        <v>235000</v>
      </c>
    </row>
    <row r="39" spans="1:29" x14ac:dyDescent="0.2">
      <c r="B39" s="12">
        <f t="shared" ref="B39:N39" si="13">SUM(B2:B38)</f>
        <v>182</v>
      </c>
      <c r="C39" s="12">
        <f t="shared" si="13"/>
        <v>255</v>
      </c>
      <c r="D39" s="12">
        <f t="shared" si="13"/>
        <v>153</v>
      </c>
      <c r="E39" s="12">
        <f t="shared" si="13"/>
        <v>139</v>
      </c>
      <c r="F39" s="12">
        <f t="shared" si="13"/>
        <v>171</v>
      </c>
      <c r="G39" s="12">
        <f t="shared" si="13"/>
        <v>227</v>
      </c>
      <c r="H39" s="12">
        <f t="shared" si="13"/>
        <v>223</v>
      </c>
      <c r="I39" s="12">
        <f t="shared" si="13"/>
        <v>223</v>
      </c>
      <c r="J39" s="12">
        <f t="shared" si="13"/>
        <v>245</v>
      </c>
      <c r="K39" s="12">
        <f t="shared" si="13"/>
        <v>251</v>
      </c>
      <c r="L39" s="12">
        <f t="shared" si="13"/>
        <v>215</v>
      </c>
      <c r="M39" s="12">
        <f t="shared" si="13"/>
        <v>270</v>
      </c>
      <c r="N39" s="12">
        <f t="shared" si="13"/>
        <v>2554</v>
      </c>
      <c r="O39" s="11">
        <f>AVERAGE(B39:M39)</f>
        <v>212.83333333333334</v>
      </c>
      <c r="Q39" s="12">
        <f>SUM(Q2:Q38)</f>
        <v>23973080.7713889</v>
      </c>
      <c r="R39" s="12">
        <f t="shared" ref="R39:AC39" si="14">SUM(R2:R38)</f>
        <v>34520156.635823652</v>
      </c>
      <c r="S39" s="12">
        <f t="shared" si="14"/>
        <v>19584413.249706943</v>
      </c>
      <c r="T39" s="12">
        <f t="shared" si="14"/>
        <v>18121684.087231241</v>
      </c>
      <c r="U39" s="12">
        <f t="shared" si="14"/>
        <v>23236932.895254251</v>
      </c>
      <c r="V39" s="12">
        <f t="shared" si="14"/>
        <v>30451315.470023338</v>
      </c>
      <c r="W39" s="12">
        <f t="shared" si="14"/>
        <v>29499148.583251406</v>
      </c>
      <c r="X39" s="12">
        <f t="shared" si="14"/>
        <v>29194459.468452979</v>
      </c>
      <c r="Y39" s="12">
        <f t="shared" si="14"/>
        <v>32419466.166549969</v>
      </c>
      <c r="Z39" s="12">
        <f t="shared" si="14"/>
        <v>33347911.607960593</v>
      </c>
      <c r="AA39" s="12">
        <f t="shared" si="14"/>
        <v>28693684.154265389</v>
      </c>
      <c r="AB39" s="12">
        <f t="shared" si="14"/>
        <v>37136930.64791093</v>
      </c>
      <c r="AC39" s="12">
        <f t="shared" si="14"/>
        <v>340179183.73781961</v>
      </c>
    </row>
    <row r="41" spans="1:29" x14ac:dyDescent="0.2">
      <c r="M41" s="15">
        <v>0.05</v>
      </c>
      <c r="N41" s="10">
        <f>N$39*M41</f>
        <v>127.7</v>
      </c>
      <c r="O41" s="10">
        <f>O$39*M41</f>
        <v>10.641666666666667</v>
      </c>
    </row>
    <row r="42" spans="1:29" x14ac:dyDescent="0.2">
      <c r="M42" s="15">
        <v>0.1</v>
      </c>
      <c r="N42" s="10">
        <f>N$39*M42</f>
        <v>255.4</v>
      </c>
      <c r="O42" s="10">
        <f>O$39*M42</f>
        <v>21.283333333333335</v>
      </c>
    </row>
    <row r="43" spans="1:29" x14ac:dyDescent="0.2">
      <c r="M43" s="15">
        <v>0.15</v>
      </c>
      <c r="N43" s="10">
        <f>N$39*M43</f>
        <v>383.09999999999997</v>
      </c>
      <c r="O43" s="10">
        <f>O$39*M43</f>
        <v>31.925000000000001</v>
      </c>
    </row>
    <row r="44" spans="1:29" x14ac:dyDescent="0.2">
      <c r="M44" s="15">
        <v>0.2</v>
      </c>
      <c r="N44" s="10">
        <f>N$39*M44</f>
        <v>510.8</v>
      </c>
      <c r="O44" s="10">
        <f>O$39*M44</f>
        <v>42.56666666666667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Casa</vt:lpstr>
      <vt:lpstr>Departamento</vt:lpstr>
      <vt:lpstr>Terreno</vt:lpstr>
      <vt:lpstr>PH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Canzonieri</dc:creator>
  <cp:lastModifiedBy>Francisco Benegas</cp:lastModifiedBy>
  <dcterms:created xsi:type="dcterms:W3CDTF">2025-11-13T20:35:43Z</dcterms:created>
  <dcterms:modified xsi:type="dcterms:W3CDTF">2026-03-18T14:29:07Z</dcterms:modified>
</cp:coreProperties>
</file>