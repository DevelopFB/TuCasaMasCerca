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franciscobenegas/Desktop/CLAUDE/TCMC/Coldwellbankers/"/>
    </mc:Choice>
  </mc:AlternateContent>
  <xr:revisionPtr revIDLastSave="0" documentId="13_ncr:1_{DBBD924D-55B3-464D-ADDF-8273D11A7FC0}" xr6:coauthVersionLast="47" xr6:coauthVersionMax="47" xr10:uidLastSave="{00000000-0000-0000-0000-000000000000}"/>
  <bookViews>
    <workbookView xWindow="33600" yWindow="-2980" windowWidth="38400" windowHeight="21000" activeTab="1" xr2:uid="{14470EEB-DF05-404C-BF21-AE95280C8258}"/>
  </bookViews>
  <sheets>
    <sheet name="Mapa Oficinas" sheetId="2" r:id="rId1"/>
    <sheet name="Operaciones Venta" sheetId="1" r:id="rId2"/>
    <sheet name="DESCARTADO" sheetId="3" r:id="rId3"/>
  </sheets>
  <definedNames>
    <definedName name="_xlnm._FilterDatabase" localSheetId="1" hidden="1">'Operaciones Venta'!$A$1:$Q$2746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1" l="1"/>
  <c r="S3" i="1"/>
  <c r="R4" i="1"/>
  <c r="S4" i="1"/>
  <c r="R5" i="1"/>
  <c r="S5" i="1"/>
  <c r="R6" i="1"/>
  <c r="S6" i="1"/>
  <c r="R7" i="1"/>
  <c r="S7" i="1"/>
  <c r="R8" i="1"/>
  <c r="S8" i="1"/>
  <c r="R9" i="1"/>
  <c r="S9" i="1"/>
  <c r="R10" i="1"/>
  <c r="S10" i="1"/>
  <c r="R11" i="1"/>
  <c r="S11" i="1"/>
  <c r="R12" i="1"/>
  <c r="S12" i="1"/>
  <c r="R13" i="1"/>
  <c r="S13" i="1"/>
  <c r="R14" i="1"/>
  <c r="S14" i="1"/>
  <c r="R15" i="1"/>
  <c r="S15" i="1"/>
  <c r="R16" i="1"/>
  <c r="S16" i="1"/>
  <c r="R17" i="1"/>
  <c r="S17" i="1"/>
  <c r="R18" i="1"/>
  <c r="S18" i="1"/>
  <c r="R19" i="1"/>
  <c r="S19" i="1"/>
  <c r="R20" i="1"/>
  <c r="S20" i="1"/>
  <c r="R21" i="1"/>
  <c r="S21" i="1"/>
  <c r="R22" i="1"/>
  <c r="S22" i="1"/>
  <c r="R23" i="1"/>
  <c r="S23" i="1"/>
  <c r="R24" i="1"/>
  <c r="S24" i="1"/>
  <c r="R25" i="1"/>
  <c r="S25" i="1"/>
  <c r="R26" i="1"/>
  <c r="S26" i="1"/>
  <c r="R27" i="1"/>
  <c r="S27" i="1"/>
  <c r="R28" i="1"/>
  <c r="S28" i="1"/>
  <c r="R29" i="1"/>
  <c r="S29" i="1"/>
  <c r="R30" i="1"/>
  <c r="S30" i="1"/>
  <c r="R31" i="1"/>
  <c r="S31" i="1"/>
  <c r="R32" i="1"/>
  <c r="S32" i="1"/>
  <c r="R33" i="1"/>
  <c r="S33" i="1"/>
  <c r="R34" i="1"/>
  <c r="S34" i="1"/>
  <c r="R35" i="1"/>
  <c r="S35" i="1"/>
  <c r="R36" i="1"/>
  <c r="S36" i="1"/>
  <c r="R37" i="1"/>
  <c r="S37" i="1"/>
  <c r="R38" i="1"/>
  <c r="S38" i="1"/>
  <c r="R39" i="1"/>
  <c r="S39" i="1"/>
  <c r="R40" i="1"/>
  <c r="S40" i="1"/>
  <c r="R41" i="1"/>
  <c r="S41" i="1"/>
  <c r="R42" i="1"/>
  <c r="S42" i="1"/>
  <c r="R43" i="1"/>
  <c r="S43" i="1"/>
  <c r="R44" i="1"/>
  <c r="S44" i="1"/>
  <c r="R45" i="1"/>
  <c r="S45" i="1"/>
  <c r="R46" i="1"/>
  <c r="S46" i="1"/>
  <c r="R47" i="1"/>
  <c r="S47" i="1"/>
  <c r="R48" i="1"/>
  <c r="S48" i="1"/>
  <c r="R49" i="1"/>
  <c r="S49" i="1"/>
  <c r="R50" i="1"/>
  <c r="S50" i="1"/>
  <c r="R51" i="1"/>
  <c r="S51" i="1"/>
  <c r="R52" i="1"/>
  <c r="S52" i="1"/>
  <c r="R53" i="1"/>
  <c r="S53" i="1"/>
  <c r="R54" i="1"/>
  <c r="S54" i="1"/>
  <c r="R55" i="1"/>
  <c r="S55" i="1"/>
  <c r="R56" i="1"/>
  <c r="S56" i="1"/>
  <c r="R57" i="1"/>
  <c r="S57" i="1"/>
  <c r="R58" i="1"/>
  <c r="S58" i="1"/>
  <c r="R59" i="1"/>
  <c r="S59" i="1"/>
  <c r="R60" i="1"/>
  <c r="S60" i="1"/>
  <c r="R61" i="1"/>
  <c r="S61" i="1"/>
  <c r="R62" i="1"/>
  <c r="S62" i="1"/>
  <c r="R63" i="1"/>
  <c r="S63" i="1"/>
  <c r="R64" i="1"/>
  <c r="S64" i="1"/>
  <c r="R65" i="1"/>
  <c r="S65" i="1"/>
  <c r="R66" i="1"/>
  <c r="S66" i="1"/>
  <c r="R67" i="1"/>
  <c r="S67" i="1"/>
  <c r="R68" i="1"/>
  <c r="S68" i="1"/>
  <c r="R69" i="1"/>
  <c r="S69" i="1"/>
  <c r="R70" i="1"/>
  <c r="S70" i="1"/>
  <c r="R71" i="1"/>
  <c r="S71" i="1"/>
  <c r="R72" i="1"/>
  <c r="S72" i="1"/>
  <c r="R73" i="1"/>
  <c r="S73" i="1"/>
  <c r="R74" i="1"/>
  <c r="S74" i="1"/>
  <c r="R75" i="1"/>
  <c r="S75" i="1"/>
  <c r="R76" i="1"/>
  <c r="S76" i="1"/>
  <c r="R77" i="1"/>
  <c r="S77" i="1"/>
  <c r="R78" i="1"/>
  <c r="S78" i="1"/>
  <c r="R79" i="1"/>
  <c r="S79" i="1"/>
  <c r="R80" i="1"/>
  <c r="S80" i="1"/>
  <c r="R81" i="1"/>
  <c r="S81" i="1"/>
  <c r="R82" i="1"/>
  <c r="S82" i="1"/>
  <c r="R83" i="1"/>
  <c r="S83" i="1"/>
  <c r="R84" i="1"/>
  <c r="S84" i="1"/>
  <c r="R85" i="1"/>
  <c r="S85" i="1"/>
  <c r="R86" i="1"/>
  <c r="S86" i="1"/>
  <c r="R87" i="1"/>
  <c r="S87" i="1"/>
  <c r="R88" i="1"/>
  <c r="S88" i="1"/>
  <c r="R89" i="1"/>
  <c r="S89" i="1"/>
  <c r="R90" i="1"/>
  <c r="S90" i="1"/>
  <c r="R91" i="1"/>
  <c r="S91" i="1"/>
  <c r="R92" i="1"/>
  <c r="S92" i="1"/>
  <c r="R93" i="1"/>
  <c r="S93" i="1"/>
  <c r="R94" i="1"/>
  <c r="S94" i="1"/>
  <c r="R95" i="1"/>
  <c r="S95" i="1"/>
  <c r="R96" i="1"/>
  <c r="S96" i="1"/>
  <c r="R97" i="1"/>
  <c r="S97" i="1"/>
  <c r="R98" i="1"/>
  <c r="S98" i="1"/>
  <c r="R99" i="1"/>
  <c r="S99" i="1"/>
  <c r="R100" i="1"/>
  <c r="S100" i="1"/>
  <c r="R101" i="1"/>
  <c r="S101" i="1"/>
  <c r="R102" i="1"/>
  <c r="S102" i="1"/>
  <c r="R103" i="1"/>
  <c r="S103" i="1"/>
  <c r="R104" i="1"/>
  <c r="S104" i="1"/>
  <c r="R105" i="1"/>
  <c r="S105" i="1"/>
  <c r="R106" i="1"/>
  <c r="S106" i="1"/>
  <c r="R107" i="1"/>
  <c r="S107" i="1"/>
  <c r="R108" i="1"/>
  <c r="S108" i="1"/>
  <c r="R109" i="1"/>
  <c r="S109" i="1"/>
  <c r="R110" i="1"/>
  <c r="S110" i="1"/>
  <c r="R111" i="1"/>
  <c r="S111" i="1"/>
  <c r="R112" i="1"/>
  <c r="S112" i="1"/>
  <c r="R113" i="1"/>
  <c r="S113" i="1"/>
  <c r="R114" i="1"/>
  <c r="S114" i="1"/>
  <c r="R115" i="1"/>
  <c r="S115" i="1"/>
  <c r="R116" i="1"/>
  <c r="S116" i="1"/>
  <c r="R117" i="1"/>
  <c r="S117" i="1"/>
  <c r="R118" i="1"/>
  <c r="S118" i="1"/>
  <c r="R119" i="1"/>
  <c r="S119" i="1"/>
  <c r="R120" i="1"/>
  <c r="S120" i="1"/>
  <c r="R121" i="1"/>
  <c r="S121" i="1"/>
  <c r="R122" i="1"/>
  <c r="S122" i="1"/>
  <c r="R123" i="1"/>
  <c r="S123" i="1"/>
  <c r="R124" i="1"/>
  <c r="S124" i="1"/>
  <c r="R125" i="1"/>
  <c r="S125" i="1"/>
  <c r="R126" i="1"/>
  <c r="S126" i="1"/>
  <c r="R127" i="1"/>
  <c r="S127" i="1"/>
  <c r="R128" i="1"/>
  <c r="S128" i="1"/>
  <c r="R129" i="1"/>
  <c r="S129" i="1"/>
  <c r="R130" i="1"/>
  <c r="S130" i="1"/>
  <c r="R131" i="1"/>
  <c r="S131" i="1"/>
  <c r="R132" i="1"/>
  <c r="S132" i="1"/>
  <c r="R133" i="1"/>
  <c r="S133" i="1"/>
  <c r="R134" i="1"/>
  <c r="S134" i="1"/>
  <c r="R135" i="1"/>
  <c r="S135" i="1"/>
  <c r="R136" i="1"/>
  <c r="S136" i="1"/>
  <c r="R137" i="1"/>
  <c r="S137" i="1"/>
  <c r="R138" i="1"/>
  <c r="S138" i="1"/>
  <c r="R139" i="1"/>
  <c r="S139" i="1"/>
  <c r="R140" i="1"/>
  <c r="S140" i="1"/>
  <c r="R141" i="1"/>
  <c r="S141" i="1"/>
  <c r="R142" i="1"/>
  <c r="S142" i="1"/>
  <c r="R143" i="1"/>
  <c r="S143" i="1"/>
  <c r="R144" i="1"/>
  <c r="S144" i="1"/>
  <c r="R145" i="1"/>
  <c r="S145" i="1"/>
  <c r="R146" i="1"/>
  <c r="S146" i="1"/>
  <c r="R147" i="1"/>
  <c r="S147" i="1"/>
  <c r="R148" i="1"/>
  <c r="S148" i="1"/>
  <c r="R149" i="1"/>
  <c r="S149" i="1"/>
  <c r="R150" i="1"/>
  <c r="S150" i="1"/>
  <c r="R151" i="1"/>
  <c r="S151" i="1"/>
  <c r="R152" i="1"/>
  <c r="S152" i="1"/>
  <c r="R153" i="1"/>
  <c r="S153" i="1"/>
  <c r="R154" i="1"/>
  <c r="S154" i="1"/>
  <c r="R155" i="1"/>
  <c r="S155" i="1"/>
  <c r="R156" i="1"/>
  <c r="S156" i="1"/>
  <c r="R157" i="1"/>
  <c r="S157" i="1"/>
  <c r="R158" i="1"/>
  <c r="S158" i="1"/>
  <c r="R159" i="1"/>
  <c r="S159" i="1"/>
  <c r="R160" i="1"/>
  <c r="S160" i="1"/>
  <c r="R161" i="1"/>
  <c r="S161" i="1"/>
  <c r="R162" i="1"/>
  <c r="S162" i="1"/>
  <c r="R163" i="1"/>
  <c r="S163" i="1"/>
  <c r="R164" i="1"/>
  <c r="S164" i="1"/>
  <c r="R165" i="1"/>
  <c r="S165" i="1"/>
  <c r="R166" i="1"/>
  <c r="S166" i="1"/>
  <c r="R167" i="1"/>
  <c r="S167" i="1"/>
  <c r="R168" i="1"/>
  <c r="S168" i="1"/>
  <c r="R169" i="1"/>
  <c r="S169" i="1"/>
  <c r="R170" i="1"/>
  <c r="S170" i="1"/>
  <c r="R171" i="1"/>
  <c r="S171" i="1"/>
  <c r="R172" i="1"/>
  <c r="S172" i="1"/>
  <c r="R173" i="1"/>
  <c r="S173" i="1"/>
  <c r="R174" i="1"/>
  <c r="S174" i="1"/>
  <c r="R175" i="1"/>
  <c r="S175" i="1"/>
  <c r="R176" i="1"/>
  <c r="S176" i="1"/>
  <c r="R177" i="1"/>
  <c r="S177" i="1"/>
  <c r="R178" i="1"/>
  <c r="S178" i="1"/>
  <c r="R179" i="1"/>
  <c r="S179" i="1"/>
  <c r="R180" i="1"/>
  <c r="S180" i="1"/>
  <c r="R181" i="1"/>
  <c r="S181" i="1"/>
  <c r="R182" i="1"/>
  <c r="S182" i="1"/>
  <c r="R183" i="1"/>
  <c r="S183" i="1"/>
  <c r="R184" i="1"/>
  <c r="S184" i="1"/>
  <c r="R185" i="1"/>
  <c r="S185" i="1"/>
  <c r="R186" i="1"/>
  <c r="S186" i="1"/>
  <c r="R187" i="1"/>
  <c r="S187" i="1"/>
  <c r="R188" i="1"/>
  <c r="S188" i="1"/>
  <c r="R189" i="1"/>
  <c r="S189" i="1"/>
  <c r="R190" i="1"/>
  <c r="S190" i="1"/>
  <c r="R191" i="1"/>
  <c r="S191" i="1"/>
  <c r="R192" i="1"/>
  <c r="S192" i="1"/>
  <c r="R193" i="1"/>
  <c r="S193" i="1"/>
  <c r="R194" i="1"/>
  <c r="S194" i="1"/>
  <c r="R195" i="1"/>
  <c r="S195" i="1"/>
  <c r="R196" i="1"/>
  <c r="S196" i="1"/>
  <c r="R197" i="1"/>
  <c r="S197" i="1"/>
  <c r="R198" i="1"/>
  <c r="S198" i="1"/>
  <c r="R199" i="1"/>
  <c r="S199" i="1"/>
  <c r="R200" i="1"/>
  <c r="S200" i="1"/>
  <c r="R201" i="1"/>
  <c r="S201" i="1"/>
  <c r="R202" i="1"/>
  <c r="S202" i="1"/>
  <c r="R203" i="1"/>
  <c r="S203" i="1"/>
  <c r="R204" i="1"/>
  <c r="S204" i="1"/>
  <c r="R205" i="1"/>
  <c r="S205" i="1"/>
  <c r="R206" i="1"/>
  <c r="S206" i="1"/>
  <c r="R207" i="1"/>
  <c r="S207" i="1"/>
  <c r="R208" i="1"/>
  <c r="S208" i="1"/>
  <c r="R209" i="1"/>
  <c r="S209" i="1"/>
  <c r="R210" i="1"/>
  <c r="S210" i="1"/>
  <c r="R211" i="1"/>
  <c r="S211" i="1"/>
  <c r="R212" i="1"/>
  <c r="S212" i="1"/>
  <c r="R213" i="1"/>
  <c r="S213" i="1"/>
  <c r="R214" i="1"/>
  <c r="S214" i="1"/>
  <c r="R215" i="1"/>
  <c r="S215" i="1"/>
  <c r="R216" i="1"/>
  <c r="S216" i="1"/>
  <c r="R217" i="1"/>
  <c r="S217" i="1"/>
  <c r="R218" i="1"/>
  <c r="S218" i="1"/>
  <c r="R219" i="1"/>
  <c r="S219" i="1"/>
  <c r="R220" i="1"/>
  <c r="S220" i="1"/>
  <c r="R221" i="1"/>
  <c r="S221" i="1"/>
  <c r="R222" i="1"/>
  <c r="S222" i="1"/>
  <c r="R223" i="1"/>
  <c r="S223" i="1"/>
  <c r="R224" i="1"/>
  <c r="S224" i="1"/>
  <c r="R225" i="1"/>
  <c r="S225" i="1"/>
  <c r="R226" i="1"/>
  <c r="S226" i="1"/>
  <c r="R227" i="1"/>
  <c r="S227" i="1"/>
  <c r="R228" i="1"/>
  <c r="S228" i="1"/>
  <c r="R229" i="1"/>
  <c r="S229" i="1"/>
  <c r="R230" i="1"/>
  <c r="S230" i="1"/>
  <c r="R231" i="1"/>
  <c r="S231" i="1"/>
  <c r="R232" i="1"/>
  <c r="S232" i="1"/>
  <c r="R233" i="1"/>
  <c r="S233" i="1"/>
  <c r="R234" i="1"/>
  <c r="S234" i="1"/>
  <c r="R235" i="1"/>
  <c r="S235" i="1"/>
  <c r="R236" i="1"/>
  <c r="S236" i="1"/>
  <c r="R237" i="1"/>
  <c r="S237" i="1"/>
  <c r="R238" i="1"/>
  <c r="S238" i="1"/>
  <c r="R239" i="1"/>
  <c r="S239" i="1"/>
  <c r="R240" i="1"/>
  <c r="S240" i="1"/>
  <c r="R241" i="1"/>
  <c r="S241" i="1"/>
  <c r="R242" i="1"/>
  <c r="S242" i="1"/>
  <c r="R243" i="1"/>
  <c r="S243" i="1"/>
  <c r="R244" i="1"/>
  <c r="S244" i="1"/>
  <c r="R245" i="1"/>
  <c r="S245" i="1"/>
  <c r="R246" i="1"/>
  <c r="S246" i="1"/>
  <c r="R247" i="1"/>
  <c r="S247" i="1"/>
  <c r="R248" i="1"/>
  <c r="S248" i="1"/>
  <c r="R249" i="1"/>
  <c r="S249" i="1"/>
  <c r="R250" i="1"/>
  <c r="S250" i="1"/>
  <c r="R251" i="1"/>
  <c r="S251" i="1"/>
  <c r="R252" i="1"/>
  <c r="S252" i="1"/>
  <c r="R253" i="1"/>
  <c r="S253" i="1"/>
  <c r="R254" i="1"/>
  <c r="S254" i="1"/>
  <c r="R255" i="1"/>
  <c r="S255" i="1"/>
  <c r="R256" i="1"/>
  <c r="S256" i="1"/>
  <c r="R257" i="1"/>
  <c r="S257" i="1"/>
  <c r="R258" i="1"/>
  <c r="S258" i="1"/>
  <c r="R259" i="1"/>
  <c r="S259" i="1"/>
  <c r="R260" i="1"/>
  <c r="S260" i="1"/>
  <c r="R261" i="1"/>
  <c r="S261" i="1"/>
  <c r="R262" i="1"/>
  <c r="S262" i="1"/>
  <c r="R263" i="1"/>
  <c r="S263" i="1"/>
  <c r="R264" i="1"/>
  <c r="S264" i="1"/>
  <c r="R265" i="1"/>
  <c r="S265" i="1"/>
  <c r="R266" i="1"/>
  <c r="S266" i="1"/>
  <c r="R267" i="1"/>
  <c r="S267" i="1"/>
  <c r="R268" i="1"/>
  <c r="S268" i="1"/>
  <c r="R269" i="1"/>
  <c r="S269" i="1"/>
  <c r="R270" i="1"/>
  <c r="S270" i="1"/>
  <c r="R271" i="1"/>
  <c r="S271" i="1"/>
  <c r="R272" i="1"/>
  <c r="S272" i="1"/>
  <c r="R273" i="1"/>
  <c r="S273" i="1"/>
  <c r="R274" i="1"/>
  <c r="S274" i="1"/>
  <c r="R275" i="1"/>
  <c r="S275" i="1"/>
  <c r="R276" i="1"/>
  <c r="S276" i="1"/>
  <c r="R277" i="1"/>
  <c r="S277" i="1"/>
  <c r="R278" i="1"/>
  <c r="S278" i="1"/>
  <c r="R279" i="1"/>
  <c r="S279" i="1"/>
  <c r="R280" i="1"/>
  <c r="S280" i="1"/>
  <c r="R281" i="1"/>
  <c r="S281" i="1"/>
  <c r="R282" i="1"/>
  <c r="S282" i="1"/>
  <c r="R283" i="1"/>
  <c r="S283" i="1"/>
  <c r="R284" i="1"/>
  <c r="S284" i="1"/>
  <c r="R285" i="1"/>
  <c r="S285" i="1"/>
  <c r="R286" i="1"/>
  <c r="S286" i="1"/>
  <c r="R287" i="1"/>
  <c r="S287" i="1"/>
  <c r="R288" i="1"/>
  <c r="S288" i="1"/>
  <c r="R289" i="1"/>
  <c r="S289" i="1"/>
  <c r="R290" i="1"/>
  <c r="S290" i="1"/>
  <c r="R291" i="1"/>
  <c r="S291" i="1"/>
  <c r="R292" i="1"/>
  <c r="S292" i="1"/>
  <c r="R293" i="1"/>
  <c r="S293" i="1"/>
  <c r="R294" i="1"/>
  <c r="S294" i="1"/>
  <c r="R295" i="1"/>
  <c r="S295" i="1"/>
  <c r="R296" i="1"/>
  <c r="S296" i="1"/>
  <c r="R297" i="1"/>
  <c r="S297" i="1"/>
  <c r="R298" i="1"/>
  <c r="S298" i="1"/>
  <c r="R299" i="1"/>
  <c r="S299" i="1"/>
  <c r="R300" i="1"/>
  <c r="S300" i="1"/>
  <c r="R301" i="1"/>
  <c r="S301" i="1"/>
  <c r="R302" i="1"/>
  <c r="S302" i="1"/>
  <c r="R303" i="1"/>
  <c r="S303" i="1"/>
  <c r="R304" i="1"/>
  <c r="S304" i="1"/>
  <c r="R305" i="1"/>
  <c r="S305" i="1"/>
  <c r="R306" i="1"/>
  <c r="S306" i="1"/>
  <c r="R307" i="1"/>
  <c r="S307" i="1"/>
  <c r="R308" i="1"/>
  <c r="S308" i="1"/>
  <c r="R309" i="1"/>
  <c r="S309" i="1"/>
  <c r="R310" i="1"/>
  <c r="S310" i="1"/>
  <c r="R311" i="1"/>
  <c r="S311" i="1"/>
  <c r="R312" i="1"/>
  <c r="S312" i="1"/>
  <c r="R313" i="1"/>
  <c r="S313" i="1"/>
  <c r="R314" i="1"/>
  <c r="S314" i="1"/>
  <c r="R315" i="1"/>
  <c r="S315" i="1"/>
  <c r="R316" i="1"/>
  <c r="S316" i="1"/>
  <c r="R317" i="1"/>
  <c r="S317" i="1"/>
  <c r="R318" i="1"/>
  <c r="S318" i="1"/>
  <c r="R319" i="1"/>
  <c r="S319" i="1"/>
  <c r="R320" i="1"/>
  <c r="S320" i="1"/>
  <c r="R321" i="1"/>
  <c r="S321" i="1"/>
  <c r="R322" i="1"/>
  <c r="S322" i="1"/>
  <c r="R323" i="1"/>
  <c r="S323" i="1"/>
  <c r="R324" i="1"/>
  <c r="S324" i="1"/>
  <c r="R325" i="1"/>
  <c r="S325" i="1"/>
  <c r="R326" i="1"/>
  <c r="S326" i="1"/>
  <c r="R327" i="1"/>
  <c r="S327" i="1"/>
  <c r="R328" i="1"/>
  <c r="S328" i="1"/>
  <c r="R329" i="1"/>
  <c r="S329" i="1"/>
  <c r="R330" i="1"/>
  <c r="S330" i="1"/>
  <c r="R331" i="1"/>
  <c r="S331" i="1"/>
  <c r="R332" i="1"/>
  <c r="S332" i="1"/>
  <c r="R333" i="1"/>
  <c r="S333" i="1"/>
  <c r="R334" i="1"/>
  <c r="S334" i="1"/>
  <c r="R335" i="1"/>
  <c r="S335" i="1"/>
  <c r="R336" i="1"/>
  <c r="S336" i="1"/>
  <c r="R337" i="1"/>
  <c r="S337" i="1"/>
  <c r="R338" i="1"/>
  <c r="S338" i="1"/>
  <c r="R339" i="1"/>
  <c r="S339" i="1"/>
  <c r="R340" i="1"/>
  <c r="S340" i="1"/>
  <c r="R341" i="1"/>
  <c r="S341" i="1"/>
  <c r="R342" i="1"/>
  <c r="S342" i="1"/>
  <c r="R343" i="1"/>
  <c r="S343" i="1"/>
  <c r="R344" i="1"/>
  <c r="S344" i="1"/>
  <c r="R345" i="1"/>
  <c r="S345" i="1"/>
  <c r="R346" i="1"/>
  <c r="S346" i="1"/>
  <c r="R347" i="1"/>
  <c r="S347" i="1"/>
  <c r="R348" i="1"/>
  <c r="S348" i="1"/>
  <c r="R349" i="1"/>
  <c r="S349" i="1"/>
  <c r="R350" i="1"/>
  <c r="S350" i="1"/>
  <c r="R351" i="1"/>
  <c r="S351" i="1"/>
  <c r="R352" i="1"/>
  <c r="S352" i="1"/>
  <c r="R353" i="1"/>
  <c r="S353" i="1"/>
  <c r="R354" i="1"/>
  <c r="S354" i="1"/>
  <c r="R355" i="1"/>
  <c r="S355" i="1"/>
  <c r="R356" i="1"/>
  <c r="S356" i="1"/>
  <c r="R357" i="1"/>
  <c r="S357" i="1"/>
  <c r="R358" i="1"/>
  <c r="S358" i="1"/>
  <c r="R359" i="1"/>
  <c r="S359" i="1"/>
  <c r="R360" i="1"/>
  <c r="S360" i="1"/>
  <c r="R361" i="1"/>
  <c r="S361" i="1"/>
  <c r="R362" i="1"/>
  <c r="S362" i="1"/>
  <c r="R363" i="1"/>
  <c r="S363" i="1"/>
  <c r="R364" i="1"/>
  <c r="S364" i="1"/>
  <c r="R365" i="1"/>
  <c r="S365" i="1"/>
  <c r="R366" i="1"/>
  <c r="S366" i="1"/>
  <c r="R367" i="1"/>
  <c r="S367" i="1"/>
  <c r="R368" i="1"/>
  <c r="S368" i="1"/>
  <c r="R369" i="1"/>
  <c r="S369" i="1"/>
  <c r="R370" i="1"/>
  <c r="S370" i="1"/>
  <c r="R371" i="1"/>
  <c r="S371" i="1"/>
  <c r="R372" i="1"/>
  <c r="S372" i="1"/>
  <c r="R373" i="1"/>
  <c r="S373" i="1"/>
  <c r="R374" i="1"/>
  <c r="S374" i="1"/>
  <c r="R375" i="1"/>
  <c r="S375" i="1"/>
  <c r="R376" i="1"/>
  <c r="S376" i="1"/>
  <c r="R377" i="1"/>
  <c r="S377" i="1"/>
  <c r="R378" i="1"/>
  <c r="S378" i="1"/>
  <c r="R379" i="1"/>
  <c r="S379" i="1"/>
  <c r="R380" i="1"/>
  <c r="S380" i="1"/>
  <c r="R381" i="1"/>
  <c r="S381" i="1"/>
  <c r="R382" i="1"/>
  <c r="S382" i="1"/>
  <c r="R383" i="1"/>
  <c r="S383" i="1"/>
  <c r="R384" i="1"/>
  <c r="S384" i="1"/>
  <c r="R385" i="1"/>
  <c r="S385" i="1"/>
  <c r="R386" i="1"/>
  <c r="S386" i="1"/>
  <c r="R387" i="1"/>
  <c r="S387" i="1"/>
  <c r="R388" i="1"/>
  <c r="S388" i="1"/>
  <c r="R389" i="1"/>
  <c r="S389" i="1"/>
  <c r="R390" i="1"/>
  <c r="S390" i="1"/>
  <c r="R391" i="1"/>
  <c r="S391" i="1"/>
  <c r="R392" i="1"/>
  <c r="S392" i="1"/>
  <c r="R393" i="1"/>
  <c r="S393" i="1"/>
  <c r="R394" i="1"/>
  <c r="S394" i="1"/>
  <c r="R395" i="1"/>
  <c r="S395" i="1"/>
  <c r="R396" i="1"/>
  <c r="S396" i="1"/>
  <c r="R397" i="1"/>
  <c r="S397" i="1"/>
  <c r="R398" i="1"/>
  <c r="S398" i="1"/>
  <c r="R399" i="1"/>
  <c r="S399" i="1"/>
  <c r="R400" i="1"/>
  <c r="S400" i="1"/>
  <c r="R401" i="1"/>
  <c r="S401" i="1"/>
  <c r="R402" i="1"/>
  <c r="S402" i="1"/>
  <c r="R403" i="1"/>
  <c r="S403" i="1"/>
  <c r="R404" i="1"/>
  <c r="S404" i="1"/>
  <c r="R405" i="1"/>
  <c r="S405" i="1"/>
  <c r="R406" i="1"/>
  <c r="S406" i="1"/>
  <c r="R407" i="1"/>
  <c r="S407" i="1"/>
  <c r="R408" i="1"/>
  <c r="S408" i="1"/>
  <c r="R409" i="1"/>
  <c r="S409" i="1"/>
  <c r="R410" i="1"/>
  <c r="S410" i="1"/>
  <c r="R411" i="1"/>
  <c r="S411" i="1"/>
  <c r="R412" i="1"/>
  <c r="S412" i="1"/>
  <c r="R413" i="1"/>
  <c r="S413" i="1"/>
  <c r="R414" i="1"/>
  <c r="S414" i="1"/>
  <c r="R415" i="1"/>
  <c r="S415" i="1"/>
  <c r="R416" i="1"/>
  <c r="S416" i="1"/>
  <c r="R417" i="1"/>
  <c r="S417" i="1"/>
  <c r="R418" i="1"/>
  <c r="S418" i="1"/>
  <c r="R419" i="1"/>
  <c r="S419" i="1"/>
  <c r="R420" i="1"/>
  <c r="S420" i="1"/>
  <c r="R421" i="1"/>
  <c r="S421" i="1"/>
  <c r="R422" i="1"/>
  <c r="S422" i="1"/>
  <c r="R423" i="1"/>
  <c r="S423" i="1"/>
  <c r="R424" i="1"/>
  <c r="S424" i="1"/>
  <c r="R425" i="1"/>
  <c r="S425" i="1"/>
  <c r="R426" i="1"/>
  <c r="S426" i="1"/>
  <c r="R427" i="1"/>
  <c r="S427" i="1"/>
  <c r="R428" i="1"/>
  <c r="S428" i="1"/>
  <c r="R429" i="1"/>
  <c r="S429" i="1"/>
  <c r="R430" i="1"/>
  <c r="S430" i="1"/>
  <c r="R431" i="1"/>
  <c r="S431" i="1"/>
  <c r="R432" i="1"/>
  <c r="S432" i="1"/>
  <c r="R433" i="1"/>
  <c r="S433" i="1"/>
  <c r="R434" i="1"/>
  <c r="S434" i="1"/>
  <c r="R435" i="1"/>
  <c r="S435" i="1"/>
  <c r="R436" i="1"/>
  <c r="S436" i="1"/>
  <c r="R437" i="1"/>
  <c r="S437" i="1"/>
  <c r="R438" i="1"/>
  <c r="S438" i="1"/>
  <c r="R439" i="1"/>
  <c r="S439" i="1"/>
  <c r="R440" i="1"/>
  <c r="S440" i="1"/>
  <c r="R441" i="1"/>
  <c r="S441" i="1"/>
  <c r="R442" i="1"/>
  <c r="S442" i="1"/>
  <c r="R443" i="1"/>
  <c r="S443" i="1"/>
  <c r="R444" i="1"/>
  <c r="S444" i="1"/>
  <c r="R445" i="1"/>
  <c r="S445" i="1"/>
  <c r="R446" i="1"/>
  <c r="S446" i="1"/>
  <c r="R447" i="1"/>
  <c r="S447" i="1"/>
  <c r="R448" i="1"/>
  <c r="S448" i="1"/>
  <c r="R449" i="1"/>
  <c r="S449" i="1"/>
  <c r="R450" i="1"/>
  <c r="S450" i="1"/>
  <c r="R451" i="1"/>
  <c r="S451" i="1"/>
  <c r="R452" i="1"/>
  <c r="S452" i="1"/>
  <c r="R453" i="1"/>
  <c r="S453" i="1"/>
  <c r="R454" i="1"/>
  <c r="S454" i="1"/>
  <c r="R455" i="1"/>
  <c r="S455" i="1"/>
  <c r="R456" i="1"/>
  <c r="S456" i="1"/>
  <c r="R457" i="1"/>
  <c r="S457" i="1"/>
  <c r="R458" i="1"/>
  <c r="S458" i="1"/>
  <c r="R459" i="1"/>
  <c r="S459" i="1"/>
  <c r="R460" i="1"/>
  <c r="S460" i="1"/>
  <c r="R461" i="1"/>
  <c r="S461" i="1"/>
  <c r="R462" i="1"/>
  <c r="S462" i="1"/>
  <c r="R463" i="1"/>
  <c r="S463" i="1"/>
  <c r="R464" i="1"/>
  <c r="S464" i="1"/>
  <c r="R465" i="1"/>
  <c r="S465" i="1"/>
  <c r="R466" i="1"/>
  <c r="S466" i="1"/>
  <c r="R467" i="1"/>
  <c r="S467" i="1"/>
  <c r="R468" i="1"/>
  <c r="S468" i="1"/>
  <c r="R469" i="1"/>
  <c r="S469" i="1"/>
  <c r="R470" i="1"/>
  <c r="S470" i="1"/>
  <c r="R471" i="1"/>
  <c r="S471" i="1"/>
  <c r="R472" i="1"/>
  <c r="S472" i="1"/>
  <c r="R473" i="1"/>
  <c r="S473" i="1"/>
  <c r="R474" i="1"/>
  <c r="S474" i="1"/>
  <c r="R475" i="1"/>
  <c r="S475" i="1"/>
  <c r="R476" i="1"/>
  <c r="S476" i="1"/>
  <c r="R477" i="1"/>
  <c r="S477" i="1"/>
  <c r="R478" i="1"/>
  <c r="S478" i="1"/>
  <c r="R479" i="1"/>
  <c r="S479" i="1"/>
  <c r="R480" i="1"/>
  <c r="S480" i="1"/>
  <c r="R481" i="1"/>
  <c r="S481" i="1"/>
  <c r="R482" i="1"/>
  <c r="S482" i="1"/>
  <c r="R483" i="1"/>
  <c r="S483" i="1"/>
  <c r="R484" i="1"/>
  <c r="S484" i="1"/>
  <c r="R485" i="1"/>
  <c r="S485" i="1"/>
  <c r="R486" i="1"/>
  <c r="S486" i="1"/>
  <c r="R487" i="1"/>
  <c r="S487" i="1"/>
  <c r="R488" i="1"/>
  <c r="S488" i="1"/>
  <c r="R489" i="1"/>
  <c r="S489" i="1"/>
  <c r="R490" i="1"/>
  <c r="S490" i="1"/>
  <c r="R491" i="1"/>
  <c r="S491" i="1"/>
  <c r="R492" i="1"/>
  <c r="S492" i="1"/>
  <c r="R493" i="1"/>
  <c r="S493" i="1"/>
  <c r="R494" i="1"/>
  <c r="S494" i="1"/>
  <c r="R495" i="1"/>
  <c r="S495" i="1"/>
  <c r="R496" i="1"/>
  <c r="S496" i="1"/>
  <c r="R497" i="1"/>
  <c r="S497" i="1"/>
  <c r="R498" i="1"/>
  <c r="S498" i="1"/>
  <c r="R499" i="1"/>
  <c r="S499" i="1"/>
  <c r="R500" i="1"/>
  <c r="S500" i="1"/>
  <c r="R501" i="1"/>
  <c r="S501" i="1"/>
  <c r="R502" i="1"/>
  <c r="S502" i="1"/>
  <c r="R503" i="1"/>
  <c r="S503" i="1"/>
  <c r="R504" i="1"/>
  <c r="S504" i="1"/>
  <c r="R505" i="1"/>
  <c r="S505" i="1"/>
  <c r="R506" i="1"/>
  <c r="S506" i="1"/>
  <c r="R507" i="1"/>
  <c r="S507" i="1"/>
  <c r="R508" i="1"/>
  <c r="S508" i="1"/>
  <c r="R509" i="1"/>
  <c r="S509" i="1"/>
  <c r="R510" i="1"/>
  <c r="S510" i="1"/>
  <c r="R511" i="1"/>
  <c r="S511" i="1"/>
  <c r="R512" i="1"/>
  <c r="S512" i="1"/>
  <c r="R513" i="1"/>
  <c r="S513" i="1"/>
  <c r="R514" i="1"/>
  <c r="S514" i="1"/>
  <c r="R515" i="1"/>
  <c r="S515" i="1"/>
  <c r="R516" i="1"/>
  <c r="S516" i="1"/>
  <c r="R517" i="1"/>
  <c r="S517" i="1"/>
  <c r="R518" i="1"/>
  <c r="S518" i="1"/>
  <c r="R519" i="1"/>
  <c r="S519" i="1"/>
  <c r="R520" i="1"/>
  <c r="S520" i="1"/>
  <c r="R521" i="1"/>
  <c r="S521" i="1"/>
  <c r="R522" i="1"/>
  <c r="S522" i="1"/>
  <c r="R523" i="1"/>
  <c r="S523" i="1"/>
  <c r="R524" i="1"/>
  <c r="S524" i="1"/>
  <c r="R525" i="1"/>
  <c r="S525" i="1"/>
  <c r="R526" i="1"/>
  <c r="S526" i="1"/>
  <c r="R527" i="1"/>
  <c r="S527" i="1"/>
  <c r="R528" i="1"/>
  <c r="S528" i="1"/>
  <c r="R529" i="1"/>
  <c r="S529" i="1"/>
  <c r="R530" i="1"/>
  <c r="S530" i="1"/>
  <c r="R531" i="1"/>
  <c r="S531" i="1"/>
  <c r="R532" i="1"/>
  <c r="S532" i="1"/>
  <c r="R533" i="1"/>
  <c r="S533" i="1"/>
  <c r="R534" i="1"/>
  <c r="S534" i="1"/>
  <c r="R535" i="1"/>
  <c r="S535" i="1"/>
  <c r="R536" i="1"/>
  <c r="S536" i="1"/>
  <c r="R537" i="1"/>
  <c r="S537" i="1"/>
  <c r="R538" i="1"/>
  <c r="S538" i="1"/>
  <c r="R539" i="1"/>
  <c r="S539" i="1"/>
  <c r="R540" i="1"/>
  <c r="S540" i="1"/>
  <c r="R541" i="1"/>
  <c r="S541" i="1"/>
  <c r="R542" i="1"/>
  <c r="S542" i="1"/>
  <c r="R543" i="1"/>
  <c r="S543" i="1"/>
  <c r="R544" i="1"/>
  <c r="S544" i="1"/>
  <c r="R545" i="1"/>
  <c r="S545" i="1"/>
  <c r="R546" i="1"/>
  <c r="S546" i="1"/>
  <c r="R547" i="1"/>
  <c r="S547" i="1"/>
  <c r="R548" i="1"/>
  <c r="S548" i="1"/>
  <c r="R549" i="1"/>
  <c r="S549" i="1"/>
  <c r="R550" i="1"/>
  <c r="S550" i="1"/>
  <c r="R551" i="1"/>
  <c r="S551" i="1"/>
  <c r="R552" i="1"/>
  <c r="S552" i="1"/>
  <c r="R553" i="1"/>
  <c r="S553" i="1"/>
  <c r="R554" i="1"/>
  <c r="S554" i="1"/>
  <c r="R555" i="1"/>
  <c r="S555" i="1"/>
  <c r="R556" i="1"/>
  <c r="S556" i="1"/>
  <c r="R557" i="1"/>
  <c r="S557" i="1"/>
  <c r="R558" i="1"/>
  <c r="S558" i="1"/>
  <c r="R559" i="1"/>
  <c r="S559" i="1"/>
  <c r="R560" i="1"/>
  <c r="S560" i="1"/>
  <c r="R561" i="1"/>
  <c r="S561" i="1"/>
  <c r="R562" i="1"/>
  <c r="S562" i="1"/>
  <c r="R563" i="1"/>
  <c r="S563" i="1"/>
  <c r="R564" i="1"/>
  <c r="S564" i="1"/>
  <c r="R565" i="1"/>
  <c r="S565" i="1"/>
  <c r="R566" i="1"/>
  <c r="S566" i="1"/>
  <c r="R567" i="1"/>
  <c r="S567" i="1"/>
  <c r="R568" i="1"/>
  <c r="S568" i="1"/>
  <c r="R569" i="1"/>
  <c r="S569" i="1"/>
  <c r="R570" i="1"/>
  <c r="S570" i="1"/>
  <c r="R571" i="1"/>
  <c r="S571" i="1"/>
  <c r="R572" i="1"/>
  <c r="S572" i="1"/>
  <c r="R573" i="1"/>
  <c r="S573" i="1"/>
  <c r="R574" i="1"/>
  <c r="S574" i="1"/>
  <c r="R575" i="1"/>
  <c r="S575" i="1"/>
  <c r="R576" i="1"/>
  <c r="S576" i="1"/>
  <c r="R577" i="1"/>
  <c r="S577" i="1"/>
  <c r="R578" i="1"/>
  <c r="S578" i="1"/>
  <c r="R579" i="1"/>
  <c r="S579" i="1"/>
  <c r="R580" i="1"/>
  <c r="S580" i="1"/>
  <c r="R581" i="1"/>
  <c r="S581" i="1"/>
  <c r="R582" i="1"/>
  <c r="S582" i="1"/>
  <c r="R583" i="1"/>
  <c r="S583" i="1"/>
  <c r="R584" i="1"/>
  <c r="S584" i="1"/>
  <c r="R585" i="1"/>
  <c r="S585" i="1"/>
  <c r="R586" i="1"/>
  <c r="S586" i="1"/>
  <c r="R587" i="1"/>
  <c r="S587" i="1"/>
  <c r="R588" i="1"/>
  <c r="S588" i="1"/>
  <c r="R589" i="1"/>
  <c r="S589" i="1"/>
  <c r="R590" i="1"/>
  <c r="S590" i="1"/>
  <c r="R591" i="1"/>
  <c r="S591" i="1"/>
  <c r="R592" i="1"/>
  <c r="S592" i="1"/>
  <c r="R593" i="1"/>
  <c r="S593" i="1"/>
  <c r="R594" i="1"/>
  <c r="S594" i="1"/>
  <c r="R595" i="1"/>
  <c r="S595" i="1"/>
  <c r="R596" i="1"/>
  <c r="S596" i="1"/>
  <c r="R597" i="1"/>
  <c r="S597" i="1"/>
  <c r="R598" i="1"/>
  <c r="S598" i="1"/>
  <c r="R599" i="1"/>
  <c r="S599" i="1"/>
  <c r="R600" i="1"/>
  <c r="S600" i="1"/>
  <c r="R601" i="1"/>
  <c r="S601" i="1"/>
  <c r="R602" i="1"/>
  <c r="S602" i="1"/>
  <c r="R603" i="1"/>
  <c r="S603" i="1"/>
  <c r="R604" i="1"/>
  <c r="S604" i="1"/>
  <c r="R605" i="1"/>
  <c r="S605" i="1"/>
  <c r="R606" i="1"/>
  <c r="S606" i="1"/>
  <c r="R607" i="1"/>
  <c r="S607" i="1"/>
  <c r="R608" i="1"/>
  <c r="S608" i="1"/>
  <c r="R609" i="1"/>
  <c r="S609" i="1"/>
  <c r="R610" i="1"/>
  <c r="S610" i="1"/>
  <c r="R611" i="1"/>
  <c r="S611" i="1"/>
  <c r="R612" i="1"/>
  <c r="S612" i="1"/>
  <c r="R613" i="1"/>
  <c r="S613" i="1"/>
  <c r="R614" i="1"/>
  <c r="S614" i="1"/>
  <c r="R615" i="1"/>
  <c r="S615" i="1"/>
  <c r="R616" i="1"/>
  <c r="S616" i="1"/>
  <c r="R617" i="1"/>
  <c r="S617" i="1"/>
  <c r="R618" i="1"/>
  <c r="S618" i="1"/>
  <c r="R619" i="1"/>
  <c r="S619" i="1"/>
  <c r="R620" i="1"/>
  <c r="S620" i="1"/>
  <c r="R621" i="1"/>
  <c r="S621" i="1"/>
  <c r="R622" i="1"/>
  <c r="S622" i="1"/>
  <c r="R623" i="1"/>
  <c r="S623" i="1"/>
  <c r="R624" i="1"/>
  <c r="S624" i="1"/>
  <c r="R625" i="1"/>
  <c r="S625" i="1"/>
  <c r="R626" i="1"/>
  <c r="S626" i="1"/>
  <c r="R627" i="1"/>
  <c r="S627" i="1"/>
  <c r="R628" i="1"/>
  <c r="S628" i="1"/>
  <c r="R629" i="1"/>
  <c r="S629" i="1"/>
  <c r="R630" i="1"/>
  <c r="S630" i="1"/>
  <c r="R631" i="1"/>
  <c r="S631" i="1"/>
  <c r="R632" i="1"/>
  <c r="S632" i="1"/>
  <c r="R633" i="1"/>
  <c r="S633" i="1"/>
  <c r="R634" i="1"/>
  <c r="S634" i="1"/>
  <c r="R635" i="1"/>
  <c r="S635" i="1"/>
  <c r="R636" i="1"/>
  <c r="S636" i="1"/>
  <c r="R637" i="1"/>
  <c r="S637" i="1"/>
  <c r="R638" i="1"/>
  <c r="S638" i="1"/>
  <c r="R639" i="1"/>
  <c r="S639" i="1"/>
  <c r="R640" i="1"/>
  <c r="S640" i="1"/>
  <c r="R641" i="1"/>
  <c r="S641" i="1"/>
  <c r="R642" i="1"/>
  <c r="S642" i="1"/>
  <c r="R643" i="1"/>
  <c r="S643" i="1"/>
  <c r="R644" i="1"/>
  <c r="S644" i="1"/>
  <c r="R645" i="1"/>
  <c r="S645" i="1"/>
  <c r="R646" i="1"/>
  <c r="S646" i="1"/>
  <c r="R647" i="1"/>
  <c r="S647" i="1"/>
  <c r="R648" i="1"/>
  <c r="S648" i="1"/>
  <c r="R649" i="1"/>
  <c r="S649" i="1"/>
  <c r="R650" i="1"/>
  <c r="S650" i="1"/>
  <c r="R651" i="1"/>
  <c r="S651" i="1"/>
  <c r="R652" i="1"/>
  <c r="S652" i="1"/>
  <c r="R653" i="1"/>
  <c r="S653" i="1"/>
  <c r="R654" i="1"/>
  <c r="S654" i="1"/>
  <c r="R655" i="1"/>
  <c r="S655" i="1"/>
  <c r="R656" i="1"/>
  <c r="S656" i="1"/>
  <c r="R657" i="1"/>
  <c r="S657" i="1"/>
  <c r="R658" i="1"/>
  <c r="S658" i="1"/>
  <c r="R659" i="1"/>
  <c r="S659" i="1"/>
  <c r="R660" i="1"/>
  <c r="S660" i="1"/>
  <c r="R661" i="1"/>
  <c r="S661" i="1"/>
  <c r="R662" i="1"/>
  <c r="S662" i="1"/>
  <c r="R663" i="1"/>
  <c r="S663" i="1"/>
  <c r="R664" i="1"/>
  <c r="S664" i="1"/>
  <c r="R665" i="1"/>
  <c r="S665" i="1"/>
  <c r="R666" i="1"/>
  <c r="S666" i="1"/>
  <c r="R667" i="1"/>
  <c r="S667" i="1"/>
  <c r="R668" i="1"/>
  <c r="S668" i="1"/>
  <c r="R669" i="1"/>
  <c r="S669" i="1"/>
  <c r="R670" i="1"/>
  <c r="S670" i="1"/>
  <c r="R671" i="1"/>
  <c r="S671" i="1"/>
  <c r="R672" i="1"/>
  <c r="S672" i="1"/>
  <c r="R673" i="1"/>
  <c r="S673" i="1"/>
  <c r="R674" i="1"/>
  <c r="S674" i="1"/>
  <c r="R675" i="1"/>
  <c r="S675" i="1"/>
  <c r="R676" i="1"/>
  <c r="S676" i="1"/>
  <c r="R677" i="1"/>
  <c r="S677" i="1"/>
  <c r="R678" i="1"/>
  <c r="S678" i="1"/>
  <c r="R679" i="1"/>
  <c r="S679" i="1"/>
  <c r="R680" i="1"/>
  <c r="S680" i="1"/>
  <c r="R681" i="1"/>
  <c r="S681" i="1"/>
  <c r="R682" i="1"/>
  <c r="S682" i="1"/>
  <c r="R683" i="1"/>
  <c r="S683" i="1"/>
  <c r="R684" i="1"/>
  <c r="S684" i="1"/>
  <c r="R685" i="1"/>
  <c r="S685" i="1"/>
  <c r="R686" i="1"/>
  <c r="S686" i="1"/>
  <c r="R687" i="1"/>
  <c r="S687" i="1"/>
  <c r="R688" i="1"/>
  <c r="S688" i="1"/>
  <c r="R689" i="1"/>
  <c r="S689" i="1"/>
  <c r="R690" i="1"/>
  <c r="S690" i="1"/>
  <c r="R691" i="1"/>
  <c r="S691" i="1"/>
  <c r="R692" i="1"/>
  <c r="S692" i="1"/>
  <c r="R693" i="1"/>
  <c r="S693" i="1"/>
  <c r="R694" i="1"/>
  <c r="S694" i="1"/>
  <c r="R695" i="1"/>
  <c r="S695" i="1"/>
  <c r="R696" i="1"/>
  <c r="S696" i="1"/>
  <c r="R697" i="1"/>
  <c r="S697" i="1"/>
  <c r="R698" i="1"/>
  <c r="S698" i="1"/>
  <c r="R699" i="1"/>
  <c r="S699" i="1"/>
  <c r="R700" i="1"/>
  <c r="S700" i="1"/>
  <c r="R701" i="1"/>
  <c r="S701" i="1"/>
  <c r="R702" i="1"/>
  <c r="S702" i="1"/>
  <c r="R703" i="1"/>
  <c r="S703" i="1"/>
  <c r="R704" i="1"/>
  <c r="S704" i="1"/>
  <c r="R705" i="1"/>
  <c r="S705" i="1"/>
  <c r="R706" i="1"/>
  <c r="S706" i="1"/>
  <c r="R707" i="1"/>
  <c r="S707" i="1"/>
  <c r="R708" i="1"/>
  <c r="S708" i="1"/>
  <c r="R709" i="1"/>
  <c r="S709" i="1"/>
  <c r="R710" i="1"/>
  <c r="S710" i="1"/>
  <c r="R711" i="1"/>
  <c r="S711" i="1"/>
  <c r="R712" i="1"/>
  <c r="S712" i="1"/>
  <c r="R713" i="1"/>
  <c r="S713" i="1"/>
  <c r="R714" i="1"/>
  <c r="S714" i="1"/>
  <c r="R715" i="1"/>
  <c r="S715" i="1"/>
  <c r="R716" i="1"/>
  <c r="S716" i="1"/>
  <c r="R717" i="1"/>
  <c r="S717" i="1"/>
  <c r="R718" i="1"/>
  <c r="S718" i="1"/>
  <c r="R719" i="1"/>
  <c r="S719" i="1"/>
  <c r="R720" i="1"/>
  <c r="S720" i="1"/>
  <c r="R721" i="1"/>
  <c r="S721" i="1"/>
  <c r="R722" i="1"/>
  <c r="S722" i="1"/>
  <c r="R723" i="1"/>
  <c r="S723" i="1"/>
  <c r="R724" i="1"/>
  <c r="S724" i="1"/>
  <c r="R725" i="1"/>
  <c r="S725" i="1"/>
  <c r="R726" i="1"/>
  <c r="S726" i="1"/>
  <c r="R727" i="1"/>
  <c r="S727" i="1"/>
  <c r="R728" i="1"/>
  <c r="S728" i="1"/>
  <c r="R729" i="1"/>
  <c r="S729" i="1"/>
  <c r="R730" i="1"/>
  <c r="S730" i="1"/>
  <c r="R731" i="1"/>
  <c r="S731" i="1"/>
  <c r="R732" i="1"/>
  <c r="S732" i="1"/>
  <c r="R733" i="1"/>
  <c r="S733" i="1"/>
  <c r="R734" i="1"/>
  <c r="S734" i="1"/>
  <c r="R735" i="1"/>
  <c r="S735" i="1"/>
  <c r="R736" i="1"/>
  <c r="S736" i="1"/>
  <c r="R737" i="1"/>
  <c r="S737" i="1"/>
  <c r="R738" i="1"/>
  <c r="S738" i="1"/>
  <c r="R739" i="1"/>
  <c r="S739" i="1"/>
  <c r="R740" i="1"/>
  <c r="S740" i="1"/>
  <c r="R741" i="1"/>
  <c r="S741" i="1"/>
  <c r="R742" i="1"/>
  <c r="S742" i="1"/>
  <c r="R743" i="1"/>
  <c r="S743" i="1"/>
  <c r="R744" i="1"/>
  <c r="S744" i="1"/>
  <c r="R745" i="1"/>
  <c r="S745" i="1"/>
  <c r="R746" i="1"/>
  <c r="S746" i="1"/>
  <c r="R747" i="1"/>
  <c r="S747" i="1"/>
  <c r="R748" i="1"/>
  <c r="S748" i="1"/>
  <c r="R749" i="1"/>
  <c r="S749" i="1"/>
  <c r="R750" i="1"/>
  <c r="S750" i="1"/>
  <c r="R751" i="1"/>
  <c r="S751" i="1"/>
  <c r="R752" i="1"/>
  <c r="S752" i="1"/>
  <c r="R753" i="1"/>
  <c r="S753" i="1"/>
  <c r="R754" i="1"/>
  <c r="S754" i="1"/>
  <c r="R755" i="1"/>
  <c r="S755" i="1"/>
  <c r="R756" i="1"/>
  <c r="S756" i="1"/>
  <c r="R757" i="1"/>
  <c r="S757" i="1"/>
  <c r="R758" i="1"/>
  <c r="S758" i="1"/>
  <c r="R759" i="1"/>
  <c r="S759" i="1"/>
  <c r="R760" i="1"/>
  <c r="S760" i="1"/>
  <c r="R761" i="1"/>
  <c r="S761" i="1"/>
  <c r="R762" i="1"/>
  <c r="S762" i="1"/>
  <c r="R763" i="1"/>
  <c r="S763" i="1"/>
  <c r="R764" i="1"/>
  <c r="S764" i="1"/>
  <c r="R765" i="1"/>
  <c r="S765" i="1"/>
  <c r="R766" i="1"/>
  <c r="S766" i="1"/>
  <c r="R767" i="1"/>
  <c r="S767" i="1"/>
  <c r="R768" i="1"/>
  <c r="S768" i="1"/>
  <c r="R769" i="1"/>
  <c r="S769" i="1"/>
  <c r="R770" i="1"/>
  <c r="S770" i="1"/>
  <c r="R771" i="1"/>
  <c r="S771" i="1"/>
  <c r="R772" i="1"/>
  <c r="S772" i="1"/>
  <c r="R773" i="1"/>
  <c r="S773" i="1"/>
  <c r="R774" i="1"/>
  <c r="S774" i="1"/>
  <c r="R775" i="1"/>
  <c r="S775" i="1"/>
  <c r="R776" i="1"/>
  <c r="S776" i="1"/>
  <c r="R777" i="1"/>
  <c r="S777" i="1"/>
  <c r="R778" i="1"/>
  <c r="S778" i="1"/>
  <c r="R779" i="1"/>
  <c r="S779" i="1"/>
  <c r="R780" i="1"/>
  <c r="S780" i="1"/>
  <c r="R781" i="1"/>
  <c r="S781" i="1"/>
  <c r="R782" i="1"/>
  <c r="S782" i="1"/>
  <c r="R783" i="1"/>
  <c r="S783" i="1"/>
  <c r="R784" i="1"/>
  <c r="S784" i="1"/>
  <c r="R785" i="1"/>
  <c r="S785" i="1"/>
  <c r="R786" i="1"/>
  <c r="S786" i="1"/>
  <c r="R787" i="1"/>
  <c r="S787" i="1"/>
  <c r="R788" i="1"/>
  <c r="S788" i="1"/>
  <c r="R789" i="1"/>
  <c r="S789" i="1"/>
  <c r="R790" i="1"/>
  <c r="S790" i="1"/>
  <c r="R791" i="1"/>
  <c r="S791" i="1"/>
  <c r="R792" i="1"/>
  <c r="S792" i="1"/>
  <c r="R793" i="1"/>
  <c r="S793" i="1"/>
  <c r="R794" i="1"/>
  <c r="S794" i="1"/>
  <c r="R795" i="1"/>
  <c r="S795" i="1"/>
  <c r="R796" i="1"/>
  <c r="S796" i="1"/>
  <c r="R797" i="1"/>
  <c r="S797" i="1"/>
  <c r="R798" i="1"/>
  <c r="S798" i="1"/>
  <c r="R799" i="1"/>
  <c r="S799" i="1"/>
  <c r="R800" i="1"/>
  <c r="S800" i="1"/>
  <c r="R801" i="1"/>
  <c r="S801" i="1"/>
  <c r="R802" i="1"/>
  <c r="S802" i="1"/>
  <c r="R803" i="1"/>
  <c r="S803" i="1"/>
  <c r="R804" i="1"/>
  <c r="S804" i="1"/>
  <c r="R805" i="1"/>
  <c r="S805" i="1"/>
  <c r="R806" i="1"/>
  <c r="S806" i="1"/>
  <c r="R807" i="1"/>
  <c r="S807" i="1"/>
  <c r="R808" i="1"/>
  <c r="S808" i="1"/>
  <c r="R809" i="1"/>
  <c r="S809" i="1"/>
  <c r="R810" i="1"/>
  <c r="S810" i="1"/>
  <c r="R811" i="1"/>
  <c r="S811" i="1"/>
  <c r="R812" i="1"/>
  <c r="S812" i="1"/>
  <c r="R813" i="1"/>
  <c r="S813" i="1"/>
  <c r="R814" i="1"/>
  <c r="S814" i="1"/>
  <c r="R815" i="1"/>
  <c r="S815" i="1"/>
  <c r="R816" i="1"/>
  <c r="S816" i="1"/>
  <c r="R817" i="1"/>
  <c r="S817" i="1"/>
  <c r="R818" i="1"/>
  <c r="S818" i="1"/>
  <c r="R819" i="1"/>
  <c r="S819" i="1"/>
  <c r="R820" i="1"/>
  <c r="S820" i="1"/>
  <c r="R821" i="1"/>
  <c r="S821" i="1"/>
  <c r="R822" i="1"/>
  <c r="S822" i="1"/>
  <c r="R823" i="1"/>
  <c r="S823" i="1"/>
  <c r="R824" i="1"/>
  <c r="S824" i="1"/>
  <c r="R825" i="1"/>
  <c r="S825" i="1"/>
  <c r="R826" i="1"/>
  <c r="S826" i="1"/>
  <c r="R827" i="1"/>
  <c r="S827" i="1"/>
  <c r="R828" i="1"/>
  <c r="S828" i="1"/>
  <c r="R829" i="1"/>
  <c r="S829" i="1"/>
  <c r="R830" i="1"/>
  <c r="S830" i="1"/>
  <c r="R831" i="1"/>
  <c r="S831" i="1"/>
  <c r="R832" i="1"/>
  <c r="S832" i="1"/>
  <c r="R833" i="1"/>
  <c r="S833" i="1"/>
  <c r="R834" i="1"/>
  <c r="S834" i="1"/>
  <c r="R835" i="1"/>
  <c r="S835" i="1"/>
  <c r="R836" i="1"/>
  <c r="S836" i="1"/>
  <c r="R837" i="1"/>
  <c r="S837" i="1"/>
  <c r="R838" i="1"/>
  <c r="S838" i="1"/>
  <c r="R839" i="1"/>
  <c r="S839" i="1"/>
  <c r="R840" i="1"/>
  <c r="S840" i="1"/>
  <c r="R841" i="1"/>
  <c r="S841" i="1"/>
  <c r="R842" i="1"/>
  <c r="S842" i="1"/>
  <c r="R843" i="1"/>
  <c r="S843" i="1"/>
  <c r="R844" i="1"/>
  <c r="S844" i="1"/>
  <c r="R845" i="1"/>
  <c r="S845" i="1"/>
  <c r="R846" i="1"/>
  <c r="S846" i="1"/>
  <c r="R847" i="1"/>
  <c r="S847" i="1"/>
  <c r="R848" i="1"/>
  <c r="S848" i="1"/>
  <c r="R849" i="1"/>
  <c r="S849" i="1"/>
  <c r="R850" i="1"/>
  <c r="S850" i="1"/>
  <c r="R851" i="1"/>
  <c r="S851" i="1"/>
  <c r="R852" i="1"/>
  <c r="S852" i="1"/>
  <c r="R853" i="1"/>
  <c r="S853" i="1"/>
  <c r="R854" i="1"/>
  <c r="S854" i="1"/>
  <c r="R855" i="1"/>
  <c r="S855" i="1"/>
  <c r="R856" i="1"/>
  <c r="S856" i="1"/>
  <c r="R857" i="1"/>
  <c r="S857" i="1"/>
  <c r="R858" i="1"/>
  <c r="S858" i="1"/>
  <c r="R859" i="1"/>
  <c r="S859" i="1"/>
  <c r="R860" i="1"/>
  <c r="S860" i="1"/>
  <c r="R861" i="1"/>
  <c r="S861" i="1"/>
  <c r="R862" i="1"/>
  <c r="S862" i="1"/>
  <c r="R863" i="1"/>
  <c r="S863" i="1"/>
  <c r="R864" i="1"/>
  <c r="S864" i="1"/>
  <c r="R865" i="1"/>
  <c r="S865" i="1"/>
  <c r="R866" i="1"/>
  <c r="S866" i="1"/>
  <c r="R867" i="1"/>
  <c r="S867" i="1"/>
  <c r="R868" i="1"/>
  <c r="S868" i="1"/>
  <c r="R869" i="1"/>
  <c r="S869" i="1"/>
  <c r="R870" i="1"/>
  <c r="S870" i="1"/>
  <c r="R871" i="1"/>
  <c r="S871" i="1"/>
  <c r="R872" i="1"/>
  <c r="S872" i="1"/>
  <c r="R873" i="1"/>
  <c r="S873" i="1"/>
  <c r="R874" i="1"/>
  <c r="S874" i="1"/>
  <c r="R875" i="1"/>
  <c r="S875" i="1"/>
  <c r="R876" i="1"/>
  <c r="S876" i="1"/>
  <c r="R877" i="1"/>
  <c r="S877" i="1"/>
  <c r="R878" i="1"/>
  <c r="S878" i="1"/>
  <c r="R879" i="1"/>
  <c r="S879" i="1"/>
  <c r="R880" i="1"/>
  <c r="S880" i="1"/>
  <c r="R881" i="1"/>
  <c r="S881" i="1"/>
  <c r="R882" i="1"/>
  <c r="S882" i="1"/>
  <c r="R883" i="1"/>
  <c r="S883" i="1"/>
  <c r="R884" i="1"/>
  <c r="S884" i="1"/>
  <c r="R885" i="1"/>
  <c r="S885" i="1"/>
  <c r="R886" i="1"/>
  <c r="S886" i="1"/>
  <c r="R887" i="1"/>
  <c r="S887" i="1"/>
  <c r="R888" i="1"/>
  <c r="S888" i="1"/>
  <c r="R889" i="1"/>
  <c r="S889" i="1"/>
  <c r="R890" i="1"/>
  <c r="S890" i="1"/>
  <c r="R891" i="1"/>
  <c r="S891" i="1"/>
  <c r="R892" i="1"/>
  <c r="S892" i="1"/>
  <c r="R893" i="1"/>
  <c r="S893" i="1"/>
  <c r="R894" i="1"/>
  <c r="S894" i="1"/>
  <c r="R895" i="1"/>
  <c r="S895" i="1"/>
  <c r="R896" i="1"/>
  <c r="S896" i="1"/>
  <c r="R897" i="1"/>
  <c r="S897" i="1"/>
  <c r="R898" i="1"/>
  <c r="S898" i="1"/>
  <c r="R899" i="1"/>
  <c r="S899" i="1"/>
  <c r="R900" i="1"/>
  <c r="S900" i="1"/>
  <c r="R901" i="1"/>
  <c r="S901" i="1"/>
  <c r="R902" i="1"/>
  <c r="S902" i="1"/>
  <c r="R903" i="1"/>
  <c r="S903" i="1"/>
  <c r="R904" i="1"/>
  <c r="S904" i="1"/>
  <c r="R905" i="1"/>
  <c r="S905" i="1"/>
  <c r="R906" i="1"/>
  <c r="S906" i="1"/>
  <c r="R907" i="1"/>
  <c r="S907" i="1"/>
  <c r="R908" i="1"/>
  <c r="S908" i="1"/>
  <c r="R909" i="1"/>
  <c r="S909" i="1"/>
  <c r="R910" i="1"/>
  <c r="S910" i="1"/>
  <c r="R911" i="1"/>
  <c r="S911" i="1"/>
  <c r="R912" i="1"/>
  <c r="S912" i="1"/>
  <c r="R913" i="1"/>
  <c r="S913" i="1"/>
  <c r="R914" i="1"/>
  <c r="S914" i="1"/>
  <c r="R915" i="1"/>
  <c r="S915" i="1"/>
  <c r="R916" i="1"/>
  <c r="S916" i="1"/>
  <c r="R917" i="1"/>
  <c r="S917" i="1"/>
  <c r="R918" i="1"/>
  <c r="S918" i="1"/>
  <c r="R919" i="1"/>
  <c r="S919" i="1"/>
  <c r="R920" i="1"/>
  <c r="S920" i="1"/>
  <c r="R921" i="1"/>
  <c r="S921" i="1"/>
  <c r="R922" i="1"/>
  <c r="S922" i="1"/>
  <c r="R923" i="1"/>
  <c r="S923" i="1"/>
  <c r="R924" i="1"/>
  <c r="S924" i="1"/>
  <c r="R925" i="1"/>
  <c r="S925" i="1"/>
  <c r="R926" i="1"/>
  <c r="S926" i="1"/>
  <c r="R927" i="1"/>
  <c r="S927" i="1"/>
  <c r="R928" i="1"/>
  <c r="S928" i="1"/>
  <c r="R929" i="1"/>
  <c r="S929" i="1"/>
  <c r="R930" i="1"/>
  <c r="S930" i="1"/>
  <c r="R931" i="1"/>
  <c r="S931" i="1"/>
  <c r="R932" i="1"/>
  <c r="S932" i="1"/>
  <c r="R933" i="1"/>
  <c r="S933" i="1"/>
  <c r="R934" i="1"/>
  <c r="S934" i="1"/>
  <c r="R935" i="1"/>
  <c r="S935" i="1"/>
  <c r="R936" i="1"/>
  <c r="S936" i="1"/>
  <c r="R937" i="1"/>
  <c r="S937" i="1"/>
  <c r="R938" i="1"/>
  <c r="S938" i="1"/>
  <c r="R939" i="1"/>
  <c r="S939" i="1"/>
  <c r="R940" i="1"/>
  <c r="S940" i="1"/>
  <c r="R941" i="1"/>
  <c r="S941" i="1"/>
  <c r="R942" i="1"/>
  <c r="S942" i="1"/>
  <c r="R943" i="1"/>
  <c r="S943" i="1"/>
  <c r="R944" i="1"/>
  <c r="S944" i="1"/>
  <c r="R945" i="1"/>
  <c r="S945" i="1"/>
  <c r="R946" i="1"/>
  <c r="S946" i="1"/>
  <c r="R947" i="1"/>
  <c r="S947" i="1"/>
  <c r="R948" i="1"/>
  <c r="S948" i="1"/>
  <c r="R949" i="1"/>
  <c r="S949" i="1"/>
  <c r="R950" i="1"/>
  <c r="S950" i="1"/>
  <c r="R951" i="1"/>
  <c r="S951" i="1"/>
  <c r="R952" i="1"/>
  <c r="S952" i="1"/>
  <c r="R953" i="1"/>
  <c r="S953" i="1"/>
  <c r="R954" i="1"/>
  <c r="S954" i="1"/>
  <c r="R955" i="1"/>
  <c r="S955" i="1"/>
  <c r="R956" i="1"/>
  <c r="S956" i="1"/>
  <c r="R957" i="1"/>
  <c r="S957" i="1"/>
  <c r="R958" i="1"/>
  <c r="S958" i="1"/>
  <c r="R959" i="1"/>
  <c r="S959" i="1"/>
  <c r="R960" i="1"/>
  <c r="S960" i="1"/>
  <c r="R961" i="1"/>
  <c r="S961" i="1"/>
  <c r="R962" i="1"/>
  <c r="S962" i="1"/>
  <c r="R963" i="1"/>
  <c r="S963" i="1"/>
  <c r="R964" i="1"/>
  <c r="S964" i="1"/>
  <c r="R965" i="1"/>
  <c r="S965" i="1"/>
  <c r="R966" i="1"/>
  <c r="S966" i="1"/>
  <c r="R967" i="1"/>
  <c r="S967" i="1"/>
  <c r="R968" i="1"/>
  <c r="S968" i="1"/>
  <c r="R969" i="1"/>
  <c r="S969" i="1"/>
  <c r="R970" i="1"/>
  <c r="S970" i="1"/>
  <c r="R971" i="1"/>
  <c r="S971" i="1"/>
  <c r="R972" i="1"/>
  <c r="S972" i="1"/>
  <c r="R973" i="1"/>
  <c r="S973" i="1"/>
  <c r="R974" i="1"/>
  <c r="S974" i="1"/>
  <c r="R975" i="1"/>
  <c r="S975" i="1"/>
  <c r="R976" i="1"/>
  <c r="S976" i="1"/>
  <c r="R977" i="1"/>
  <c r="S977" i="1"/>
  <c r="R978" i="1"/>
  <c r="S978" i="1"/>
  <c r="R979" i="1"/>
  <c r="S979" i="1"/>
  <c r="R980" i="1"/>
  <c r="S980" i="1"/>
  <c r="R981" i="1"/>
  <c r="S981" i="1"/>
  <c r="R982" i="1"/>
  <c r="S982" i="1"/>
  <c r="R983" i="1"/>
  <c r="S983" i="1"/>
  <c r="R984" i="1"/>
  <c r="S984" i="1"/>
  <c r="R985" i="1"/>
  <c r="S985" i="1"/>
  <c r="R986" i="1"/>
  <c r="S986" i="1"/>
  <c r="R987" i="1"/>
  <c r="S987" i="1"/>
  <c r="R988" i="1"/>
  <c r="S988" i="1"/>
  <c r="R989" i="1"/>
  <c r="S989" i="1"/>
  <c r="R990" i="1"/>
  <c r="S990" i="1"/>
  <c r="R991" i="1"/>
  <c r="S991" i="1"/>
  <c r="R992" i="1"/>
  <c r="S992" i="1"/>
  <c r="R993" i="1"/>
  <c r="S993" i="1"/>
  <c r="R994" i="1"/>
  <c r="S994" i="1"/>
  <c r="R995" i="1"/>
  <c r="S995" i="1"/>
  <c r="R996" i="1"/>
  <c r="S996" i="1"/>
  <c r="R997" i="1"/>
  <c r="S997" i="1"/>
  <c r="R998" i="1"/>
  <c r="S998" i="1"/>
  <c r="R999" i="1"/>
  <c r="S999" i="1"/>
  <c r="R1000" i="1"/>
  <c r="S1000" i="1"/>
  <c r="R1001" i="1"/>
  <c r="S1001" i="1"/>
  <c r="R1002" i="1"/>
  <c r="S1002" i="1"/>
  <c r="R1003" i="1"/>
  <c r="S1003" i="1"/>
  <c r="R1004" i="1"/>
  <c r="S1004" i="1"/>
  <c r="R1005" i="1"/>
  <c r="S1005" i="1"/>
  <c r="R1006" i="1"/>
  <c r="S1006" i="1"/>
  <c r="R1007" i="1"/>
  <c r="S1007" i="1"/>
  <c r="R1008" i="1"/>
  <c r="S1008" i="1"/>
  <c r="R1009" i="1"/>
  <c r="S1009" i="1"/>
  <c r="R1010" i="1"/>
  <c r="S1010" i="1"/>
  <c r="R1011" i="1"/>
  <c r="S1011" i="1"/>
  <c r="R1012" i="1"/>
  <c r="S1012" i="1"/>
  <c r="R1013" i="1"/>
  <c r="S1013" i="1"/>
  <c r="R1014" i="1"/>
  <c r="S1014" i="1"/>
  <c r="R1015" i="1"/>
  <c r="S1015" i="1"/>
  <c r="R1016" i="1"/>
  <c r="S1016" i="1"/>
  <c r="R1017" i="1"/>
  <c r="S1017" i="1"/>
  <c r="R1018" i="1"/>
  <c r="S1018" i="1"/>
  <c r="R1019" i="1"/>
  <c r="S1019" i="1"/>
  <c r="R1020" i="1"/>
  <c r="S1020" i="1"/>
  <c r="R1021" i="1"/>
  <c r="S1021" i="1"/>
  <c r="R1022" i="1"/>
  <c r="S1022" i="1"/>
  <c r="R1023" i="1"/>
  <c r="S1023" i="1"/>
  <c r="R1024" i="1"/>
  <c r="S1024" i="1"/>
  <c r="R1025" i="1"/>
  <c r="S1025" i="1"/>
  <c r="R1026" i="1"/>
  <c r="S1026" i="1"/>
  <c r="R1027" i="1"/>
  <c r="S1027" i="1"/>
  <c r="R1028" i="1"/>
  <c r="S1028" i="1"/>
  <c r="R1029" i="1"/>
  <c r="S1029" i="1"/>
  <c r="R1030" i="1"/>
  <c r="S1030" i="1"/>
  <c r="R1031" i="1"/>
  <c r="S1031" i="1"/>
  <c r="R1032" i="1"/>
  <c r="S1032" i="1"/>
  <c r="R1033" i="1"/>
  <c r="S1033" i="1"/>
  <c r="R1034" i="1"/>
  <c r="S1034" i="1"/>
  <c r="R1035" i="1"/>
  <c r="S1035" i="1"/>
  <c r="R1036" i="1"/>
  <c r="S1036" i="1"/>
  <c r="R1037" i="1"/>
  <c r="S1037" i="1"/>
  <c r="R1038" i="1"/>
  <c r="S1038" i="1"/>
  <c r="R1039" i="1"/>
  <c r="S1039" i="1"/>
  <c r="R1040" i="1"/>
  <c r="S1040" i="1"/>
  <c r="R1041" i="1"/>
  <c r="S1041" i="1"/>
  <c r="R1042" i="1"/>
  <c r="S1042" i="1"/>
  <c r="R1043" i="1"/>
  <c r="S1043" i="1"/>
  <c r="R1044" i="1"/>
  <c r="S1044" i="1"/>
  <c r="R1045" i="1"/>
  <c r="S1045" i="1"/>
  <c r="R1046" i="1"/>
  <c r="S1046" i="1"/>
  <c r="R1047" i="1"/>
  <c r="S1047" i="1"/>
  <c r="R1048" i="1"/>
  <c r="S1048" i="1"/>
  <c r="R1049" i="1"/>
  <c r="S1049" i="1"/>
  <c r="R1050" i="1"/>
  <c r="S1050" i="1"/>
  <c r="R1051" i="1"/>
  <c r="S1051" i="1"/>
  <c r="R1052" i="1"/>
  <c r="S1052" i="1"/>
  <c r="R1053" i="1"/>
  <c r="S1053" i="1"/>
  <c r="R1054" i="1"/>
  <c r="S1054" i="1"/>
  <c r="R1055" i="1"/>
  <c r="S1055" i="1"/>
  <c r="R1056" i="1"/>
  <c r="S1056" i="1"/>
  <c r="R1057" i="1"/>
  <c r="S1057" i="1"/>
  <c r="R1058" i="1"/>
  <c r="S1058" i="1"/>
  <c r="R1059" i="1"/>
  <c r="S1059" i="1"/>
  <c r="R1060" i="1"/>
  <c r="S1060" i="1"/>
  <c r="R1061" i="1"/>
  <c r="S1061" i="1"/>
  <c r="R1062" i="1"/>
  <c r="S1062" i="1"/>
  <c r="R1063" i="1"/>
  <c r="S1063" i="1"/>
  <c r="R1064" i="1"/>
  <c r="S1064" i="1"/>
  <c r="R1065" i="1"/>
  <c r="S1065" i="1"/>
  <c r="R1066" i="1"/>
  <c r="S1066" i="1"/>
  <c r="R1067" i="1"/>
  <c r="S1067" i="1"/>
  <c r="R1068" i="1"/>
  <c r="S1068" i="1"/>
  <c r="R1069" i="1"/>
  <c r="S1069" i="1"/>
  <c r="R1070" i="1"/>
  <c r="S1070" i="1"/>
  <c r="R1071" i="1"/>
  <c r="S1071" i="1"/>
  <c r="R1072" i="1"/>
  <c r="S1072" i="1"/>
  <c r="R1073" i="1"/>
  <c r="S1073" i="1"/>
  <c r="R1074" i="1"/>
  <c r="S1074" i="1"/>
  <c r="R1075" i="1"/>
  <c r="S1075" i="1"/>
  <c r="R1076" i="1"/>
  <c r="S1076" i="1"/>
  <c r="R1077" i="1"/>
  <c r="S1077" i="1"/>
  <c r="R1078" i="1"/>
  <c r="S1078" i="1"/>
  <c r="R1079" i="1"/>
  <c r="S1079" i="1"/>
  <c r="R1080" i="1"/>
  <c r="S1080" i="1"/>
  <c r="R1081" i="1"/>
  <c r="S1081" i="1"/>
  <c r="R1082" i="1"/>
  <c r="S1082" i="1"/>
  <c r="R1083" i="1"/>
  <c r="S1083" i="1"/>
  <c r="R1084" i="1"/>
  <c r="S1084" i="1"/>
  <c r="R1085" i="1"/>
  <c r="S1085" i="1"/>
  <c r="R1086" i="1"/>
  <c r="S1086" i="1"/>
  <c r="R1087" i="1"/>
  <c r="S1087" i="1"/>
  <c r="R1088" i="1"/>
  <c r="S1088" i="1"/>
  <c r="R1089" i="1"/>
  <c r="S1089" i="1"/>
  <c r="R1090" i="1"/>
  <c r="S1090" i="1"/>
  <c r="R1091" i="1"/>
  <c r="S1091" i="1"/>
  <c r="R1092" i="1"/>
  <c r="S1092" i="1"/>
  <c r="R1093" i="1"/>
  <c r="S1093" i="1"/>
  <c r="R1094" i="1"/>
  <c r="S1094" i="1"/>
  <c r="R1095" i="1"/>
  <c r="S1095" i="1"/>
  <c r="R1096" i="1"/>
  <c r="S1096" i="1"/>
  <c r="R1097" i="1"/>
  <c r="S1097" i="1"/>
  <c r="R1098" i="1"/>
  <c r="S1098" i="1"/>
  <c r="R1099" i="1"/>
  <c r="S1099" i="1"/>
  <c r="R1100" i="1"/>
  <c r="S1100" i="1"/>
  <c r="R1101" i="1"/>
  <c r="S1101" i="1"/>
  <c r="R1102" i="1"/>
  <c r="S1102" i="1"/>
  <c r="R1103" i="1"/>
  <c r="S1103" i="1"/>
  <c r="R1104" i="1"/>
  <c r="S1104" i="1"/>
  <c r="R1105" i="1"/>
  <c r="S1105" i="1"/>
  <c r="R1106" i="1"/>
  <c r="S1106" i="1"/>
  <c r="R1107" i="1"/>
  <c r="S1107" i="1"/>
  <c r="R1108" i="1"/>
  <c r="S1108" i="1"/>
  <c r="R1109" i="1"/>
  <c r="S1109" i="1"/>
  <c r="R1110" i="1"/>
  <c r="S1110" i="1"/>
  <c r="R1111" i="1"/>
  <c r="S1111" i="1"/>
  <c r="R1112" i="1"/>
  <c r="S1112" i="1"/>
  <c r="R1113" i="1"/>
  <c r="S1113" i="1"/>
  <c r="R1114" i="1"/>
  <c r="S1114" i="1"/>
  <c r="R1115" i="1"/>
  <c r="S1115" i="1"/>
  <c r="R1116" i="1"/>
  <c r="S1116" i="1"/>
  <c r="R1117" i="1"/>
  <c r="S1117" i="1"/>
  <c r="R1118" i="1"/>
  <c r="S1118" i="1"/>
  <c r="R1119" i="1"/>
  <c r="S1119" i="1"/>
  <c r="R1120" i="1"/>
  <c r="S1120" i="1"/>
  <c r="R1121" i="1"/>
  <c r="S1121" i="1"/>
  <c r="R1122" i="1"/>
  <c r="S1122" i="1"/>
  <c r="R1123" i="1"/>
  <c r="S1123" i="1"/>
  <c r="R1124" i="1"/>
  <c r="S1124" i="1"/>
  <c r="R1125" i="1"/>
  <c r="S1125" i="1"/>
  <c r="R1126" i="1"/>
  <c r="S1126" i="1"/>
  <c r="R1127" i="1"/>
  <c r="S1127" i="1"/>
  <c r="R1128" i="1"/>
  <c r="S1128" i="1"/>
  <c r="R1129" i="1"/>
  <c r="S1129" i="1"/>
  <c r="R1130" i="1"/>
  <c r="S1130" i="1"/>
  <c r="R1131" i="1"/>
  <c r="S1131" i="1"/>
  <c r="R1132" i="1"/>
  <c r="S1132" i="1"/>
  <c r="R1133" i="1"/>
  <c r="S1133" i="1"/>
  <c r="R1134" i="1"/>
  <c r="S1134" i="1"/>
  <c r="R1135" i="1"/>
  <c r="S1135" i="1"/>
  <c r="R1136" i="1"/>
  <c r="S1136" i="1"/>
  <c r="R1137" i="1"/>
  <c r="S1137" i="1"/>
  <c r="R1138" i="1"/>
  <c r="S1138" i="1"/>
  <c r="R1139" i="1"/>
  <c r="S1139" i="1"/>
  <c r="R1140" i="1"/>
  <c r="S1140" i="1"/>
  <c r="R1141" i="1"/>
  <c r="S1141" i="1"/>
  <c r="R1142" i="1"/>
  <c r="S1142" i="1"/>
  <c r="R1143" i="1"/>
  <c r="S1143" i="1"/>
  <c r="R1144" i="1"/>
  <c r="S1144" i="1"/>
  <c r="R1145" i="1"/>
  <c r="S1145" i="1"/>
  <c r="R1146" i="1"/>
  <c r="S1146" i="1"/>
  <c r="R1147" i="1"/>
  <c r="S1147" i="1"/>
  <c r="R1148" i="1"/>
  <c r="S1148" i="1"/>
  <c r="R1149" i="1"/>
  <c r="S1149" i="1"/>
  <c r="R1150" i="1"/>
  <c r="S1150" i="1"/>
  <c r="R1151" i="1"/>
  <c r="S1151" i="1"/>
  <c r="R1152" i="1"/>
  <c r="S1152" i="1"/>
  <c r="R1153" i="1"/>
  <c r="S1153" i="1"/>
  <c r="R1154" i="1"/>
  <c r="S1154" i="1"/>
  <c r="R1155" i="1"/>
  <c r="S1155" i="1"/>
  <c r="R1156" i="1"/>
  <c r="S1156" i="1"/>
  <c r="R1157" i="1"/>
  <c r="S1157" i="1"/>
  <c r="R1158" i="1"/>
  <c r="S1158" i="1"/>
  <c r="R1159" i="1"/>
  <c r="S1159" i="1"/>
  <c r="R1160" i="1"/>
  <c r="S1160" i="1"/>
  <c r="R1161" i="1"/>
  <c r="S1161" i="1"/>
  <c r="R1162" i="1"/>
  <c r="S1162" i="1"/>
  <c r="R1163" i="1"/>
  <c r="S1163" i="1"/>
  <c r="R1164" i="1"/>
  <c r="S1164" i="1"/>
  <c r="R1165" i="1"/>
  <c r="S1165" i="1"/>
  <c r="R1166" i="1"/>
  <c r="S1166" i="1"/>
  <c r="R1167" i="1"/>
  <c r="S1167" i="1"/>
  <c r="R1168" i="1"/>
  <c r="S1168" i="1"/>
  <c r="R1169" i="1"/>
  <c r="S1169" i="1"/>
  <c r="R1170" i="1"/>
  <c r="S1170" i="1"/>
  <c r="R1171" i="1"/>
  <c r="S1171" i="1"/>
  <c r="R1172" i="1"/>
  <c r="S1172" i="1"/>
  <c r="R1173" i="1"/>
  <c r="S1173" i="1"/>
  <c r="R1174" i="1"/>
  <c r="S1174" i="1"/>
  <c r="R1175" i="1"/>
  <c r="S1175" i="1"/>
  <c r="R1176" i="1"/>
  <c r="S1176" i="1"/>
  <c r="R1177" i="1"/>
  <c r="S1177" i="1"/>
  <c r="R1178" i="1"/>
  <c r="S1178" i="1"/>
  <c r="R1179" i="1"/>
  <c r="S1179" i="1"/>
  <c r="R1180" i="1"/>
  <c r="S1180" i="1"/>
  <c r="R1181" i="1"/>
  <c r="S1181" i="1"/>
  <c r="R1182" i="1"/>
  <c r="S1182" i="1"/>
  <c r="R1183" i="1"/>
  <c r="S1183" i="1"/>
  <c r="R1184" i="1"/>
  <c r="S1184" i="1"/>
  <c r="R1185" i="1"/>
  <c r="S1185" i="1"/>
  <c r="R1186" i="1"/>
  <c r="S1186" i="1"/>
  <c r="R1187" i="1"/>
  <c r="S1187" i="1"/>
  <c r="R1188" i="1"/>
  <c r="S1188" i="1"/>
  <c r="R1189" i="1"/>
  <c r="S1189" i="1"/>
  <c r="R1190" i="1"/>
  <c r="S1190" i="1"/>
  <c r="R1191" i="1"/>
  <c r="S1191" i="1"/>
  <c r="R1192" i="1"/>
  <c r="S1192" i="1"/>
  <c r="R1193" i="1"/>
  <c r="S1193" i="1"/>
  <c r="R1194" i="1"/>
  <c r="S1194" i="1"/>
  <c r="R1195" i="1"/>
  <c r="S1195" i="1"/>
  <c r="R1196" i="1"/>
  <c r="S1196" i="1"/>
  <c r="R1197" i="1"/>
  <c r="S1197" i="1"/>
  <c r="R1198" i="1"/>
  <c r="S1198" i="1"/>
  <c r="R1199" i="1"/>
  <c r="S1199" i="1"/>
  <c r="R1200" i="1"/>
  <c r="S1200" i="1"/>
  <c r="R1201" i="1"/>
  <c r="S1201" i="1"/>
  <c r="R1202" i="1"/>
  <c r="S1202" i="1"/>
  <c r="R1203" i="1"/>
  <c r="S1203" i="1"/>
  <c r="R1204" i="1"/>
  <c r="S1204" i="1"/>
  <c r="R1205" i="1"/>
  <c r="S1205" i="1"/>
  <c r="R1206" i="1"/>
  <c r="S1206" i="1"/>
  <c r="R1207" i="1"/>
  <c r="S1207" i="1"/>
  <c r="R1208" i="1"/>
  <c r="S1208" i="1"/>
  <c r="R1209" i="1"/>
  <c r="S1209" i="1"/>
  <c r="R1210" i="1"/>
  <c r="S1210" i="1"/>
  <c r="R1211" i="1"/>
  <c r="S1211" i="1"/>
  <c r="R1212" i="1"/>
  <c r="S1212" i="1"/>
  <c r="R1213" i="1"/>
  <c r="S1213" i="1"/>
  <c r="R1214" i="1"/>
  <c r="S1214" i="1"/>
  <c r="R1215" i="1"/>
  <c r="S1215" i="1"/>
  <c r="R1216" i="1"/>
  <c r="S1216" i="1"/>
  <c r="R1217" i="1"/>
  <c r="S1217" i="1"/>
  <c r="R1218" i="1"/>
  <c r="S1218" i="1"/>
  <c r="R1219" i="1"/>
  <c r="S1219" i="1"/>
  <c r="R1220" i="1"/>
  <c r="S1220" i="1"/>
  <c r="R1221" i="1"/>
  <c r="S1221" i="1"/>
  <c r="R1222" i="1"/>
  <c r="S1222" i="1"/>
  <c r="R1223" i="1"/>
  <c r="S1223" i="1"/>
  <c r="R1224" i="1"/>
  <c r="S1224" i="1"/>
  <c r="R1225" i="1"/>
  <c r="S1225" i="1"/>
  <c r="R1226" i="1"/>
  <c r="S1226" i="1"/>
  <c r="R1227" i="1"/>
  <c r="S1227" i="1"/>
  <c r="R1228" i="1"/>
  <c r="S1228" i="1"/>
  <c r="R1229" i="1"/>
  <c r="S1229" i="1"/>
  <c r="R1230" i="1"/>
  <c r="S1230" i="1"/>
  <c r="R1231" i="1"/>
  <c r="S1231" i="1"/>
  <c r="R1232" i="1"/>
  <c r="S1232" i="1"/>
  <c r="R1233" i="1"/>
  <c r="S1233" i="1"/>
  <c r="R1234" i="1"/>
  <c r="S1234" i="1"/>
  <c r="R1235" i="1"/>
  <c r="S1235" i="1"/>
  <c r="R1236" i="1"/>
  <c r="S1236" i="1"/>
  <c r="R1237" i="1"/>
  <c r="S1237" i="1"/>
  <c r="R1238" i="1"/>
  <c r="S1238" i="1"/>
  <c r="R1239" i="1"/>
  <c r="S1239" i="1"/>
  <c r="R1240" i="1"/>
  <c r="S1240" i="1"/>
  <c r="R1241" i="1"/>
  <c r="S1241" i="1"/>
  <c r="R1242" i="1"/>
  <c r="S1242" i="1"/>
  <c r="R1243" i="1"/>
  <c r="S1243" i="1"/>
  <c r="R1244" i="1"/>
  <c r="S1244" i="1"/>
  <c r="R1245" i="1"/>
  <c r="S1245" i="1"/>
  <c r="R1246" i="1"/>
  <c r="S1246" i="1"/>
  <c r="R1247" i="1"/>
  <c r="S1247" i="1"/>
  <c r="R1248" i="1"/>
  <c r="S1248" i="1"/>
  <c r="R1249" i="1"/>
  <c r="S1249" i="1"/>
  <c r="R1250" i="1"/>
  <c r="S1250" i="1"/>
  <c r="R1251" i="1"/>
  <c r="S1251" i="1"/>
  <c r="R1252" i="1"/>
  <c r="S1252" i="1"/>
  <c r="R1253" i="1"/>
  <c r="S1253" i="1"/>
  <c r="R1254" i="1"/>
  <c r="S1254" i="1"/>
  <c r="R1255" i="1"/>
  <c r="S1255" i="1"/>
  <c r="R1256" i="1"/>
  <c r="S1256" i="1"/>
  <c r="R1257" i="1"/>
  <c r="S1257" i="1"/>
  <c r="R1258" i="1"/>
  <c r="S1258" i="1"/>
  <c r="R1259" i="1"/>
  <c r="S1259" i="1"/>
  <c r="R1260" i="1"/>
  <c r="S1260" i="1"/>
  <c r="R1261" i="1"/>
  <c r="S1261" i="1"/>
  <c r="R1262" i="1"/>
  <c r="S1262" i="1"/>
  <c r="R1263" i="1"/>
  <c r="S1263" i="1"/>
  <c r="R1264" i="1"/>
  <c r="S1264" i="1"/>
  <c r="R1265" i="1"/>
  <c r="S1265" i="1"/>
  <c r="R1266" i="1"/>
  <c r="S1266" i="1"/>
  <c r="R1267" i="1"/>
  <c r="S1267" i="1"/>
  <c r="R1268" i="1"/>
  <c r="S1268" i="1"/>
  <c r="R1269" i="1"/>
  <c r="S1269" i="1"/>
  <c r="R1270" i="1"/>
  <c r="S1270" i="1"/>
  <c r="R1271" i="1"/>
  <c r="S1271" i="1"/>
  <c r="R1272" i="1"/>
  <c r="S1272" i="1"/>
  <c r="R1273" i="1"/>
  <c r="S1273" i="1"/>
  <c r="R1274" i="1"/>
  <c r="S1274" i="1"/>
  <c r="R1275" i="1"/>
  <c r="S1275" i="1"/>
  <c r="R1276" i="1"/>
  <c r="S1276" i="1"/>
  <c r="R1277" i="1"/>
  <c r="S1277" i="1"/>
  <c r="R1278" i="1"/>
  <c r="S1278" i="1"/>
  <c r="R1279" i="1"/>
  <c r="S1279" i="1"/>
  <c r="R1280" i="1"/>
  <c r="S1280" i="1"/>
  <c r="R1281" i="1"/>
  <c r="S1281" i="1"/>
  <c r="R1282" i="1"/>
  <c r="S1282" i="1"/>
  <c r="R1283" i="1"/>
  <c r="S1283" i="1"/>
  <c r="R1284" i="1"/>
  <c r="S1284" i="1"/>
  <c r="R1285" i="1"/>
  <c r="S1285" i="1"/>
  <c r="R1286" i="1"/>
  <c r="S1286" i="1"/>
  <c r="R1287" i="1"/>
  <c r="S1287" i="1"/>
  <c r="R1288" i="1"/>
  <c r="S1288" i="1"/>
  <c r="R1289" i="1"/>
  <c r="S1289" i="1"/>
  <c r="R1290" i="1"/>
  <c r="S1290" i="1"/>
  <c r="R1291" i="1"/>
  <c r="S1291" i="1"/>
  <c r="R1292" i="1"/>
  <c r="S1292" i="1"/>
  <c r="R1293" i="1"/>
  <c r="S1293" i="1"/>
  <c r="R1294" i="1"/>
  <c r="S1294" i="1"/>
  <c r="R1295" i="1"/>
  <c r="S1295" i="1"/>
  <c r="R1296" i="1"/>
  <c r="S1296" i="1"/>
  <c r="R1297" i="1"/>
  <c r="S1297" i="1"/>
  <c r="R1298" i="1"/>
  <c r="S1298" i="1"/>
  <c r="R1299" i="1"/>
  <c r="S1299" i="1"/>
  <c r="R1300" i="1"/>
  <c r="S1300" i="1"/>
  <c r="R1301" i="1"/>
  <c r="S1301" i="1"/>
  <c r="R1302" i="1"/>
  <c r="S1302" i="1"/>
  <c r="R1303" i="1"/>
  <c r="S1303" i="1"/>
  <c r="R1304" i="1"/>
  <c r="S1304" i="1"/>
  <c r="R1305" i="1"/>
  <c r="S1305" i="1"/>
  <c r="R1306" i="1"/>
  <c r="S1306" i="1"/>
  <c r="R1307" i="1"/>
  <c r="S1307" i="1"/>
  <c r="R1308" i="1"/>
  <c r="S1308" i="1"/>
  <c r="R1309" i="1"/>
  <c r="S1309" i="1"/>
  <c r="R1310" i="1"/>
  <c r="S1310" i="1"/>
  <c r="R1311" i="1"/>
  <c r="S1311" i="1"/>
  <c r="R1312" i="1"/>
  <c r="S1312" i="1"/>
  <c r="R1313" i="1"/>
  <c r="S1313" i="1"/>
  <c r="R1314" i="1"/>
  <c r="S1314" i="1"/>
  <c r="R1315" i="1"/>
  <c r="S1315" i="1"/>
  <c r="R1316" i="1"/>
  <c r="S1316" i="1"/>
  <c r="R1317" i="1"/>
  <c r="S1317" i="1"/>
  <c r="R1318" i="1"/>
  <c r="S1318" i="1"/>
  <c r="R1319" i="1"/>
  <c r="S1319" i="1"/>
  <c r="R1320" i="1"/>
  <c r="S1320" i="1"/>
  <c r="R1321" i="1"/>
  <c r="S1321" i="1"/>
  <c r="R1322" i="1"/>
  <c r="S1322" i="1"/>
  <c r="R1323" i="1"/>
  <c r="S1323" i="1"/>
  <c r="R1324" i="1"/>
  <c r="S1324" i="1"/>
  <c r="R1325" i="1"/>
  <c r="S1325" i="1"/>
  <c r="R1326" i="1"/>
  <c r="S1326" i="1"/>
  <c r="R1327" i="1"/>
  <c r="S1327" i="1"/>
  <c r="R1328" i="1"/>
  <c r="S1328" i="1"/>
  <c r="R1329" i="1"/>
  <c r="S1329" i="1"/>
  <c r="R1330" i="1"/>
  <c r="S1330" i="1"/>
  <c r="R1331" i="1"/>
  <c r="S1331" i="1"/>
  <c r="R1332" i="1"/>
  <c r="S1332" i="1"/>
  <c r="R1333" i="1"/>
  <c r="S1333" i="1"/>
  <c r="R1334" i="1"/>
  <c r="S1334" i="1"/>
  <c r="R1335" i="1"/>
  <c r="S1335" i="1"/>
  <c r="R1336" i="1"/>
  <c r="S1336" i="1"/>
  <c r="R1337" i="1"/>
  <c r="S1337" i="1"/>
  <c r="R1338" i="1"/>
  <c r="S1338" i="1"/>
  <c r="R1339" i="1"/>
  <c r="S1339" i="1"/>
  <c r="R1340" i="1"/>
  <c r="S1340" i="1"/>
  <c r="R1341" i="1"/>
  <c r="S1341" i="1"/>
  <c r="R1342" i="1"/>
  <c r="S1342" i="1"/>
  <c r="R1343" i="1"/>
  <c r="S1343" i="1"/>
  <c r="R1344" i="1"/>
  <c r="S1344" i="1"/>
  <c r="R1345" i="1"/>
  <c r="S1345" i="1"/>
  <c r="R1346" i="1"/>
  <c r="S1346" i="1"/>
  <c r="R1347" i="1"/>
  <c r="S1347" i="1"/>
  <c r="R1348" i="1"/>
  <c r="S1348" i="1"/>
  <c r="R1349" i="1"/>
  <c r="S1349" i="1"/>
  <c r="R1350" i="1"/>
  <c r="S1350" i="1"/>
  <c r="R1351" i="1"/>
  <c r="S1351" i="1"/>
  <c r="R1352" i="1"/>
  <c r="S1352" i="1"/>
  <c r="R1353" i="1"/>
  <c r="S1353" i="1"/>
  <c r="R1354" i="1"/>
  <c r="S1354" i="1"/>
  <c r="R1355" i="1"/>
  <c r="S1355" i="1"/>
  <c r="R1356" i="1"/>
  <c r="S1356" i="1"/>
  <c r="R1357" i="1"/>
  <c r="S1357" i="1"/>
  <c r="R1358" i="1"/>
  <c r="S1358" i="1"/>
  <c r="R1359" i="1"/>
  <c r="S1359" i="1"/>
  <c r="R1360" i="1"/>
  <c r="S1360" i="1"/>
  <c r="R1361" i="1"/>
  <c r="S1361" i="1"/>
  <c r="R1362" i="1"/>
  <c r="S1362" i="1"/>
  <c r="R1363" i="1"/>
  <c r="S1363" i="1"/>
  <c r="R1364" i="1"/>
  <c r="S1364" i="1"/>
  <c r="R1365" i="1"/>
  <c r="S1365" i="1"/>
  <c r="R1366" i="1"/>
  <c r="S1366" i="1"/>
  <c r="R1367" i="1"/>
  <c r="S1367" i="1"/>
  <c r="R1368" i="1"/>
  <c r="S1368" i="1"/>
  <c r="R1369" i="1"/>
  <c r="S1369" i="1"/>
  <c r="R1370" i="1"/>
  <c r="S1370" i="1"/>
  <c r="R1371" i="1"/>
  <c r="S1371" i="1"/>
  <c r="R1372" i="1"/>
  <c r="S1372" i="1"/>
  <c r="R1373" i="1"/>
  <c r="S1373" i="1"/>
  <c r="R1374" i="1"/>
  <c r="S1374" i="1"/>
  <c r="R1375" i="1"/>
  <c r="S1375" i="1"/>
  <c r="R1376" i="1"/>
  <c r="S1376" i="1"/>
  <c r="R1377" i="1"/>
  <c r="S1377" i="1"/>
  <c r="R1378" i="1"/>
  <c r="S1378" i="1"/>
  <c r="R1379" i="1"/>
  <c r="S1379" i="1"/>
  <c r="R1380" i="1"/>
  <c r="S1380" i="1"/>
  <c r="R1381" i="1"/>
  <c r="S1381" i="1"/>
  <c r="R1382" i="1"/>
  <c r="S1382" i="1"/>
  <c r="R1383" i="1"/>
  <c r="S1383" i="1"/>
  <c r="R1384" i="1"/>
  <c r="S1384" i="1"/>
  <c r="R1385" i="1"/>
  <c r="S1385" i="1"/>
  <c r="R1386" i="1"/>
  <c r="S1386" i="1"/>
  <c r="R1387" i="1"/>
  <c r="S1387" i="1"/>
  <c r="R1388" i="1"/>
  <c r="S1388" i="1"/>
  <c r="R1389" i="1"/>
  <c r="S1389" i="1"/>
  <c r="R1390" i="1"/>
  <c r="S1390" i="1"/>
  <c r="R1391" i="1"/>
  <c r="S1391" i="1"/>
  <c r="R1392" i="1"/>
  <c r="S1392" i="1"/>
  <c r="R1393" i="1"/>
  <c r="S1393" i="1"/>
  <c r="R1394" i="1"/>
  <c r="S1394" i="1"/>
  <c r="R1395" i="1"/>
  <c r="S1395" i="1"/>
  <c r="R1396" i="1"/>
  <c r="S1396" i="1"/>
  <c r="R1397" i="1"/>
  <c r="S1397" i="1"/>
  <c r="R1398" i="1"/>
  <c r="S1398" i="1"/>
  <c r="R1399" i="1"/>
  <c r="S1399" i="1"/>
  <c r="R1400" i="1"/>
  <c r="S1400" i="1"/>
  <c r="R1401" i="1"/>
  <c r="S1401" i="1"/>
  <c r="R1402" i="1"/>
  <c r="S1402" i="1"/>
  <c r="R1403" i="1"/>
  <c r="S1403" i="1"/>
  <c r="R1404" i="1"/>
  <c r="S1404" i="1"/>
  <c r="R1405" i="1"/>
  <c r="S1405" i="1"/>
  <c r="R1406" i="1"/>
  <c r="S1406" i="1"/>
  <c r="R1407" i="1"/>
  <c r="S1407" i="1"/>
  <c r="R1408" i="1"/>
  <c r="S1408" i="1"/>
  <c r="R1409" i="1"/>
  <c r="S1409" i="1"/>
  <c r="R1410" i="1"/>
  <c r="S1410" i="1"/>
  <c r="R1411" i="1"/>
  <c r="S1411" i="1"/>
  <c r="R1412" i="1"/>
  <c r="S1412" i="1"/>
  <c r="R1413" i="1"/>
  <c r="S1413" i="1"/>
  <c r="R1414" i="1"/>
  <c r="S1414" i="1"/>
  <c r="R1415" i="1"/>
  <c r="S1415" i="1"/>
  <c r="R1416" i="1"/>
  <c r="S1416" i="1"/>
  <c r="R1417" i="1"/>
  <c r="S1417" i="1"/>
  <c r="R1418" i="1"/>
  <c r="S1418" i="1"/>
  <c r="R1419" i="1"/>
  <c r="S1419" i="1"/>
  <c r="R1420" i="1"/>
  <c r="S1420" i="1"/>
  <c r="R1421" i="1"/>
  <c r="S1421" i="1"/>
  <c r="R1422" i="1"/>
  <c r="S1422" i="1"/>
  <c r="R1423" i="1"/>
  <c r="S1423" i="1"/>
  <c r="R1424" i="1"/>
  <c r="S1424" i="1"/>
  <c r="R1425" i="1"/>
  <c r="S1425" i="1"/>
  <c r="R1426" i="1"/>
  <c r="S1426" i="1"/>
  <c r="R1427" i="1"/>
  <c r="S1427" i="1"/>
  <c r="R1428" i="1"/>
  <c r="S1428" i="1"/>
  <c r="R1429" i="1"/>
  <c r="S1429" i="1"/>
  <c r="R1430" i="1"/>
  <c r="S1430" i="1"/>
  <c r="R1431" i="1"/>
  <c r="S1431" i="1"/>
  <c r="R1432" i="1"/>
  <c r="S1432" i="1"/>
  <c r="R1433" i="1"/>
  <c r="S1433" i="1"/>
  <c r="R1434" i="1"/>
  <c r="S1434" i="1"/>
  <c r="R1435" i="1"/>
  <c r="S1435" i="1"/>
  <c r="R1436" i="1"/>
  <c r="S1436" i="1"/>
  <c r="R1437" i="1"/>
  <c r="S1437" i="1"/>
  <c r="R1438" i="1"/>
  <c r="S1438" i="1"/>
  <c r="R1439" i="1"/>
  <c r="S1439" i="1"/>
  <c r="R1440" i="1"/>
  <c r="S1440" i="1"/>
  <c r="R1441" i="1"/>
  <c r="S1441" i="1"/>
  <c r="R1442" i="1"/>
  <c r="S1442" i="1"/>
  <c r="R1443" i="1"/>
  <c r="S1443" i="1"/>
  <c r="R1444" i="1"/>
  <c r="S1444" i="1"/>
  <c r="R1445" i="1"/>
  <c r="S1445" i="1"/>
  <c r="R1446" i="1"/>
  <c r="S1446" i="1"/>
  <c r="R1447" i="1"/>
  <c r="S1447" i="1"/>
  <c r="R1448" i="1"/>
  <c r="S1448" i="1"/>
  <c r="R1449" i="1"/>
  <c r="S1449" i="1"/>
  <c r="R1450" i="1"/>
  <c r="S1450" i="1"/>
  <c r="R1451" i="1"/>
  <c r="S1451" i="1"/>
  <c r="R1452" i="1"/>
  <c r="S1452" i="1"/>
  <c r="R1453" i="1"/>
  <c r="S1453" i="1"/>
  <c r="R1454" i="1"/>
  <c r="S1454" i="1"/>
  <c r="R1455" i="1"/>
  <c r="S1455" i="1"/>
  <c r="R1456" i="1"/>
  <c r="S1456" i="1"/>
  <c r="R1457" i="1"/>
  <c r="S1457" i="1"/>
  <c r="R1458" i="1"/>
  <c r="S1458" i="1"/>
  <c r="R1459" i="1"/>
  <c r="S1459" i="1"/>
  <c r="R1460" i="1"/>
  <c r="S1460" i="1"/>
  <c r="R1461" i="1"/>
  <c r="S1461" i="1"/>
  <c r="R1462" i="1"/>
  <c r="S1462" i="1"/>
  <c r="R1463" i="1"/>
  <c r="S1463" i="1"/>
  <c r="R1464" i="1"/>
  <c r="S1464" i="1"/>
  <c r="R1465" i="1"/>
  <c r="S1465" i="1"/>
  <c r="R1466" i="1"/>
  <c r="S1466" i="1"/>
  <c r="R1467" i="1"/>
  <c r="S1467" i="1"/>
  <c r="R1468" i="1"/>
  <c r="S1468" i="1"/>
  <c r="R1469" i="1"/>
  <c r="S1469" i="1"/>
  <c r="R1470" i="1"/>
  <c r="S1470" i="1"/>
  <c r="R1471" i="1"/>
  <c r="S1471" i="1"/>
  <c r="R1472" i="1"/>
  <c r="S1472" i="1"/>
  <c r="R1473" i="1"/>
  <c r="S1473" i="1"/>
  <c r="R1474" i="1"/>
  <c r="S1474" i="1"/>
  <c r="R1475" i="1"/>
  <c r="S1475" i="1"/>
  <c r="R1476" i="1"/>
  <c r="S1476" i="1"/>
  <c r="R1477" i="1"/>
  <c r="S1477" i="1"/>
  <c r="R1478" i="1"/>
  <c r="S1478" i="1"/>
  <c r="R1479" i="1"/>
  <c r="S1479" i="1"/>
  <c r="R1480" i="1"/>
  <c r="S1480" i="1"/>
  <c r="R1481" i="1"/>
  <c r="S1481" i="1"/>
  <c r="R1482" i="1"/>
  <c r="S1482" i="1"/>
  <c r="R1483" i="1"/>
  <c r="S1483" i="1"/>
  <c r="R1484" i="1"/>
  <c r="S1484" i="1"/>
  <c r="R1485" i="1"/>
  <c r="S1485" i="1"/>
  <c r="R1486" i="1"/>
  <c r="S1486" i="1"/>
  <c r="R1487" i="1"/>
  <c r="S1487" i="1"/>
  <c r="R1488" i="1"/>
  <c r="S1488" i="1"/>
  <c r="R1489" i="1"/>
  <c r="S1489" i="1"/>
  <c r="R1490" i="1"/>
  <c r="S1490" i="1"/>
  <c r="R1491" i="1"/>
  <c r="S1491" i="1"/>
  <c r="R1492" i="1"/>
  <c r="S1492" i="1"/>
  <c r="R1493" i="1"/>
  <c r="S1493" i="1"/>
  <c r="R1494" i="1"/>
  <c r="S1494" i="1"/>
  <c r="R1495" i="1"/>
  <c r="S1495" i="1"/>
  <c r="R1496" i="1"/>
  <c r="S1496" i="1"/>
  <c r="R1497" i="1"/>
  <c r="S1497" i="1"/>
  <c r="R1498" i="1"/>
  <c r="S1498" i="1"/>
  <c r="R1499" i="1"/>
  <c r="S1499" i="1"/>
  <c r="R1500" i="1"/>
  <c r="S1500" i="1"/>
  <c r="R1501" i="1"/>
  <c r="S1501" i="1"/>
  <c r="R1502" i="1"/>
  <c r="S1502" i="1"/>
  <c r="R1503" i="1"/>
  <c r="S1503" i="1"/>
  <c r="R1504" i="1"/>
  <c r="S1504" i="1"/>
  <c r="R1505" i="1"/>
  <c r="S1505" i="1"/>
  <c r="R1506" i="1"/>
  <c r="S1506" i="1"/>
  <c r="R1507" i="1"/>
  <c r="S1507" i="1"/>
  <c r="R1508" i="1"/>
  <c r="S1508" i="1"/>
  <c r="R1509" i="1"/>
  <c r="S1509" i="1"/>
  <c r="R1510" i="1"/>
  <c r="S1510" i="1"/>
  <c r="R1511" i="1"/>
  <c r="S1511" i="1"/>
  <c r="R1512" i="1"/>
  <c r="S1512" i="1"/>
  <c r="R1513" i="1"/>
  <c r="S1513" i="1"/>
  <c r="R1514" i="1"/>
  <c r="S1514" i="1"/>
  <c r="R1515" i="1"/>
  <c r="S1515" i="1"/>
  <c r="R1516" i="1"/>
  <c r="S1516" i="1"/>
  <c r="R1517" i="1"/>
  <c r="S1517" i="1"/>
  <c r="R1518" i="1"/>
  <c r="S1518" i="1"/>
  <c r="R1519" i="1"/>
  <c r="S1519" i="1"/>
  <c r="R1520" i="1"/>
  <c r="S1520" i="1"/>
  <c r="R1521" i="1"/>
  <c r="S1521" i="1"/>
  <c r="R1522" i="1"/>
  <c r="S1522" i="1"/>
  <c r="R1523" i="1"/>
  <c r="S1523" i="1"/>
  <c r="R1524" i="1"/>
  <c r="S1524" i="1"/>
  <c r="R1525" i="1"/>
  <c r="S1525" i="1"/>
  <c r="R1526" i="1"/>
  <c r="S1526" i="1"/>
  <c r="R1527" i="1"/>
  <c r="S1527" i="1"/>
  <c r="R1528" i="1"/>
  <c r="S1528" i="1"/>
  <c r="R1529" i="1"/>
  <c r="S1529" i="1"/>
  <c r="R1530" i="1"/>
  <c r="S1530" i="1"/>
  <c r="R1531" i="1"/>
  <c r="S1531" i="1"/>
  <c r="R1532" i="1"/>
  <c r="S1532" i="1"/>
  <c r="R1533" i="1"/>
  <c r="S1533" i="1"/>
  <c r="R1534" i="1"/>
  <c r="S1534" i="1"/>
  <c r="R1535" i="1"/>
  <c r="S1535" i="1"/>
  <c r="R1536" i="1"/>
  <c r="S1536" i="1"/>
  <c r="R1537" i="1"/>
  <c r="S1537" i="1"/>
  <c r="R1538" i="1"/>
  <c r="S1538" i="1"/>
  <c r="R1539" i="1"/>
  <c r="S1539" i="1"/>
  <c r="R1540" i="1"/>
  <c r="S1540" i="1"/>
  <c r="R1541" i="1"/>
  <c r="S1541" i="1"/>
  <c r="R1542" i="1"/>
  <c r="S1542" i="1"/>
  <c r="R1543" i="1"/>
  <c r="S1543" i="1"/>
  <c r="R1544" i="1"/>
  <c r="S1544" i="1"/>
  <c r="R1545" i="1"/>
  <c r="S1545" i="1"/>
  <c r="R1546" i="1"/>
  <c r="S1546" i="1"/>
  <c r="R1547" i="1"/>
  <c r="S1547" i="1"/>
  <c r="R1548" i="1"/>
  <c r="S1548" i="1"/>
  <c r="R1549" i="1"/>
  <c r="S1549" i="1"/>
  <c r="R1550" i="1"/>
  <c r="S1550" i="1"/>
  <c r="R1551" i="1"/>
  <c r="S1551" i="1"/>
  <c r="R1552" i="1"/>
  <c r="S1552" i="1"/>
  <c r="R1553" i="1"/>
  <c r="S1553" i="1"/>
  <c r="R1554" i="1"/>
  <c r="S1554" i="1"/>
  <c r="R1555" i="1"/>
  <c r="S1555" i="1"/>
  <c r="R1556" i="1"/>
  <c r="S1556" i="1"/>
  <c r="R1557" i="1"/>
  <c r="S1557" i="1"/>
  <c r="R1558" i="1"/>
  <c r="S1558" i="1"/>
  <c r="R1559" i="1"/>
  <c r="S1559" i="1"/>
  <c r="R1560" i="1"/>
  <c r="S1560" i="1"/>
  <c r="R1561" i="1"/>
  <c r="S1561" i="1"/>
  <c r="R1562" i="1"/>
  <c r="S1562" i="1"/>
  <c r="R1563" i="1"/>
  <c r="S1563" i="1"/>
  <c r="R1564" i="1"/>
  <c r="S1564" i="1"/>
  <c r="R1565" i="1"/>
  <c r="S1565" i="1"/>
  <c r="R1566" i="1"/>
  <c r="S1566" i="1"/>
  <c r="R1567" i="1"/>
  <c r="S1567" i="1"/>
  <c r="R1568" i="1"/>
  <c r="S1568" i="1"/>
  <c r="R1569" i="1"/>
  <c r="S1569" i="1"/>
  <c r="R1570" i="1"/>
  <c r="S1570" i="1"/>
  <c r="R1571" i="1"/>
  <c r="S1571" i="1"/>
  <c r="R1572" i="1"/>
  <c r="S1572" i="1"/>
  <c r="R1573" i="1"/>
  <c r="S1573" i="1"/>
  <c r="R1574" i="1"/>
  <c r="S1574" i="1"/>
  <c r="R1575" i="1"/>
  <c r="S1575" i="1"/>
  <c r="R1576" i="1"/>
  <c r="S1576" i="1"/>
  <c r="R1577" i="1"/>
  <c r="S1577" i="1"/>
  <c r="R1578" i="1"/>
  <c r="S1578" i="1"/>
  <c r="R1579" i="1"/>
  <c r="S1579" i="1"/>
  <c r="R1580" i="1"/>
  <c r="S1580" i="1"/>
  <c r="R1581" i="1"/>
  <c r="S1581" i="1"/>
  <c r="R1582" i="1"/>
  <c r="S1582" i="1"/>
  <c r="R1583" i="1"/>
  <c r="S1583" i="1"/>
  <c r="R1584" i="1"/>
  <c r="S1584" i="1"/>
  <c r="R1585" i="1"/>
  <c r="S1585" i="1"/>
  <c r="R1586" i="1"/>
  <c r="S1586" i="1"/>
  <c r="R1587" i="1"/>
  <c r="S1587" i="1"/>
  <c r="R1588" i="1"/>
  <c r="S1588" i="1"/>
  <c r="R1589" i="1"/>
  <c r="S1589" i="1"/>
  <c r="R1590" i="1"/>
  <c r="S1590" i="1"/>
  <c r="R1591" i="1"/>
  <c r="S1591" i="1"/>
  <c r="R1592" i="1"/>
  <c r="S1592" i="1"/>
  <c r="R1593" i="1"/>
  <c r="S1593" i="1"/>
  <c r="R1594" i="1"/>
  <c r="S1594" i="1"/>
  <c r="R1595" i="1"/>
  <c r="S1595" i="1"/>
  <c r="R1596" i="1"/>
  <c r="S1596" i="1"/>
  <c r="R1597" i="1"/>
  <c r="S1597" i="1"/>
  <c r="R1598" i="1"/>
  <c r="S1598" i="1"/>
  <c r="R1599" i="1"/>
  <c r="S1599" i="1"/>
  <c r="R1600" i="1"/>
  <c r="S1600" i="1"/>
  <c r="R1601" i="1"/>
  <c r="S1601" i="1"/>
  <c r="R1602" i="1"/>
  <c r="S1602" i="1"/>
  <c r="R1603" i="1"/>
  <c r="S1603" i="1"/>
  <c r="R1604" i="1"/>
  <c r="S1604" i="1"/>
  <c r="R1605" i="1"/>
  <c r="S1605" i="1"/>
  <c r="R1606" i="1"/>
  <c r="S1606" i="1"/>
  <c r="R1607" i="1"/>
  <c r="S1607" i="1"/>
  <c r="R1608" i="1"/>
  <c r="S1608" i="1"/>
  <c r="R1609" i="1"/>
  <c r="S1609" i="1"/>
  <c r="R1610" i="1"/>
  <c r="S1610" i="1"/>
  <c r="R1611" i="1"/>
  <c r="S1611" i="1"/>
  <c r="R1612" i="1"/>
  <c r="S1612" i="1"/>
  <c r="R1613" i="1"/>
  <c r="S1613" i="1"/>
  <c r="R1614" i="1"/>
  <c r="S1614" i="1"/>
  <c r="R1615" i="1"/>
  <c r="S1615" i="1"/>
  <c r="R1616" i="1"/>
  <c r="S1616" i="1"/>
  <c r="R1617" i="1"/>
  <c r="S1617" i="1"/>
  <c r="R1618" i="1"/>
  <c r="S1618" i="1"/>
  <c r="R1619" i="1"/>
  <c r="S1619" i="1"/>
  <c r="R1620" i="1"/>
  <c r="S1620" i="1"/>
  <c r="R1621" i="1"/>
  <c r="S1621" i="1"/>
  <c r="R1622" i="1"/>
  <c r="S1622" i="1"/>
  <c r="R1623" i="1"/>
  <c r="S1623" i="1"/>
  <c r="R1624" i="1"/>
  <c r="S1624" i="1"/>
  <c r="R1625" i="1"/>
  <c r="S1625" i="1"/>
  <c r="R1626" i="1"/>
  <c r="S1626" i="1"/>
  <c r="R1627" i="1"/>
  <c r="S1627" i="1"/>
  <c r="R1628" i="1"/>
  <c r="S1628" i="1"/>
  <c r="R1629" i="1"/>
  <c r="S1629" i="1"/>
  <c r="R1630" i="1"/>
  <c r="S1630" i="1"/>
  <c r="R1631" i="1"/>
  <c r="S1631" i="1"/>
  <c r="R1632" i="1"/>
  <c r="S1632" i="1"/>
  <c r="R1633" i="1"/>
  <c r="S1633" i="1"/>
  <c r="R1634" i="1"/>
  <c r="S1634" i="1"/>
  <c r="R1635" i="1"/>
  <c r="S1635" i="1"/>
  <c r="R1636" i="1"/>
  <c r="S1636" i="1"/>
  <c r="R1637" i="1"/>
  <c r="S1637" i="1"/>
  <c r="R1638" i="1"/>
  <c r="S1638" i="1"/>
  <c r="R1639" i="1"/>
  <c r="S1639" i="1"/>
  <c r="R1640" i="1"/>
  <c r="S1640" i="1"/>
  <c r="R1641" i="1"/>
  <c r="S1641" i="1"/>
  <c r="R1642" i="1"/>
  <c r="S1642" i="1"/>
  <c r="R1643" i="1"/>
  <c r="S1643" i="1"/>
  <c r="R1644" i="1"/>
  <c r="S1644" i="1"/>
  <c r="R1645" i="1"/>
  <c r="S1645" i="1"/>
  <c r="R1646" i="1"/>
  <c r="S1646" i="1"/>
  <c r="R1647" i="1"/>
  <c r="S1647" i="1"/>
  <c r="R1648" i="1"/>
  <c r="S1648" i="1"/>
  <c r="R1649" i="1"/>
  <c r="S1649" i="1"/>
  <c r="R1650" i="1"/>
  <c r="S1650" i="1"/>
  <c r="R1651" i="1"/>
  <c r="S1651" i="1"/>
  <c r="R1652" i="1"/>
  <c r="S1652" i="1"/>
  <c r="R1653" i="1"/>
  <c r="S1653" i="1"/>
  <c r="R1654" i="1"/>
  <c r="S1654" i="1"/>
  <c r="R1655" i="1"/>
  <c r="S1655" i="1"/>
  <c r="R1656" i="1"/>
  <c r="S1656" i="1"/>
  <c r="R1657" i="1"/>
  <c r="S1657" i="1"/>
  <c r="R1658" i="1"/>
  <c r="S1658" i="1"/>
  <c r="R1659" i="1"/>
  <c r="S1659" i="1"/>
  <c r="R1660" i="1"/>
  <c r="S1660" i="1"/>
  <c r="R1661" i="1"/>
  <c r="S1661" i="1"/>
  <c r="R1662" i="1"/>
  <c r="S1662" i="1"/>
  <c r="R1663" i="1"/>
  <c r="S1663" i="1"/>
  <c r="R1664" i="1"/>
  <c r="S1664" i="1"/>
  <c r="R1665" i="1"/>
  <c r="S1665" i="1"/>
  <c r="R1666" i="1"/>
  <c r="S1666" i="1"/>
  <c r="R1667" i="1"/>
  <c r="S1667" i="1"/>
  <c r="R1668" i="1"/>
  <c r="S1668" i="1"/>
  <c r="R1669" i="1"/>
  <c r="S1669" i="1"/>
  <c r="R1670" i="1"/>
  <c r="S1670" i="1"/>
  <c r="R1671" i="1"/>
  <c r="S1671" i="1"/>
  <c r="R1672" i="1"/>
  <c r="S1672" i="1"/>
  <c r="R1673" i="1"/>
  <c r="S1673" i="1"/>
  <c r="R1674" i="1"/>
  <c r="S1674" i="1"/>
  <c r="R1675" i="1"/>
  <c r="S1675" i="1"/>
  <c r="R1676" i="1"/>
  <c r="S1676" i="1"/>
  <c r="R1677" i="1"/>
  <c r="S1677" i="1"/>
  <c r="R1678" i="1"/>
  <c r="S1678" i="1"/>
  <c r="R1679" i="1"/>
  <c r="S1679" i="1"/>
  <c r="R1680" i="1"/>
  <c r="S1680" i="1"/>
  <c r="R1681" i="1"/>
  <c r="S1681" i="1"/>
  <c r="R1682" i="1"/>
  <c r="S1682" i="1"/>
  <c r="R1683" i="1"/>
  <c r="S1683" i="1"/>
  <c r="R1684" i="1"/>
  <c r="S1684" i="1"/>
  <c r="R1685" i="1"/>
  <c r="S1685" i="1"/>
  <c r="R1686" i="1"/>
  <c r="S1686" i="1"/>
  <c r="R1687" i="1"/>
  <c r="S1687" i="1"/>
  <c r="R1688" i="1"/>
  <c r="S1688" i="1"/>
  <c r="R1689" i="1"/>
  <c r="S1689" i="1"/>
  <c r="R1690" i="1"/>
  <c r="S1690" i="1"/>
  <c r="R1691" i="1"/>
  <c r="S1691" i="1"/>
  <c r="R1692" i="1"/>
  <c r="S1692" i="1"/>
  <c r="R1693" i="1"/>
  <c r="S1693" i="1"/>
  <c r="R1694" i="1"/>
  <c r="S1694" i="1"/>
  <c r="R1695" i="1"/>
  <c r="S1695" i="1"/>
  <c r="R1696" i="1"/>
  <c r="S1696" i="1"/>
  <c r="R1697" i="1"/>
  <c r="S1697" i="1"/>
  <c r="R1698" i="1"/>
  <c r="S1698" i="1"/>
  <c r="R1699" i="1"/>
  <c r="S1699" i="1"/>
  <c r="R1700" i="1"/>
  <c r="S1700" i="1"/>
  <c r="R1701" i="1"/>
  <c r="S1701" i="1"/>
  <c r="R1702" i="1"/>
  <c r="S1702" i="1"/>
  <c r="R1703" i="1"/>
  <c r="S1703" i="1"/>
  <c r="R1704" i="1"/>
  <c r="S1704" i="1"/>
  <c r="R1705" i="1"/>
  <c r="S1705" i="1"/>
  <c r="R1706" i="1"/>
  <c r="S1706" i="1"/>
  <c r="R1707" i="1"/>
  <c r="S1707" i="1"/>
  <c r="R1708" i="1"/>
  <c r="S1708" i="1"/>
  <c r="R1709" i="1"/>
  <c r="S1709" i="1"/>
  <c r="R1710" i="1"/>
  <c r="S1710" i="1"/>
  <c r="R1711" i="1"/>
  <c r="S1711" i="1"/>
  <c r="R1712" i="1"/>
  <c r="S1712" i="1"/>
  <c r="R1713" i="1"/>
  <c r="S1713" i="1"/>
  <c r="R1714" i="1"/>
  <c r="S1714" i="1"/>
  <c r="R1715" i="1"/>
  <c r="S1715" i="1"/>
  <c r="R1716" i="1"/>
  <c r="S1716" i="1"/>
  <c r="R1717" i="1"/>
  <c r="S1717" i="1"/>
  <c r="R1718" i="1"/>
  <c r="S1718" i="1"/>
  <c r="R1719" i="1"/>
  <c r="S1719" i="1"/>
  <c r="R1720" i="1"/>
  <c r="S1720" i="1"/>
  <c r="R1721" i="1"/>
  <c r="S1721" i="1"/>
  <c r="R1722" i="1"/>
  <c r="S1722" i="1"/>
  <c r="R1723" i="1"/>
  <c r="S1723" i="1"/>
  <c r="R1724" i="1"/>
  <c r="S1724" i="1"/>
  <c r="R1725" i="1"/>
  <c r="S1725" i="1"/>
  <c r="R1726" i="1"/>
  <c r="S1726" i="1"/>
  <c r="R1727" i="1"/>
  <c r="S1727" i="1"/>
  <c r="R1728" i="1"/>
  <c r="S1728" i="1"/>
  <c r="R1729" i="1"/>
  <c r="S1729" i="1"/>
  <c r="R1730" i="1"/>
  <c r="S1730" i="1"/>
  <c r="R1731" i="1"/>
  <c r="S1731" i="1"/>
  <c r="R1732" i="1"/>
  <c r="S1732" i="1"/>
  <c r="R1733" i="1"/>
  <c r="S1733" i="1"/>
  <c r="R1734" i="1"/>
  <c r="S1734" i="1"/>
  <c r="R1735" i="1"/>
  <c r="S1735" i="1"/>
  <c r="R1736" i="1"/>
  <c r="S1736" i="1"/>
  <c r="R1737" i="1"/>
  <c r="S1737" i="1"/>
  <c r="R1738" i="1"/>
  <c r="S1738" i="1"/>
  <c r="R1739" i="1"/>
  <c r="S1739" i="1"/>
  <c r="R1740" i="1"/>
  <c r="S1740" i="1"/>
  <c r="R1741" i="1"/>
  <c r="S1741" i="1"/>
  <c r="R1742" i="1"/>
  <c r="S1742" i="1"/>
  <c r="R1743" i="1"/>
  <c r="S1743" i="1"/>
  <c r="R1744" i="1"/>
  <c r="S1744" i="1"/>
  <c r="R1745" i="1"/>
  <c r="S1745" i="1"/>
  <c r="R1746" i="1"/>
  <c r="S1746" i="1"/>
  <c r="R1747" i="1"/>
  <c r="S1747" i="1"/>
  <c r="R1748" i="1"/>
  <c r="S1748" i="1"/>
  <c r="R1749" i="1"/>
  <c r="S1749" i="1"/>
  <c r="R1750" i="1"/>
  <c r="S1750" i="1"/>
  <c r="R1751" i="1"/>
  <c r="S1751" i="1"/>
  <c r="R1752" i="1"/>
  <c r="S1752" i="1"/>
  <c r="R1753" i="1"/>
  <c r="S1753" i="1"/>
  <c r="R1754" i="1"/>
  <c r="S1754" i="1"/>
  <c r="R1755" i="1"/>
  <c r="S1755" i="1"/>
  <c r="R1756" i="1"/>
  <c r="S1756" i="1"/>
  <c r="R1757" i="1"/>
  <c r="S1757" i="1"/>
  <c r="R1758" i="1"/>
  <c r="S1758" i="1"/>
  <c r="R1759" i="1"/>
  <c r="S1759" i="1"/>
  <c r="R1760" i="1"/>
  <c r="S1760" i="1"/>
  <c r="R1761" i="1"/>
  <c r="S1761" i="1"/>
  <c r="R1762" i="1"/>
  <c r="S1762" i="1"/>
  <c r="R1763" i="1"/>
  <c r="S1763" i="1"/>
  <c r="R1764" i="1"/>
  <c r="S1764" i="1"/>
  <c r="R1765" i="1"/>
  <c r="S1765" i="1"/>
  <c r="R1766" i="1"/>
  <c r="S1766" i="1"/>
  <c r="R1767" i="1"/>
  <c r="S1767" i="1"/>
  <c r="R1768" i="1"/>
  <c r="S1768" i="1"/>
  <c r="R1769" i="1"/>
  <c r="S1769" i="1"/>
  <c r="R1770" i="1"/>
  <c r="S1770" i="1"/>
  <c r="R1771" i="1"/>
  <c r="S1771" i="1"/>
  <c r="R1772" i="1"/>
  <c r="S1772" i="1"/>
  <c r="R1773" i="1"/>
  <c r="S1773" i="1"/>
  <c r="R1774" i="1"/>
  <c r="S1774" i="1"/>
  <c r="R1775" i="1"/>
  <c r="S1775" i="1"/>
  <c r="R1776" i="1"/>
  <c r="S1776" i="1"/>
  <c r="R1777" i="1"/>
  <c r="S1777" i="1"/>
  <c r="R1778" i="1"/>
  <c r="S1778" i="1"/>
  <c r="R1779" i="1"/>
  <c r="S1779" i="1"/>
  <c r="R1780" i="1"/>
  <c r="S1780" i="1"/>
  <c r="R1781" i="1"/>
  <c r="S1781" i="1"/>
  <c r="R1782" i="1"/>
  <c r="S1782" i="1"/>
  <c r="R1783" i="1"/>
  <c r="S1783" i="1"/>
  <c r="R1784" i="1"/>
  <c r="S1784" i="1"/>
  <c r="R1785" i="1"/>
  <c r="S1785" i="1"/>
  <c r="R1786" i="1"/>
  <c r="S1786" i="1"/>
  <c r="R1787" i="1"/>
  <c r="S1787" i="1"/>
  <c r="R1788" i="1"/>
  <c r="S1788" i="1"/>
  <c r="R1789" i="1"/>
  <c r="S1789" i="1"/>
  <c r="R1790" i="1"/>
  <c r="S1790" i="1"/>
  <c r="R1791" i="1"/>
  <c r="S1791" i="1"/>
  <c r="R1792" i="1"/>
  <c r="S1792" i="1"/>
  <c r="R1793" i="1"/>
  <c r="S1793" i="1"/>
  <c r="R1794" i="1"/>
  <c r="S1794" i="1"/>
  <c r="R1795" i="1"/>
  <c r="S1795" i="1"/>
  <c r="R1796" i="1"/>
  <c r="S1796" i="1"/>
  <c r="R1797" i="1"/>
  <c r="S1797" i="1"/>
  <c r="R1798" i="1"/>
  <c r="S1798" i="1"/>
  <c r="R1799" i="1"/>
  <c r="S1799" i="1"/>
  <c r="R1800" i="1"/>
  <c r="S1800" i="1"/>
  <c r="R1801" i="1"/>
  <c r="S1801" i="1"/>
  <c r="R1802" i="1"/>
  <c r="S1802" i="1"/>
  <c r="R1803" i="1"/>
  <c r="S1803" i="1"/>
  <c r="R1804" i="1"/>
  <c r="S1804" i="1"/>
  <c r="R1805" i="1"/>
  <c r="S1805" i="1"/>
  <c r="R1806" i="1"/>
  <c r="S1806" i="1"/>
  <c r="R1807" i="1"/>
  <c r="S1807" i="1"/>
  <c r="R1808" i="1"/>
  <c r="S1808" i="1"/>
  <c r="R1809" i="1"/>
  <c r="S1809" i="1"/>
  <c r="R1810" i="1"/>
  <c r="S1810" i="1"/>
  <c r="R1811" i="1"/>
  <c r="S1811" i="1"/>
  <c r="R1812" i="1"/>
  <c r="S1812" i="1"/>
  <c r="R1813" i="1"/>
  <c r="S1813" i="1"/>
  <c r="R1814" i="1"/>
  <c r="S1814" i="1"/>
  <c r="R1815" i="1"/>
  <c r="S1815" i="1"/>
  <c r="R1816" i="1"/>
  <c r="S1816" i="1"/>
  <c r="R1817" i="1"/>
  <c r="S1817" i="1"/>
  <c r="R1818" i="1"/>
  <c r="S1818" i="1"/>
  <c r="R1819" i="1"/>
  <c r="S1819" i="1"/>
  <c r="R1820" i="1"/>
  <c r="S1820" i="1"/>
  <c r="R1821" i="1"/>
  <c r="S1821" i="1"/>
  <c r="R1822" i="1"/>
  <c r="S1822" i="1"/>
  <c r="R1823" i="1"/>
  <c r="S1823" i="1"/>
  <c r="R1824" i="1"/>
  <c r="S1824" i="1"/>
  <c r="R1825" i="1"/>
  <c r="S1825" i="1"/>
  <c r="R1826" i="1"/>
  <c r="S1826" i="1"/>
  <c r="R1827" i="1"/>
  <c r="S1827" i="1"/>
  <c r="R1828" i="1"/>
  <c r="S1828" i="1"/>
  <c r="R1829" i="1"/>
  <c r="S1829" i="1"/>
  <c r="R1830" i="1"/>
  <c r="S1830" i="1"/>
  <c r="R1831" i="1"/>
  <c r="S1831" i="1"/>
  <c r="R1832" i="1"/>
  <c r="S1832" i="1"/>
  <c r="R1833" i="1"/>
  <c r="S1833" i="1"/>
  <c r="R1834" i="1"/>
  <c r="S1834" i="1"/>
  <c r="R1835" i="1"/>
  <c r="S1835" i="1"/>
  <c r="R1836" i="1"/>
  <c r="S1836" i="1"/>
  <c r="R1837" i="1"/>
  <c r="S1837" i="1"/>
  <c r="R1838" i="1"/>
  <c r="S1838" i="1"/>
  <c r="R1839" i="1"/>
  <c r="S1839" i="1"/>
  <c r="R1840" i="1"/>
  <c r="S1840" i="1"/>
  <c r="R1841" i="1"/>
  <c r="S1841" i="1"/>
  <c r="R1842" i="1"/>
  <c r="S1842" i="1"/>
  <c r="R1843" i="1"/>
  <c r="S1843" i="1"/>
  <c r="R1844" i="1"/>
  <c r="S1844" i="1"/>
  <c r="R1845" i="1"/>
  <c r="S1845" i="1"/>
  <c r="R1846" i="1"/>
  <c r="S1846" i="1"/>
  <c r="R1847" i="1"/>
  <c r="S1847" i="1"/>
  <c r="R1848" i="1"/>
  <c r="S1848" i="1"/>
  <c r="R1849" i="1"/>
  <c r="S1849" i="1"/>
  <c r="R1850" i="1"/>
  <c r="S1850" i="1"/>
  <c r="R1851" i="1"/>
  <c r="S1851" i="1"/>
  <c r="R1852" i="1"/>
  <c r="S1852" i="1"/>
  <c r="R1853" i="1"/>
  <c r="S1853" i="1"/>
  <c r="R1854" i="1"/>
  <c r="S1854" i="1"/>
  <c r="R1855" i="1"/>
  <c r="S1855" i="1"/>
  <c r="R1856" i="1"/>
  <c r="S1856" i="1"/>
  <c r="R1857" i="1"/>
  <c r="S1857" i="1"/>
  <c r="R1858" i="1"/>
  <c r="S1858" i="1"/>
  <c r="R1859" i="1"/>
  <c r="S1859" i="1"/>
  <c r="R1860" i="1"/>
  <c r="S1860" i="1"/>
  <c r="R1861" i="1"/>
  <c r="S1861" i="1"/>
  <c r="R1862" i="1"/>
  <c r="S1862" i="1"/>
  <c r="R1863" i="1"/>
  <c r="S1863" i="1"/>
  <c r="R1864" i="1"/>
  <c r="S1864" i="1"/>
  <c r="R1865" i="1"/>
  <c r="S1865" i="1"/>
  <c r="R1866" i="1"/>
  <c r="S1866" i="1"/>
  <c r="R1867" i="1"/>
  <c r="S1867" i="1"/>
  <c r="R1868" i="1"/>
  <c r="S1868" i="1"/>
  <c r="R1869" i="1"/>
  <c r="S1869" i="1"/>
  <c r="R1870" i="1"/>
  <c r="S1870" i="1"/>
  <c r="R1871" i="1"/>
  <c r="S1871" i="1"/>
  <c r="R1872" i="1"/>
  <c r="S1872" i="1"/>
  <c r="R1873" i="1"/>
  <c r="S1873" i="1"/>
  <c r="R1874" i="1"/>
  <c r="S1874" i="1"/>
  <c r="R1875" i="1"/>
  <c r="S1875" i="1"/>
  <c r="R1876" i="1"/>
  <c r="S1876" i="1"/>
  <c r="R1877" i="1"/>
  <c r="S1877" i="1"/>
  <c r="R1878" i="1"/>
  <c r="S1878" i="1"/>
  <c r="R1879" i="1"/>
  <c r="S1879" i="1"/>
  <c r="R1880" i="1"/>
  <c r="S1880" i="1"/>
  <c r="R1881" i="1"/>
  <c r="S1881" i="1"/>
  <c r="R1882" i="1"/>
  <c r="S1882" i="1"/>
  <c r="R1883" i="1"/>
  <c r="S1883" i="1"/>
  <c r="R1884" i="1"/>
  <c r="S1884" i="1"/>
  <c r="R1885" i="1"/>
  <c r="S1885" i="1"/>
  <c r="R1886" i="1"/>
  <c r="S1886" i="1"/>
  <c r="R1887" i="1"/>
  <c r="S1887" i="1"/>
  <c r="R1888" i="1"/>
  <c r="S1888" i="1"/>
  <c r="R1889" i="1"/>
  <c r="S1889" i="1"/>
  <c r="R1890" i="1"/>
  <c r="S1890" i="1"/>
  <c r="R1891" i="1"/>
  <c r="S1891" i="1"/>
  <c r="R1892" i="1"/>
  <c r="S1892" i="1"/>
  <c r="R1893" i="1"/>
  <c r="S1893" i="1"/>
  <c r="R1894" i="1"/>
  <c r="S1894" i="1"/>
  <c r="R1895" i="1"/>
  <c r="S1895" i="1"/>
  <c r="R1896" i="1"/>
  <c r="S1896" i="1"/>
  <c r="R1897" i="1"/>
  <c r="S1897" i="1"/>
  <c r="R1898" i="1"/>
  <c r="S1898" i="1"/>
  <c r="R1899" i="1"/>
  <c r="S1899" i="1"/>
  <c r="R1900" i="1"/>
  <c r="S1900" i="1"/>
  <c r="R1901" i="1"/>
  <c r="S1901" i="1"/>
  <c r="R1902" i="1"/>
  <c r="S1902" i="1"/>
  <c r="R1903" i="1"/>
  <c r="S1903" i="1"/>
  <c r="R1904" i="1"/>
  <c r="S1904" i="1"/>
  <c r="R1905" i="1"/>
  <c r="S1905" i="1"/>
  <c r="R1906" i="1"/>
  <c r="S1906" i="1"/>
  <c r="R1907" i="1"/>
  <c r="S1907" i="1"/>
  <c r="R1908" i="1"/>
  <c r="S1908" i="1"/>
  <c r="R1909" i="1"/>
  <c r="S1909" i="1"/>
  <c r="R1910" i="1"/>
  <c r="S1910" i="1"/>
  <c r="R1911" i="1"/>
  <c r="S1911" i="1"/>
  <c r="R1912" i="1"/>
  <c r="S1912" i="1"/>
  <c r="R1913" i="1"/>
  <c r="S1913" i="1"/>
  <c r="R1914" i="1"/>
  <c r="S1914" i="1"/>
  <c r="R1915" i="1"/>
  <c r="S1915" i="1"/>
  <c r="R1916" i="1"/>
  <c r="S1916" i="1"/>
  <c r="R1917" i="1"/>
  <c r="S1917" i="1"/>
  <c r="R1918" i="1"/>
  <c r="S1918" i="1"/>
  <c r="R1919" i="1"/>
  <c r="S1919" i="1"/>
  <c r="R1920" i="1"/>
  <c r="S1920" i="1"/>
  <c r="R1921" i="1"/>
  <c r="S1921" i="1"/>
  <c r="R1922" i="1"/>
  <c r="S1922" i="1"/>
  <c r="R1923" i="1"/>
  <c r="S1923" i="1"/>
  <c r="R1924" i="1"/>
  <c r="S1924" i="1"/>
  <c r="R1925" i="1"/>
  <c r="S1925" i="1"/>
  <c r="R1926" i="1"/>
  <c r="S1926" i="1"/>
  <c r="R1927" i="1"/>
  <c r="S1927" i="1"/>
  <c r="R1928" i="1"/>
  <c r="S1928" i="1"/>
  <c r="R1929" i="1"/>
  <c r="S1929" i="1"/>
  <c r="R1930" i="1"/>
  <c r="S1930" i="1"/>
  <c r="R1931" i="1"/>
  <c r="S1931" i="1"/>
  <c r="R1932" i="1"/>
  <c r="S1932" i="1"/>
  <c r="R1933" i="1"/>
  <c r="S1933" i="1"/>
  <c r="R1934" i="1"/>
  <c r="S1934" i="1"/>
  <c r="R1935" i="1"/>
  <c r="S1935" i="1"/>
  <c r="R1936" i="1"/>
  <c r="S1936" i="1"/>
  <c r="R1937" i="1"/>
  <c r="S1937" i="1"/>
  <c r="R1938" i="1"/>
  <c r="S1938" i="1"/>
  <c r="R1939" i="1"/>
  <c r="S1939" i="1"/>
  <c r="R1940" i="1"/>
  <c r="S1940" i="1"/>
  <c r="R1941" i="1"/>
  <c r="S1941" i="1"/>
  <c r="R1942" i="1"/>
  <c r="S1942" i="1"/>
  <c r="R1943" i="1"/>
  <c r="S1943" i="1"/>
  <c r="R1944" i="1"/>
  <c r="S1944" i="1"/>
  <c r="R1945" i="1"/>
  <c r="S1945" i="1"/>
  <c r="R1946" i="1"/>
  <c r="S1946" i="1"/>
  <c r="R1947" i="1"/>
  <c r="S1947" i="1"/>
  <c r="R1948" i="1"/>
  <c r="S1948" i="1"/>
  <c r="R1949" i="1"/>
  <c r="S1949" i="1"/>
  <c r="R1950" i="1"/>
  <c r="S1950" i="1"/>
  <c r="R1951" i="1"/>
  <c r="S1951" i="1"/>
  <c r="R1952" i="1"/>
  <c r="S1952" i="1"/>
  <c r="R1953" i="1"/>
  <c r="S1953" i="1"/>
  <c r="R1954" i="1"/>
  <c r="S1954" i="1"/>
  <c r="R1955" i="1"/>
  <c r="S1955" i="1"/>
  <c r="R1956" i="1"/>
  <c r="S1956" i="1"/>
  <c r="R1957" i="1"/>
  <c r="S1957" i="1"/>
  <c r="R1958" i="1"/>
  <c r="S1958" i="1"/>
  <c r="R1959" i="1"/>
  <c r="S1959" i="1"/>
  <c r="R1960" i="1"/>
  <c r="S1960" i="1"/>
  <c r="R1961" i="1"/>
  <c r="S1961" i="1"/>
  <c r="R1962" i="1"/>
  <c r="S1962" i="1"/>
  <c r="R1963" i="1"/>
  <c r="S1963" i="1"/>
  <c r="R1964" i="1"/>
  <c r="S1964" i="1"/>
  <c r="R1965" i="1"/>
  <c r="S1965" i="1"/>
  <c r="R1966" i="1"/>
  <c r="S1966" i="1"/>
  <c r="R1967" i="1"/>
  <c r="S1967" i="1"/>
  <c r="R1968" i="1"/>
  <c r="S1968" i="1"/>
  <c r="R1969" i="1"/>
  <c r="S1969" i="1"/>
  <c r="R1970" i="1"/>
  <c r="S1970" i="1"/>
  <c r="R1971" i="1"/>
  <c r="S1971" i="1"/>
  <c r="R1972" i="1"/>
  <c r="S1972" i="1"/>
  <c r="R1973" i="1"/>
  <c r="S1973" i="1"/>
  <c r="R1974" i="1"/>
  <c r="S1974" i="1"/>
  <c r="R1975" i="1"/>
  <c r="S1975" i="1"/>
  <c r="R1976" i="1"/>
  <c r="S1976" i="1"/>
  <c r="R1977" i="1"/>
  <c r="S1977" i="1"/>
  <c r="R1978" i="1"/>
  <c r="S1978" i="1"/>
  <c r="R1979" i="1"/>
  <c r="S1979" i="1"/>
  <c r="R1980" i="1"/>
  <c r="S1980" i="1"/>
  <c r="R1981" i="1"/>
  <c r="S1981" i="1"/>
  <c r="R1982" i="1"/>
  <c r="S1982" i="1"/>
  <c r="R1983" i="1"/>
  <c r="S1983" i="1"/>
  <c r="R1984" i="1"/>
  <c r="S1984" i="1"/>
  <c r="R1985" i="1"/>
  <c r="S1985" i="1"/>
  <c r="R1986" i="1"/>
  <c r="S1986" i="1"/>
  <c r="R1987" i="1"/>
  <c r="S1987" i="1"/>
  <c r="R1988" i="1"/>
  <c r="S1988" i="1"/>
  <c r="R1989" i="1"/>
  <c r="S1989" i="1"/>
  <c r="R1990" i="1"/>
  <c r="S1990" i="1"/>
  <c r="R1991" i="1"/>
  <c r="S1991" i="1"/>
  <c r="R1992" i="1"/>
  <c r="S1992" i="1"/>
  <c r="R1993" i="1"/>
  <c r="S1993" i="1"/>
  <c r="R1994" i="1"/>
  <c r="S1994" i="1"/>
  <c r="R1995" i="1"/>
  <c r="S1995" i="1"/>
  <c r="R1996" i="1"/>
  <c r="S1996" i="1"/>
  <c r="R1997" i="1"/>
  <c r="S1997" i="1"/>
  <c r="R1998" i="1"/>
  <c r="S1998" i="1"/>
  <c r="R1999" i="1"/>
  <c r="S1999" i="1"/>
  <c r="R2000" i="1"/>
  <c r="S2000" i="1"/>
  <c r="R2001" i="1"/>
  <c r="S2001" i="1"/>
  <c r="R2002" i="1"/>
  <c r="S2002" i="1"/>
  <c r="R2003" i="1"/>
  <c r="S2003" i="1"/>
  <c r="R2004" i="1"/>
  <c r="S2004" i="1"/>
  <c r="R2005" i="1"/>
  <c r="S2005" i="1"/>
  <c r="R2006" i="1"/>
  <c r="S2006" i="1"/>
  <c r="R2007" i="1"/>
  <c r="S2007" i="1"/>
  <c r="R2008" i="1"/>
  <c r="S2008" i="1"/>
  <c r="R2009" i="1"/>
  <c r="S2009" i="1"/>
  <c r="R2010" i="1"/>
  <c r="S2010" i="1"/>
  <c r="R2011" i="1"/>
  <c r="S2011" i="1"/>
  <c r="R2012" i="1"/>
  <c r="S2012" i="1"/>
  <c r="R2013" i="1"/>
  <c r="S2013" i="1"/>
  <c r="R2014" i="1"/>
  <c r="S2014" i="1"/>
  <c r="R2015" i="1"/>
  <c r="S2015" i="1"/>
  <c r="R2016" i="1"/>
  <c r="S2016" i="1"/>
  <c r="R2017" i="1"/>
  <c r="S2017" i="1"/>
  <c r="R2018" i="1"/>
  <c r="S2018" i="1"/>
  <c r="R2019" i="1"/>
  <c r="S2019" i="1"/>
  <c r="R2020" i="1"/>
  <c r="S2020" i="1"/>
  <c r="R2021" i="1"/>
  <c r="S2021" i="1"/>
  <c r="R2022" i="1"/>
  <c r="S2022" i="1"/>
  <c r="R2023" i="1"/>
  <c r="S2023" i="1"/>
  <c r="R2024" i="1"/>
  <c r="S2024" i="1"/>
  <c r="R2025" i="1"/>
  <c r="S2025" i="1"/>
  <c r="R2026" i="1"/>
  <c r="S2026" i="1"/>
  <c r="R2027" i="1"/>
  <c r="S2027" i="1"/>
  <c r="R2028" i="1"/>
  <c r="S2028" i="1"/>
  <c r="R2029" i="1"/>
  <c r="S2029" i="1"/>
  <c r="R2030" i="1"/>
  <c r="S2030" i="1"/>
  <c r="R2031" i="1"/>
  <c r="S2031" i="1"/>
  <c r="R2032" i="1"/>
  <c r="S2032" i="1"/>
  <c r="R2033" i="1"/>
  <c r="S2033" i="1"/>
  <c r="R2034" i="1"/>
  <c r="S2034" i="1"/>
  <c r="R2035" i="1"/>
  <c r="S2035" i="1"/>
  <c r="R2036" i="1"/>
  <c r="S2036" i="1"/>
  <c r="R2037" i="1"/>
  <c r="S2037" i="1"/>
  <c r="R2038" i="1"/>
  <c r="S2038" i="1"/>
  <c r="R2039" i="1"/>
  <c r="S2039" i="1"/>
  <c r="R2040" i="1"/>
  <c r="S2040" i="1"/>
  <c r="R2041" i="1"/>
  <c r="S2041" i="1"/>
  <c r="R2042" i="1"/>
  <c r="S2042" i="1"/>
  <c r="R2043" i="1"/>
  <c r="S2043" i="1"/>
  <c r="R2044" i="1"/>
  <c r="S2044" i="1"/>
  <c r="R2045" i="1"/>
  <c r="S2045" i="1"/>
  <c r="R2046" i="1"/>
  <c r="S2046" i="1"/>
  <c r="R2047" i="1"/>
  <c r="S2047" i="1"/>
  <c r="R2048" i="1"/>
  <c r="S2048" i="1"/>
  <c r="R2049" i="1"/>
  <c r="S2049" i="1"/>
  <c r="R2050" i="1"/>
  <c r="S2050" i="1"/>
  <c r="R2051" i="1"/>
  <c r="S2051" i="1"/>
  <c r="R2052" i="1"/>
  <c r="S2052" i="1"/>
  <c r="R2053" i="1"/>
  <c r="S2053" i="1"/>
  <c r="R2054" i="1"/>
  <c r="S2054" i="1"/>
  <c r="R2055" i="1"/>
  <c r="S2055" i="1"/>
  <c r="R2056" i="1"/>
  <c r="S2056" i="1"/>
  <c r="R2057" i="1"/>
  <c r="S2057" i="1"/>
  <c r="R2058" i="1"/>
  <c r="S2058" i="1"/>
  <c r="R2059" i="1"/>
  <c r="S2059" i="1"/>
  <c r="R2060" i="1"/>
  <c r="S2060" i="1"/>
  <c r="R2061" i="1"/>
  <c r="S2061" i="1"/>
  <c r="R2062" i="1"/>
  <c r="S2062" i="1"/>
  <c r="R2063" i="1"/>
  <c r="S2063" i="1"/>
  <c r="R2064" i="1"/>
  <c r="S2064" i="1"/>
  <c r="R2065" i="1"/>
  <c r="S2065" i="1"/>
  <c r="R2066" i="1"/>
  <c r="S2066" i="1"/>
  <c r="R2067" i="1"/>
  <c r="S2067" i="1"/>
  <c r="R2068" i="1"/>
  <c r="S2068" i="1"/>
  <c r="R2069" i="1"/>
  <c r="S2069" i="1"/>
  <c r="R2070" i="1"/>
  <c r="S2070" i="1"/>
  <c r="R2071" i="1"/>
  <c r="S2071" i="1"/>
  <c r="R2072" i="1"/>
  <c r="S2072" i="1"/>
  <c r="R2073" i="1"/>
  <c r="S2073" i="1"/>
  <c r="R2074" i="1"/>
  <c r="S2074" i="1"/>
  <c r="R2075" i="1"/>
  <c r="S2075" i="1"/>
  <c r="R2076" i="1"/>
  <c r="S2076" i="1"/>
  <c r="R2077" i="1"/>
  <c r="S2077" i="1"/>
  <c r="R2078" i="1"/>
  <c r="S2078" i="1"/>
  <c r="R2079" i="1"/>
  <c r="S2079" i="1"/>
  <c r="R2080" i="1"/>
  <c r="S2080" i="1"/>
  <c r="R2081" i="1"/>
  <c r="S2081" i="1"/>
  <c r="R2082" i="1"/>
  <c r="S2082" i="1"/>
  <c r="R2083" i="1"/>
  <c r="S2083" i="1"/>
  <c r="R2084" i="1"/>
  <c r="S2084" i="1"/>
  <c r="R2085" i="1"/>
  <c r="S2085" i="1"/>
  <c r="R2086" i="1"/>
  <c r="S2086" i="1"/>
  <c r="R2087" i="1"/>
  <c r="S2087" i="1"/>
  <c r="R2088" i="1"/>
  <c r="S2088" i="1"/>
  <c r="R2089" i="1"/>
  <c r="S2089" i="1"/>
  <c r="R2090" i="1"/>
  <c r="S2090" i="1"/>
  <c r="R2091" i="1"/>
  <c r="S2091" i="1"/>
  <c r="R2092" i="1"/>
  <c r="S2092" i="1"/>
  <c r="R2093" i="1"/>
  <c r="S2093" i="1"/>
  <c r="R2094" i="1"/>
  <c r="S2094" i="1"/>
  <c r="R2095" i="1"/>
  <c r="S2095" i="1"/>
  <c r="R2096" i="1"/>
  <c r="S2096" i="1"/>
  <c r="R2097" i="1"/>
  <c r="S2097" i="1"/>
  <c r="R2098" i="1"/>
  <c r="S2098" i="1"/>
  <c r="R2099" i="1"/>
  <c r="S2099" i="1"/>
  <c r="R2100" i="1"/>
  <c r="S2100" i="1"/>
  <c r="R2101" i="1"/>
  <c r="S2101" i="1"/>
  <c r="R2102" i="1"/>
  <c r="S2102" i="1"/>
  <c r="R2103" i="1"/>
  <c r="S2103" i="1"/>
  <c r="R2104" i="1"/>
  <c r="S2104" i="1"/>
  <c r="R2105" i="1"/>
  <c r="S2105" i="1"/>
  <c r="R2106" i="1"/>
  <c r="S2106" i="1"/>
  <c r="R2107" i="1"/>
  <c r="S2107" i="1"/>
  <c r="R2108" i="1"/>
  <c r="S2108" i="1"/>
  <c r="R2109" i="1"/>
  <c r="S2109" i="1"/>
  <c r="R2110" i="1"/>
  <c r="S2110" i="1"/>
  <c r="R2111" i="1"/>
  <c r="S2111" i="1"/>
  <c r="R2112" i="1"/>
  <c r="S2112" i="1"/>
  <c r="R2113" i="1"/>
  <c r="S2113" i="1"/>
  <c r="R2114" i="1"/>
  <c r="S2114" i="1"/>
  <c r="R2115" i="1"/>
  <c r="S2115" i="1"/>
  <c r="R2116" i="1"/>
  <c r="S2116" i="1"/>
  <c r="R2117" i="1"/>
  <c r="S2117" i="1"/>
  <c r="R2118" i="1"/>
  <c r="S2118" i="1"/>
  <c r="R2119" i="1"/>
  <c r="S2119" i="1"/>
  <c r="R2120" i="1"/>
  <c r="S2120" i="1"/>
  <c r="R2121" i="1"/>
  <c r="S2121" i="1"/>
  <c r="R2122" i="1"/>
  <c r="S2122" i="1"/>
  <c r="R2123" i="1"/>
  <c r="S2123" i="1"/>
  <c r="R2124" i="1"/>
  <c r="S2124" i="1"/>
  <c r="R2125" i="1"/>
  <c r="S2125" i="1"/>
  <c r="R2126" i="1"/>
  <c r="S2126" i="1"/>
  <c r="R2127" i="1"/>
  <c r="S2127" i="1"/>
  <c r="R2128" i="1"/>
  <c r="S2128" i="1"/>
  <c r="R2129" i="1"/>
  <c r="S2129" i="1"/>
  <c r="R2130" i="1"/>
  <c r="S2130" i="1"/>
  <c r="R2131" i="1"/>
  <c r="S2131" i="1"/>
  <c r="R2132" i="1"/>
  <c r="S2132" i="1"/>
  <c r="R2133" i="1"/>
  <c r="S2133" i="1"/>
  <c r="R2134" i="1"/>
  <c r="S2134" i="1"/>
  <c r="R2135" i="1"/>
  <c r="S2135" i="1"/>
  <c r="R2136" i="1"/>
  <c r="S2136" i="1"/>
  <c r="R2137" i="1"/>
  <c r="S2137" i="1"/>
  <c r="R2138" i="1"/>
  <c r="S2138" i="1"/>
  <c r="R2139" i="1"/>
  <c r="S2139" i="1"/>
  <c r="R2140" i="1"/>
  <c r="S2140" i="1"/>
  <c r="R2141" i="1"/>
  <c r="S2141" i="1"/>
  <c r="R2142" i="1"/>
  <c r="S2142" i="1"/>
  <c r="R2143" i="1"/>
  <c r="S2143" i="1"/>
  <c r="R2144" i="1"/>
  <c r="S2144" i="1"/>
  <c r="R2145" i="1"/>
  <c r="S2145" i="1"/>
  <c r="R2146" i="1"/>
  <c r="S2146" i="1"/>
  <c r="R2147" i="1"/>
  <c r="S2147" i="1"/>
  <c r="R2148" i="1"/>
  <c r="S2148" i="1"/>
  <c r="R2149" i="1"/>
  <c r="S2149" i="1"/>
  <c r="R2150" i="1"/>
  <c r="S2150" i="1"/>
  <c r="R2151" i="1"/>
  <c r="S2151" i="1"/>
  <c r="R2152" i="1"/>
  <c r="S2152" i="1"/>
  <c r="R2153" i="1"/>
  <c r="S2153" i="1"/>
  <c r="R2154" i="1"/>
  <c r="S2154" i="1"/>
  <c r="R2155" i="1"/>
  <c r="S2155" i="1"/>
  <c r="R2156" i="1"/>
  <c r="S2156" i="1"/>
  <c r="R2157" i="1"/>
  <c r="S2157" i="1"/>
  <c r="R2158" i="1"/>
  <c r="S2158" i="1"/>
  <c r="R2159" i="1"/>
  <c r="S2159" i="1"/>
  <c r="R2160" i="1"/>
  <c r="S2160" i="1"/>
  <c r="R2161" i="1"/>
  <c r="S2161" i="1"/>
  <c r="R2162" i="1"/>
  <c r="S2162" i="1"/>
  <c r="R2163" i="1"/>
  <c r="S2163" i="1"/>
  <c r="R2164" i="1"/>
  <c r="S2164" i="1"/>
  <c r="R2165" i="1"/>
  <c r="S2165" i="1"/>
  <c r="R2166" i="1"/>
  <c r="S2166" i="1"/>
  <c r="R2167" i="1"/>
  <c r="S2167" i="1"/>
  <c r="R2168" i="1"/>
  <c r="S2168" i="1"/>
  <c r="R2169" i="1"/>
  <c r="S2169" i="1"/>
  <c r="R2170" i="1"/>
  <c r="S2170" i="1"/>
  <c r="R2171" i="1"/>
  <c r="S2171" i="1"/>
  <c r="R2172" i="1"/>
  <c r="S2172" i="1"/>
  <c r="R2173" i="1"/>
  <c r="S2173" i="1"/>
  <c r="R2174" i="1"/>
  <c r="S2174" i="1"/>
  <c r="R2175" i="1"/>
  <c r="S2175" i="1"/>
  <c r="R2176" i="1"/>
  <c r="S2176" i="1"/>
  <c r="R2177" i="1"/>
  <c r="S2177" i="1"/>
  <c r="R2178" i="1"/>
  <c r="S2178" i="1"/>
  <c r="R2179" i="1"/>
  <c r="S2179" i="1"/>
  <c r="R2180" i="1"/>
  <c r="S2180" i="1"/>
  <c r="R2181" i="1"/>
  <c r="S2181" i="1"/>
  <c r="R2182" i="1"/>
  <c r="S2182" i="1"/>
  <c r="R2183" i="1"/>
  <c r="S2183" i="1"/>
  <c r="R2184" i="1"/>
  <c r="S2184" i="1"/>
  <c r="R2185" i="1"/>
  <c r="S2185" i="1"/>
  <c r="R2186" i="1"/>
  <c r="S2186" i="1"/>
  <c r="R2187" i="1"/>
  <c r="S2187" i="1"/>
  <c r="R2188" i="1"/>
  <c r="S2188" i="1"/>
  <c r="R2189" i="1"/>
  <c r="S2189" i="1"/>
  <c r="R2190" i="1"/>
  <c r="S2190" i="1"/>
  <c r="R2191" i="1"/>
  <c r="S2191" i="1"/>
  <c r="R2192" i="1"/>
  <c r="S2192" i="1"/>
  <c r="R2193" i="1"/>
  <c r="S2193" i="1"/>
  <c r="R2194" i="1"/>
  <c r="S2194" i="1"/>
  <c r="R2195" i="1"/>
  <c r="S2195" i="1"/>
  <c r="R2196" i="1"/>
  <c r="S2196" i="1"/>
  <c r="R2197" i="1"/>
  <c r="S2197" i="1"/>
  <c r="R2198" i="1"/>
  <c r="S2198" i="1"/>
  <c r="R2199" i="1"/>
  <c r="S2199" i="1"/>
  <c r="R2200" i="1"/>
  <c r="S2200" i="1"/>
  <c r="R2201" i="1"/>
  <c r="S2201" i="1"/>
  <c r="R2202" i="1"/>
  <c r="S2202" i="1"/>
  <c r="R2203" i="1"/>
  <c r="S2203" i="1"/>
  <c r="R2204" i="1"/>
  <c r="S2204" i="1"/>
  <c r="R2205" i="1"/>
  <c r="S2205" i="1"/>
  <c r="R2206" i="1"/>
  <c r="S2206" i="1"/>
  <c r="R2207" i="1"/>
  <c r="S2207" i="1"/>
  <c r="R2208" i="1"/>
  <c r="S2208" i="1"/>
  <c r="R2209" i="1"/>
  <c r="S2209" i="1"/>
  <c r="R2210" i="1"/>
  <c r="S2210" i="1"/>
  <c r="R2211" i="1"/>
  <c r="S2211" i="1"/>
  <c r="R2212" i="1"/>
  <c r="S2212" i="1"/>
  <c r="R2213" i="1"/>
  <c r="S2213" i="1"/>
  <c r="R2214" i="1"/>
  <c r="S2214" i="1"/>
  <c r="R2215" i="1"/>
  <c r="S2215" i="1"/>
  <c r="R2216" i="1"/>
  <c r="S2216" i="1"/>
  <c r="R2217" i="1"/>
  <c r="S2217" i="1"/>
  <c r="R2218" i="1"/>
  <c r="S2218" i="1"/>
  <c r="R2219" i="1"/>
  <c r="S2219" i="1"/>
  <c r="R2220" i="1"/>
  <c r="S2220" i="1"/>
  <c r="R2221" i="1"/>
  <c r="S2221" i="1"/>
  <c r="R2222" i="1"/>
  <c r="S2222" i="1"/>
  <c r="R2223" i="1"/>
  <c r="S2223" i="1"/>
  <c r="R2224" i="1"/>
  <c r="S2224" i="1"/>
  <c r="R2225" i="1"/>
  <c r="S2225" i="1"/>
  <c r="R2226" i="1"/>
  <c r="S2226" i="1"/>
  <c r="R2227" i="1"/>
  <c r="S2227" i="1"/>
  <c r="R2228" i="1"/>
  <c r="S2228" i="1"/>
  <c r="R2229" i="1"/>
  <c r="S2229" i="1"/>
  <c r="R2230" i="1"/>
  <c r="S2230" i="1"/>
  <c r="R2231" i="1"/>
  <c r="S2231" i="1"/>
  <c r="R2232" i="1"/>
  <c r="S2232" i="1"/>
  <c r="R2233" i="1"/>
  <c r="S2233" i="1"/>
  <c r="R2234" i="1"/>
  <c r="S2234" i="1"/>
  <c r="R2235" i="1"/>
  <c r="S2235" i="1"/>
  <c r="R2236" i="1"/>
  <c r="S2236" i="1"/>
  <c r="R2237" i="1"/>
  <c r="S2237" i="1"/>
  <c r="R2238" i="1"/>
  <c r="S2238" i="1"/>
  <c r="R2239" i="1"/>
  <c r="S2239" i="1"/>
  <c r="R2240" i="1"/>
  <c r="S2240" i="1"/>
  <c r="R2241" i="1"/>
  <c r="S2241" i="1"/>
  <c r="R2242" i="1"/>
  <c r="S2242" i="1"/>
  <c r="R2243" i="1"/>
  <c r="S2243" i="1"/>
  <c r="R2244" i="1"/>
  <c r="S2244" i="1"/>
  <c r="R2245" i="1"/>
  <c r="S2245" i="1"/>
  <c r="R2246" i="1"/>
  <c r="S2246" i="1"/>
  <c r="R2247" i="1"/>
  <c r="S2247" i="1"/>
  <c r="R2248" i="1"/>
  <c r="S2248" i="1"/>
  <c r="R2249" i="1"/>
  <c r="S2249" i="1"/>
  <c r="R2250" i="1"/>
  <c r="S2250" i="1"/>
  <c r="R2251" i="1"/>
  <c r="S2251" i="1"/>
  <c r="R2252" i="1"/>
  <c r="S2252" i="1"/>
  <c r="R2253" i="1"/>
  <c r="S2253" i="1"/>
  <c r="R2254" i="1"/>
  <c r="S2254" i="1"/>
  <c r="R2255" i="1"/>
  <c r="S2255" i="1"/>
  <c r="R2256" i="1"/>
  <c r="S2256" i="1"/>
  <c r="R2257" i="1"/>
  <c r="S2257" i="1"/>
  <c r="R2258" i="1"/>
  <c r="S2258" i="1"/>
  <c r="R2259" i="1"/>
  <c r="S2259" i="1"/>
  <c r="R2260" i="1"/>
  <c r="S2260" i="1"/>
  <c r="R2261" i="1"/>
  <c r="S2261" i="1"/>
  <c r="R2262" i="1"/>
  <c r="S2262" i="1"/>
  <c r="R2263" i="1"/>
  <c r="S2263" i="1"/>
  <c r="R2264" i="1"/>
  <c r="S2264" i="1"/>
  <c r="R2265" i="1"/>
  <c r="S2265" i="1"/>
  <c r="R2266" i="1"/>
  <c r="S2266" i="1"/>
  <c r="R2267" i="1"/>
  <c r="S2267" i="1"/>
  <c r="R2268" i="1"/>
  <c r="S2268" i="1"/>
  <c r="R2269" i="1"/>
  <c r="S2269" i="1"/>
  <c r="R2270" i="1"/>
  <c r="S2270" i="1"/>
  <c r="R2271" i="1"/>
  <c r="S2271" i="1"/>
  <c r="R2272" i="1"/>
  <c r="S2272" i="1"/>
  <c r="R2273" i="1"/>
  <c r="S2273" i="1"/>
  <c r="R2274" i="1"/>
  <c r="S2274" i="1"/>
  <c r="R2275" i="1"/>
  <c r="S2275" i="1"/>
  <c r="R2276" i="1"/>
  <c r="S2276" i="1"/>
  <c r="R2277" i="1"/>
  <c r="S2277" i="1"/>
  <c r="R2278" i="1"/>
  <c r="S2278" i="1"/>
  <c r="R2279" i="1"/>
  <c r="S2279" i="1"/>
  <c r="R2280" i="1"/>
  <c r="S2280" i="1"/>
  <c r="R2281" i="1"/>
  <c r="S2281" i="1"/>
  <c r="R2282" i="1"/>
  <c r="S2282" i="1"/>
  <c r="R2283" i="1"/>
  <c r="S2283" i="1"/>
  <c r="R2284" i="1"/>
  <c r="S2284" i="1"/>
  <c r="R2285" i="1"/>
  <c r="S2285" i="1"/>
  <c r="R2286" i="1"/>
  <c r="S2286" i="1"/>
  <c r="R2287" i="1"/>
  <c r="S2287" i="1"/>
  <c r="R2288" i="1"/>
  <c r="S2288" i="1"/>
  <c r="R2289" i="1"/>
  <c r="S2289" i="1"/>
  <c r="R2290" i="1"/>
  <c r="S2290" i="1"/>
  <c r="R2291" i="1"/>
  <c r="S2291" i="1"/>
  <c r="R2292" i="1"/>
  <c r="S2292" i="1"/>
  <c r="R2293" i="1"/>
  <c r="S2293" i="1"/>
  <c r="R2294" i="1"/>
  <c r="S2294" i="1"/>
  <c r="R2295" i="1"/>
  <c r="S2295" i="1"/>
  <c r="R2296" i="1"/>
  <c r="S2296" i="1"/>
  <c r="R2297" i="1"/>
  <c r="S2297" i="1"/>
  <c r="R2298" i="1"/>
  <c r="S2298" i="1"/>
  <c r="R2299" i="1"/>
  <c r="S2299" i="1"/>
  <c r="R2300" i="1"/>
  <c r="S2300" i="1"/>
  <c r="R2301" i="1"/>
  <c r="S2301" i="1"/>
  <c r="R2302" i="1"/>
  <c r="S2302" i="1"/>
  <c r="R2303" i="1"/>
  <c r="S2303" i="1"/>
  <c r="R2304" i="1"/>
  <c r="S2304" i="1"/>
  <c r="R2305" i="1"/>
  <c r="S2305" i="1"/>
  <c r="R2306" i="1"/>
  <c r="S2306" i="1"/>
  <c r="R2307" i="1"/>
  <c r="S2307" i="1"/>
  <c r="R2308" i="1"/>
  <c r="S2308" i="1"/>
  <c r="R2309" i="1"/>
  <c r="S2309" i="1"/>
  <c r="R2310" i="1"/>
  <c r="S2310" i="1"/>
  <c r="R2311" i="1"/>
  <c r="S2311" i="1"/>
  <c r="R2312" i="1"/>
  <c r="S2312" i="1"/>
  <c r="R2313" i="1"/>
  <c r="S2313" i="1"/>
  <c r="R2314" i="1"/>
  <c r="S2314" i="1"/>
  <c r="R2315" i="1"/>
  <c r="S2315" i="1"/>
  <c r="R2316" i="1"/>
  <c r="S2316" i="1"/>
  <c r="R2317" i="1"/>
  <c r="S2317" i="1"/>
  <c r="R2318" i="1"/>
  <c r="S2318" i="1"/>
  <c r="R2319" i="1"/>
  <c r="S2319" i="1"/>
  <c r="R2320" i="1"/>
  <c r="S2320" i="1"/>
  <c r="R2321" i="1"/>
  <c r="S2321" i="1"/>
  <c r="R2322" i="1"/>
  <c r="S2322" i="1"/>
  <c r="R2323" i="1"/>
  <c r="S2323" i="1"/>
  <c r="R2324" i="1"/>
  <c r="S2324" i="1"/>
  <c r="R2325" i="1"/>
  <c r="S2325" i="1"/>
  <c r="R2326" i="1"/>
  <c r="S2326" i="1"/>
  <c r="R2327" i="1"/>
  <c r="S2327" i="1"/>
  <c r="R2328" i="1"/>
  <c r="S2328" i="1"/>
  <c r="R2329" i="1"/>
  <c r="S2329" i="1"/>
  <c r="R2330" i="1"/>
  <c r="S2330" i="1"/>
  <c r="R2331" i="1"/>
  <c r="S2331" i="1"/>
  <c r="R2332" i="1"/>
  <c r="S2332" i="1"/>
  <c r="R2333" i="1"/>
  <c r="S2333" i="1"/>
  <c r="R2334" i="1"/>
  <c r="S2334" i="1"/>
  <c r="R2335" i="1"/>
  <c r="S2335" i="1"/>
  <c r="R2336" i="1"/>
  <c r="S2336" i="1"/>
  <c r="R2337" i="1"/>
  <c r="S2337" i="1"/>
  <c r="R2338" i="1"/>
  <c r="S2338" i="1"/>
  <c r="R2339" i="1"/>
  <c r="S2339" i="1"/>
  <c r="R2340" i="1"/>
  <c r="S2340" i="1"/>
  <c r="R2341" i="1"/>
  <c r="S2341" i="1"/>
  <c r="R2342" i="1"/>
  <c r="S2342" i="1"/>
  <c r="R2343" i="1"/>
  <c r="S2343" i="1"/>
  <c r="R2344" i="1"/>
  <c r="S2344" i="1"/>
  <c r="R2345" i="1"/>
  <c r="S2345" i="1"/>
  <c r="R2346" i="1"/>
  <c r="S2346" i="1"/>
  <c r="R2347" i="1"/>
  <c r="S2347" i="1"/>
  <c r="R2348" i="1"/>
  <c r="S2348" i="1"/>
  <c r="R2349" i="1"/>
  <c r="S2349" i="1"/>
  <c r="R2350" i="1"/>
  <c r="S2350" i="1"/>
  <c r="R2351" i="1"/>
  <c r="S2351" i="1"/>
  <c r="R2352" i="1"/>
  <c r="S2352" i="1"/>
  <c r="R2353" i="1"/>
  <c r="S2353" i="1"/>
  <c r="R2354" i="1"/>
  <c r="S2354" i="1"/>
  <c r="R2355" i="1"/>
  <c r="S2355" i="1"/>
  <c r="R2356" i="1"/>
  <c r="S2356" i="1"/>
  <c r="R2357" i="1"/>
  <c r="S2357" i="1"/>
  <c r="R2358" i="1"/>
  <c r="S2358" i="1"/>
  <c r="R2359" i="1"/>
  <c r="S2359" i="1"/>
  <c r="R2360" i="1"/>
  <c r="S2360" i="1"/>
  <c r="R2361" i="1"/>
  <c r="S2361" i="1"/>
  <c r="R2362" i="1"/>
  <c r="S2362" i="1"/>
  <c r="R2363" i="1"/>
  <c r="S2363" i="1"/>
  <c r="R2364" i="1"/>
  <c r="S2364" i="1"/>
  <c r="R2365" i="1"/>
  <c r="S2365" i="1"/>
  <c r="R2366" i="1"/>
  <c r="S2366" i="1"/>
  <c r="R2367" i="1"/>
  <c r="S2367" i="1"/>
  <c r="R2368" i="1"/>
  <c r="S2368" i="1"/>
  <c r="R2369" i="1"/>
  <c r="S2369" i="1"/>
  <c r="R2370" i="1"/>
  <c r="S2370" i="1"/>
  <c r="R2371" i="1"/>
  <c r="S2371" i="1"/>
  <c r="R2372" i="1"/>
  <c r="S2372" i="1"/>
  <c r="R2373" i="1"/>
  <c r="S2373" i="1"/>
  <c r="R2374" i="1"/>
  <c r="S2374" i="1"/>
  <c r="R2375" i="1"/>
  <c r="S2375" i="1"/>
  <c r="R2376" i="1"/>
  <c r="S2376" i="1"/>
  <c r="R2377" i="1"/>
  <c r="S2377" i="1"/>
  <c r="R2378" i="1"/>
  <c r="S2378" i="1"/>
  <c r="R2379" i="1"/>
  <c r="S2379" i="1"/>
  <c r="R2380" i="1"/>
  <c r="S2380" i="1"/>
  <c r="R2381" i="1"/>
  <c r="S2381" i="1"/>
  <c r="R2382" i="1"/>
  <c r="S2382" i="1"/>
  <c r="R2383" i="1"/>
  <c r="S2383" i="1"/>
  <c r="R2384" i="1"/>
  <c r="S2384" i="1"/>
  <c r="R2385" i="1"/>
  <c r="S2385" i="1"/>
  <c r="R2386" i="1"/>
  <c r="S2386" i="1"/>
  <c r="R2387" i="1"/>
  <c r="S2387" i="1"/>
  <c r="R2388" i="1"/>
  <c r="S2388" i="1"/>
  <c r="R2389" i="1"/>
  <c r="S2389" i="1"/>
  <c r="R2390" i="1"/>
  <c r="S2390" i="1"/>
  <c r="R2391" i="1"/>
  <c r="S2391" i="1"/>
  <c r="R2392" i="1"/>
  <c r="S2392" i="1"/>
  <c r="R2393" i="1"/>
  <c r="S2393" i="1"/>
  <c r="R2394" i="1"/>
  <c r="S2394" i="1"/>
  <c r="R2395" i="1"/>
  <c r="S2395" i="1"/>
  <c r="R2396" i="1"/>
  <c r="S2396" i="1"/>
  <c r="R2397" i="1"/>
  <c r="S2397" i="1"/>
  <c r="R2398" i="1"/>
  <c r="S2398" i="1"/>
  <c r="R2399" i="1"/>
  <c r="S2399" i="1"/>
  <c r="R2400" i="1"/>
  <c r="S2400" i="1"/>
  <c r="R2401" i="1"/>
  <c r="S2401" i="1"/>
  <c r="R2402" i="1"/>
  <c r="S2402" i="1"/>
  <c r="R2403" i="1"/>
  <c r="S2403" i="1"/>
  <c r="R2404" i="1"/>
  <c r="S2404" i="1"/>
  <c r="R2405" i="1"/>
  <c r="S2405" i="1"/>
  <c r="R2406" i="1"/>
  <c r="S2406" i="1"/>
  <c r="R2407" i="1"/>
  <c r="S2407" i="1"/>
  <c r="R2408" i="1"/>
  <c r="S2408" i="1"/>
  <c r="R2409" i="1"/>
  <c r="S2409" i="1"/>
  <c r="R2410" i="1"/>
  <c r="S2410" i="1"/>
  <c r="R2411" i="1"/>
  <c r="S2411" i="1"/>
  <c r="R2412" i="1"/>
  <c r="S2412" i="1"/>
  <c r="R2413" i="1"/>
  <c r="S2413" i="1"/>
  <c r="R2414" i="1"/>
  <c r="S2414" i="1"/>
  <c r="R2415" i="1"/>
  <c r="S2415" i="1"/>
  <c r="R2416" i="1"/>
  <c r="S2416" i="1"/>
  <c r="R2417" i="1"/>
  <c r="S2417" i="1"/>
  <c r="R2418" i="1"/>
  <c r="S2418" i="1"/>
  <c r="R2419" i="1"/>
  <c r="S2419" i="1"/>
  <c r="R2420" i="1"/>
  <c r="S2420" i="1"/>
  <c r="R2421" i="1"/>
  <c r="S2421" i="1"/>
  <c r="R2422" i="1"/>
  <c r="S2422" i="1"/>
  <c r="R2423" i="1"/>
  <c r="S2423" i="1"/>
  <c r="R2424" i="1"/>
  <c r="S2424" i="1"/>
  <c r="R2425" i="1"/>
  <c r="S2425" i="1"/>
  <c r="R2426" i="1"/>
  <c r="S2426" i="1"/>
  <c r="R2427" i="1"/>
  <c r="S2427" i="1"/>
  <c r="R2428" i="1"/>
  <c r="S2428" i="1"/>
  <c r="R2429" i="1"/>
  <c r="S2429" i="1"/>
  <c r="R2430" i="1"/>
  <c r="S2430" i="1"/>
  <c r="R2431" i="1"/>
  <c r="S2431" i="1"/>
  <c r="R2432" i="1"/>
  <c r="S2432" i="1"/>
  <c r="R2433" i="1"/>
  <c r="S2433" i="1"/>
  <c r="R2434" i="1"/>
  <c r="S2434" i="1"/>
  <c r="R2435" i="1"/>
  <c r="S2435" i="1"/>
  <c r="R2436" i="1"/>
  <c r="S2436" i="1"/>
  <c r="R2437" i="1"/>
  <c r="S2437" i="1"/>
  <c r="R2438" i="1"/>
  <c r="S2438" i="1"/>
  <c r="R2439" i="1"/>
  <c r="S2439" i="1"/>
  <c r="R2440" i="1"/>
  <c r="S2440" i="1"/>
  <c r="R2441" i="1"/>
  <c r="S2441" i="1"/>
  <c r="R2442" i="1"/>
  <c r="S2442" i="1"/>
  <c r="R2443" i="1"/>
  <c r="S2443" i="1"/>
  <c r="R2444" i="1"/>
  <c r="S2444" i="1"/>
  <c r="R2445" i="1"/>
  <c r="S2445" i="1"/>
  <c r="R2446" i="1"/>
  <c r="S2446" i="1"/>
  <c r="R2447" i="1"/>
  <c r="S2447" i="1"/>
  <c r="R2448" i="1"/>
  <c r="S2448" i="1"/>
  <c r="R2449" i="1"/>
  <c r="S2449" i="1"/>
  <c r="R2450" i="1"/>
  <c r="S2450" i="1"/>
  <c r="R2451" i="1"/>
  <c r="S2451" i="1"/>
  <c r="R2452" i="1"/>
  <c r="S2452" i="1"/>
  <c r="R2453" i="1"/>
  <c r="S2453" i="1"/>
  <c r="R2454" i="1"/>
  <c r="S2454" i="1"/>
  <c r="R2455" i="1"/>
  <c r="S2455" i="1"/>
  <c r="R2456" i="1"/>
  <c r="S2456" i="1"/>
  <c r="R2457" i="1"/>
  <c r="S2457" i="1"/>
  <c r="R2458" i="1"/>
  <c r="S2458" i="1"/>
  <c r="R2459" i="1"/>
  <c r="S2459" i="1"/>
  <c r="R2460" i="1"/>
  <c r="S2460" i="1"/>
  <c r="R2461" i="1"/>
  <c r="S2461" i="1"/>
  <c r="R2462" i="1"/>
  <c r="S2462" i="1"/>
  <c r="R2463" i="1"/>
  <c r="S2463" i="1"/>
  <c r="R2464" i="1"/>
  <c r="S2464" i="1"/>
  <c r="R2465" i="1"/>
  <c r="S2465" i="1"/>
  <c r="R2466" i="1"/>
  <c r="S2466" i="1"/>
  <c r="R2467" i="1"/>
  <c r="S2467" i="1"/>
  <c r="R2468" i="1"/>
  <c r="S2468" i="1"/>
  <c r="R2469" i="1"/>
  <c r="S2469" i="1"/>
  <c r="R2470" i="1"/>
  <c r="S2470" i="1"/>
  <c r="R2471" i="1"/>
  <c r="S2471" i="1"/>
  <c r="R2472" i="1"/>
  <c r="S2472" i="1"/>
  <c r="R2473" i="1"/>
  <c r="S2473" i="1"/>
  <c r="R2474" i="1"/>
  <c r="S2474" i="1"/>
  <c r="R2475" i="1"/>
  <c r="S2475" i="1"/>
  <c r="R2476" i="1"/>
  <c r="S2476" i="1"/>
  <c r="R2477" i="1"/>
  <c r="S2477" i="1"/>
  <c r="R2478" i="1"/>
  <c r="S2478" i="1"/>
  <c r="R2479" i="1"/>
  <c r="S2479" i="1"/>
  <c r="R2480" i="1"/>
  <c r="S2480" i="1"/>
  <c r="R2481" i="1"/>
  <c r="S2481" i="1"/>
  <c r="R2482" i="1"/>
  <c r="S2482" i="1"/>
  <c r="R2483" i="1"/>
  <c r="S2483" i="1"/>
  <c r="R2484" i="1"/>
  <c r="S2484" i="1"/>
  <c r="R2485" i="1"/>
  <c r="S2485" i="1"/>
  <c r="R2486" i="1"/>
  <c r="S2486" i="1"/>
  <c r="R2487" i="1"/>
  <c r="S2487" i="1"/>
  <c r="R2488" i="1"/>
  <c r="S2488" i="1"/>
  <c r="R2489" i="1"/>
  <c r="S2489" i="1"/>
  <c r="R2490" i="1"/>
  <c r="S2490" i="1"/>
  <c r="R2491" i="1"/>
  <c r="S2491" i="1"/>
  <c r="R2492" i="1"/>
  <c r="S2492" i="1"/>
  <c r="R2493" i="1"/>
  <c r="S2493" i="1"/>
  <c r="R2494" i="1"/>
  <c r="S2494" i="1"/>
  <c r="R2495" i="1"/>
  <c r="S2495" i="1"/>
  <c r="R2496" i="1"/>
  <c r="S2496" i="1"/>
  <c r="R2497" i="1"/>
  <c r="S2497" i="1"/>
  <c r="R2498" i="1"/>
  <c r="S2498" i="1"/>
  <c r="R2499" i="1"/>
  <c r="S2499" i="1"/>
  <c r="R2500" i="1"/>
  <c r="S2500" i="1"/>
  <c r="R2501" i="1"/>
  <c r="S2501" i="1"/>
  <c r="R2502" i="1"/>
  <c r="S2502" i="1"/>
  <c r="R2503" i="1"/>
  <c r="S2503" i="1"/>
  <c r="R2504" i="1"/>
  <c r="S2504" i="1"/>
  <c r="R2505" i="1"/>
  <c r="S2505" i="1"/>
  <c r="R2506" i="1"/>
  <c r="S2506" i="1"/>
  <c r="R2507" i="1"/>
  <c r="S2507" i="1"/>
  <c r="R2508" i="1"/>
  <c r="S2508" i="1"/>
  <c r="R2509" i="1"/>
  <c r="S2509" i="1"/>
  <c r="R2510" i="1"/>
  <c r="S2510" i="1"/>
  <c r="R2511" i="1"/>
  <c r="S2511" i="1"/>
  <c r="R2512" i="1"/>
  <c r="S2512" i="1"/>
  <c r="R2513" i="1"/>
  <c r="S2513" i="1"/>
  <c r="R2514" i="1"/>
  <c r="S2514" i="1"/>
  <c r="R2515" i="1"/>
  <c r="S2515" i="1"/>
  <c r="R2516" i="1"/>
  <c r="S2516" i="1"/>
  <c r="R2517" i="1"/>
  <c r="S2517" i="1"/>
  <c r="R2518" i="1"/>
  <c r="S2518" i="1"/>
  <c r="R2519" i="1"/>
  <c r="S2519" i="1"/>
  <c r="R2520" i="1"/>
  <c r="S2520" i="1"/>
  <c r="R2521" i="1"/>
  <c r="S2521" i="1"/>
  <c r="R2522" i="1"/>
  <c r="S2522" i="1"/>
  <c r="R2523" i="1"/>
  <c r="S2523" i="1"/>
  <c r="R2524" i="1"/>
  <c r="S2524" i="1"/>
  <c r="R2525" i="1"/>
  <c r="S2525" i="1"/>
  <c r="R2526" i="1"/>
  <c r="S2526" i="1"/>
  <c r="R2527" i="1"/>
  <c r="S2527" i="1"/>
  <c r="R2528" i="1"/>
  <c r="S2528" i="1"/>
  <c r="R2529" i="1"/>
  <c r="S2529" i="1"/>
  <c r="R2530" i="1"/>
  <c r="S2530" i="1"/>
  <c r="R2531" i="1"/>
  <c r="S2531" i="1"/>
  <c r="R2532" i="1"/>
  <c r="S2532" i="1"/>
  <c r="R2533" i="1"/>
  <c r="S2533" i="1"/>
  <c r="R2534" i="1"/>
  <c r="S2534" i="1"/>
  <c r="R2535" i="1"/>
  <c r="S2535" i="1"/>
  <c r="R2536" i="1"/>
  <c r="S2536" i="1"/>
  <c r="R2537" i="1"/>
  <c r="S2537" i="1"/>
  <c r="R2538" i="1"/>
  <c r="S2538" i="1"/>
  <c r="R2539" i="1"/>
  <c r="S2539" i="1"/>
  <c r="R2540" i="1"/>
  <c r="S2540" i="1"/>
  <c r="R2541" i="1"/>
  <c r="S2541" i="1"/>
  <c r="R2542" i="1"/>
  <c r="S2542" i="1"/>
  <c r="R2543" i="1"/>
  <c r="S2543" i="1"/>
  <c r="R2544" i="1"/>
  <c r="S2544" i="1"/>
  <c r="R2545" i="1"/>
  <c r="S2545" i="1"/>
  <c r="R2546" i="1"/>
  <c r="S2546" i="1"/>
  <c r="R2547" i="1"/>
  <c r="S2547" i="1"/>
  <c r="R2548" i="1"/>
  <c r="S2548" i="1"/>
  <c r="R2549" i="1"/>
  <c r="S2549" i="1"/>
  <c r="R2550" i="1"/>
  <c r="S2550" i="1"/>
  <c r="R2551" i="1"/>
  <c r="S2551" i="1"/>
  <c r="R2552" i="1"/>
  <c r="S2552" i="1"/>
  <c r="R2553" i="1"/>
  <c r="S2553" i="1"/>
  <c r="R2554" i="1"/>
  <c r="S2554" i="1"/>
  <c r="R2555" i="1"/>
  <c r="S2555" i="1"/>
  <c r="R2556" i="1"/>
  <c r="S2556" i="1"/>
  <c r="R2557" i="1"/>
  <c r="S2557" i="1"/>
  <c r="R2558" i="1"/>
  <c r="S2558" i="1"/>
  <c r="R2559" i="1"/>
  <c r="S2559" i="1"/>
  <c r="R2560" i="1"/>
  <c r="S2560" i="1"/>
  <c r="R2561" i="1"/>
  <c r="S2561" i="1"/>
  <c r="R2562" i="1"/>
  <c r="S2562" i="1"/>
  <c r="R2563" i="1"/>
  <c r="S2563" i="1"/>
  <c r="R2564" i="1"/>
  <c r="S2564" i="1"/>
  <c r="R2565" i="1"/>
  <c r="S2565" i="1"/>
  <c r="R2566" i="1"/>
  <c r="S2566" i="1"/>
  <c r="R2567" i="1"/>
  <c r="S2567" i="1"/>
  <c r="R2568" i="1"/>
  <c r="S2568" i="1"/>
  <c r="R2569" i="1"/>
  <c r="S2569" i="1"/>
  <c r="R2570" i="1"/>
  <c r="S2570" i="1"/>
  <c r="R2571" i="1"/>
  <c r="S2571" i="1"/>
  <c r="R2572" i="1"/>
  <c r="S2572" i="1"/>
  <c r="R2573" i="1"/>
  <c r="S2573" i="1"/>
  <c r="R2574" i="1"/>
  <c r="S2574" i="1"/>
  <c r="R2575" i="1"/>
  <c r="S2575" i="1"/>
  <c r="R2576" i="1"/>
  <c r="S2576" i="1"/>
  <c r="R2577" i="1"/>
  <c r="S2577" i="1"/>
  <c r="R2578" i="1"/>
  <c r="S2578" i="1"/>
  <c r="R2579" i="1"/>
  <c r="S2579" i="1"/>
  <c r="R2580" i="1"/>
  <c r="S2580" i="1"/>
  <c r="R2581" i="1"/>
  <c r="S2581" i="1"/>
  <c r="R2582" i="1"/>
  <c r="S2582" i="1"/>
  <c r="R2583" i="1"/>
  <c r="S2583" i="1"/>
  <c r="R2584" i="1"/>
  <c r="S2584" i="1"/>
  <c r="R2585" i="1"/>
  <c r="S2585" i="1"/>
  <c r="R2586" i="1"/>
  <c r="S2586" i="1"/>
  <c r="R2587" i="1"/>
  <c r="S2587" i="1"/>
  <c r="R2588" i="1"/>
  <c r="S2588" i="1"/>
  <c r="R2589" i="1"/>
  <c r="S2589" i="1"/>
  <c r="R2590" i="1"/>
  <c r="S2590" i="1"/>
  <c r="R2591" i="1"/>
  <c r="S2591" i="1"/>
  <c r="R2592" i="1"/>
  <c r="S2592" i="1"/>
  <c r="R2593" i="1"/>
  <c r="S2593" i="1"/>
  <c r="R2594" i="1"/>
  <c r="S2594" i="1"/>
  <c r="R2595" i="1"/>
  <c r="S2595" i="1"/>
  <c r="R2596" i="1"/>
  <c r="S2596" i="1"/>
  <c r="R2597" i="1"/>
  <c r="S2597" i="1"/>
  <c r="R2598" i="1"/>
  <c r="S2598" i="1"/>
  <c r="R2599" i="1"/>
  <c r="S2599" i="1"/>
  <c r="R2600" i="1"/>
  <c r="S2600" i="1"/>
  <c r="R2601" i="1"/>
  <c r="S2601" i="1"/>
  <c r="R2602" i="1"/>
  <c r="S2602" i="1"/>
  <c r="R2603" i="1"/>
  <c r="S2603" i="1"/>
  <c r="R2604" i="1"/>
  <c r="S2604" i="1"/>
  <c r="R2605" i="1"/>
  <c r="S2605" i="1"/>
  <c r="R2606" i="1"/>
  <c r="S2606" i="1"/>
  <c r="R2607" i="1"/>
  <c r="S2607" i="1"/>
  <c r="R2608" i="1"/>
  <c r="S2608" i="1"/>
  <c r="R2609" i="1"/>
  <c r="S2609" i="1"/>
  <c r="R2610" i="1"/>
  <c r="S2610" i="1"/>
  <c r="R2611" i="1"/>
  <c r="S2611" i="1"/>
  <c r="R2612" i="1"/>
  <c r="S2612" i="1"/>
  <c r="R2613" i="1"/>
  <c r="S2613" i="1"/>
  <c r="R2614" i="1"/>
  <c r="S2614" i="1"/>
  <c r="R2615" i="1"/>
  <c r="S2615" i="1"/>
  <c r="R2616" i="1"/>
  <c r="S2616" i="1"/>
  <c r="R2617" i="1"/>
  <c r="S2617" i="1"/>
  <c r="R2618" i="1"/>
  <c r="S2618" i="1"/>
  <c r="R2619" i="1"/>
  <c r="S2619" i="1"/>
  <c r="R2620" i="1"/>
  <c r="S2620" i="1"/>
  <c r="R2621" i="1"/>
  <c r="S2621" i="1"/>
  <c r="R2622" i="1"/>
  <c r="S2622" i="1"/>
  <c r="R2623" i="1"/>
  <c r="S2623" i="1"/>
  <c r="R2624" i="1"/>
  <c r="S2624" i="1"/>
  <c r="R2625" i="1"/>
  <c r="S2625" i="1"/>
  <c r="R2626" i="1"/>
  <c r="S2626" i="1"/>
  <c r="R2627" i="1"/>
  <c r="S2627" i="1"/>
  <c r="R2628" i="1"/>
  <c r="S2628" i="1"/>
  <c r="R2629" i="1"/>
  <c r="S2629" i="1"/>
  <c r="R2630" i="1"/>
  <c r="S2630" i="1"/>
  <c r="R2631" i="1"/>
  <c r="S2631" i="1"/>
  <c r="R2632" i="1"/>
  <c r="S2632" i="1"/>
  <c r="R2633" i="1"/>
  <c r="S2633" i="1"/>
  <c r="R2634" i="1"/>
  <c r="S2634" i="1"/>
  <c r="R2635" i="1"/>
  <c r="S2635" i="1"/>
  <c r="R2636" i="1"/>
  <c r="S2636" i="1"/>
  <c r="R2637" i="1"/>
  <c r="S2637" i="1"/>
  <c r="R2638" i="1"/>
  <c r="S2638" i="1"/>
  <c r="R2639" i="1"/>
  <c r="S2639" i="1"/>
  <c r="R2640" i="1"/>
  <c r="S2640" i="1"/>
  <c r="R2641" i="1"/>
  <c r="S2641" i="1"/>
  <c r="R2642" i="1"/>
  <c r="S2642" i="1"/>
  <c r="R2643" i="1"/>
  <c r="S2643" i="1"/>
  <c r="R2644" i="1"/>
  <c r="S2644" i="1"/>
  <c r="R2645" i="1"/>
  <c r="S2645" i="1"/>
  <c r="R2646" i="1"/>
  <c r="S2646" i="1"/>
  <c r="R2647" i="1"/>
  <c r="S2647" i="1"/>
  <c r="R2648" i="1"/>
  <c r="S2648" i="1"/>
  <c r="R2649" i="1"/>
  <c r="S2649" i="1"/>
  <c r="R2650" i="1"/>
  <c r="S2650" i="1"/>
  <c r="R2651" i="1"/>
  <c r="S2651" i="1"/>
  <c r="R2652" i="1"/>
  <c r="S2652" i="1"/>
  <c r="R2653" i="1"/>
  <c r="S2653" i="1"/>
  <c r="R2654" i="1"/>
  <c r="S2654" i="1"/>
  <c r="R2655" i="1"/>
  <c r="S2655" i="1"/>
  <c r="R2656" i="1"/>
  <c r="S2656" i="1"/>
  <c r="R2657" i="1"/>
  <c r="S2657" i="1"/>
  <c r="R2658" i="1"/>
  <c r="S2658" i="1"/>
  <c r="R2659" i="1"/>
  <c r="S2659" i="1"/>
  <c r="R2660" i="1"/>
  <c r="S2660" i="1"/>
  <c r="R2661" i="1"/>
  <c r="S2661" i="1"/>
  <c r="R2662" i="1"/>
  <c r="S2662" i="1"/>
  <c r="R2663" i="1"/>
  <c r="S2663" i="1"/>
  <c r="R2664" i="1"/>
  <c r="S2664" i="1"/>
  <c r="R2665" i="1"/>
  <c r="S2665" i="1"/>
  <c r="R2666" i="1"/>
  <c r="S2666" i="1"/>
  <c r="R2667" i="1"/>
  <c r="S2667" i="1"/>
  <c r="R2668" i="1"/>
  <c r="S2668" i="1"/>
  <c r="R2669" i="1"/>
  <c r="S2669" i="1"/>
  <c r="R2670" i="1"/>
  <c r="S2670" i="1"/>
  <c r="R2671" i="1"/>
  <c r="S2671" i="1"/>
  <c r="R2672" i="1"/>
  <c r="S2672" i="1"/>
  <c r="R2673" i="1"/>
  <c r="S2673" i="1"/>
  <c r="R2674" i="1"/>
  <c r="S2674" i="1"/>
  <c r="R2675" i="1"/>
  <c r="S2675" i="1"/>
  <c r="R2676" i="1"/>
  <c r="S2676" i="1"/>
  <c r="R2677" i="1"/>
  <c r="S2677" i="1"/>
  <c r="R2678" i="1"/>
  <c r="S2678" i="1"/>
  <c r="R2679" i="1"/>
  <c r="S2679" i="1"/>
  <c r="R2680" i="1"/>
  <c r="S2680" i="1"/>
  <c r="R2681" i="1"/>
  <c r="S2681" i="1"/>
  <c r="R2682" i="1"/>
  <c r="S2682" i="1"/>
  <c r="R2683" i="1"/>
  <c r="S2683" i="1"/>
  <c r="R2684" i="1"/>
  <c r="S2684" i="1"/>
  <c r="R2685" i="1"/>
  <c r="S2685" i="1"/>
  <c r="R2686" i="1"/>
  <c r="S2686" i="1"/>
  <c r="R2687" i="1"/>
  <c r="S2687" i="1"/>
  <c r="R2688" i="1"/>
  <c r="S2688" i="1"/>
  <c r="R2689" i="1"/>
  <c r="S2689" i="1"/>
  <c r="R2690" i="1"/>
  <c r="S2690" i="1"/>
  <c r="R2691" i="1"/>
  <c r="S2691" i="1"/>
  <c r="R2692" i="1"/>
  <c r="S2692" i="1"/>
  <c r="R2693" i="1"/>
  <c r="S2693" i="1"/>
  <c r="R2694" i="1"/>
  <c r="S2694" i="1"/>
  <c r="R2695" i="1"/>
  <c r="S2695" i="1"/>
  <c r="R2696" i="1"/>
  <c r="S2696" i="1"/>
  <c r="R2697" i="1"/>
  <c r="S2697" i="1"/>
  <c r="R2698" i="1"/>
  <c r="S2698" i="1"/>
  <c r="R2699" i="1"/>
  <c r="S2699" i="1"/>
  <c r="R2700" i="1"/>
  <c r="S2700" i="1"/>
  <c r="R2701" i="1"/>
  <c r="S2701" i="1"/>
  <c r="R2702" i="1"/>
  <c r="S2702" i="1"/>
  <c r="R2703" i="1"/>
  <c r="S2703" i="1"/>
  <c r="R2704" i="1"/>
  <c r="S2704" i="1"/>
  <c r="R2705" i="1"/>
  <c r="S2705" i="1"/>
  <c r="R2706" i="1"/>
  <c r="S2706" i="1"/>
  <c r="R2707" i="1"/>
  <c r="S2707" i="1"/>
  <c r="R2708" i="1"/>
  <c r="S2708" i="1"/>
  <c r="R2709" i="1"/>
  <c r="S2709" i="1"/>
  <c r="R2710" i="1"/>
  <c r="S2710" i="1"/>
  <c r="R2711" i="1"/>
  <c r="S2711" i="1"/>
  <c r="R2712" i="1"/>
  <c r="S2712" i="1"/>
  <c r="R2713" i="1"/>
  <c r="S2713" i="1"/>
  <c r="R2714" i="1"/>
  <c r="S2714" i="1"/>
  <c r="R2715" i="1"/>
  <c r="S2715" i="1"/>
  <c r="R2716" i="1"/>
  <c r="S2716" i="1"/>
  <c r="R2717" i="1"/>
  <c r="S2717" i="1"/>
  <c r="R2718" i="1"/>
  <c r="S2718" i="1"/>
  <c r="R2719" i="1"/>
  <c r="S2719" i="1"/>
  <c r="R2720" i="1"/>
  <c r="S2720" i="1"/>
  <c r="R2721" i="1"/>
  <c r="S2721" i="1"/>
  <c r="R2722" i="1"/>
  <c r="S2722" i="1"/>
  <c r="R2723" i="1"/>
  <c r="S2723" i="1"/>
  <c r="R2724" i="1"/>
  <c r="S2724" i="1"/>
  <c r="R2725" i="1"/>
  <c r="S2725" i="1"/>
  <c r="R2726" i="1"/>
  <c r="S2726" i="1"/>
  <c r="R2727" i="1"/>
  <c r="S2727" i="1"/>
  <c r="R2728" i="1"/>
  <c r="S2728" i="1"/>
  <c r="R2729" i="1"/>
  <c r="S2729" i="1"/>
  <c r="R2730" i="1"/>
  <c r="S2730" i="1"/>
  <c r="R2731" i="1"/>
  <c r="S2731" i="1"/>
  <c r="R2732" i="1"/>
  <c r="S2732" i="1"/>
  <c r="R2733" i="1"/>
  <c r="S2733" i="1"/>
  <c r="R2734" i="1"/>
  <c r="S2734" i="1"/>
  <c r="R2735" i="1"/>
  <c r="S2735" i="1"/>
  <c r="R2736" i="1"/>
  <c r="S2736" i="1"/>
  <c r="R2737" i="1"/>
  <c r="S2737" i="1"/>
  <c r="R2738" i="1"/>
  <c r="S2738" i="1"/>
  <c r="R2739" i="1"/>
  <c r="S2739" i="1"/>
  <c r="R2740" i="1"/>
  <c r="S2740" i="1"/>
  <c r="R2741" i="1"/>
  <c r="S2741" i="1"/>
  <c r="R2742" i="1"/>
  <c r="S2742" i="1"/>
  <c r="R2743" i="1"/>
  <c r="S2743" i="1"/>
  <c r="R2744" i="1"/>
  <c r="S2744" i="1"/>
  <c r="R2745" i="1"/>
  <c r="S2745" i="1"/>
  <c r="R2746" i="1"/>
  <c r="S2746" i="1"/>
  <c r="S2" i="1"/>
  <c r="R2" i="1"/>
</calcChain>
</file>

<file path=xl/sharedStrings.xml><?xml version="1.0" encoding="utf-8"?>
<sst xmlns="http://schemas.openxmlformats.org/spreadsheetml/2006/main" count="37007" uniqueCount="8561">
  <si>
    <t>Fecha</t>
  </si>
  <si>
    <t>Ref #</t>
  </si>
  <si>
    <t>Publicación</t>
  </si>
  <si>
    <t>Estado</t>
  </si>
  <si>
    <t>Portal</t>
  </si>
  <si>
    <t>Precio Cierre Total</t>
  </si>
  <si>
    <t>Moneda Cierre</t>
  </si>
  <si>
    <t>Precio Publicación</t>
  </si>
  <si>
    <t>Moneda Publicación</t>
  </si>
  <si>
    <t>Dirección</t>
  </si>
  <si>
    <t>Ubicación</t>
  </si>
  <si>
    <t>Tipo Propiedad</t>
  </si>
  <si>
    <t>Lados</t>
  </si>
  <si>
    <t>Oficina</t>
  </si>
  <si>
    <t>Tipo Operación</t>
  </si>
  <si>
    <t>Operación</t>
  </si>
  <si>
    <t>Realizado</t>
  </si>
  <si>
    <t>AR ZonaProp</t>
  </si>
  <si>
    <t>Local</t>
  </si>
  <si>
    <t>Departamento</t>
  </si>
  <si>
    <t>Seniority Plus</t>
  </si>
  <si>
    <t>Propia (Único Asesor)</t>
  </si>
  <si>
    <t>Dólares</t>
  </si>
  <si>
    <t xml:space="preserve">Argentina | G.B.A. Zona Norte | Escobar </t>
  </si>
  <si>
    <t>CHO6935597</t>
  </si>
  <si>
    <t>En venta Casa 4 ambientes con Cochera en Munro A Refaccionar - ACEPTA PERMUTA</t>
  </si>
  <si>
    <t>Maquinista Carregal  al 2300</t>
  </si>
  <si>
    <t>Argentina | G.B.A. Zona Norte | Vicente López | Munro</t>
  </si>
  <si>
    <t>Casa</t>
  </si>
  <si>
    <t>Haka</t>
  </si>
  <si>
    <t>Venta</t>
  </si>
  <si>
    <t>JAP6933589</t>
  </si>
  <si>
    <t xml:space="preserve">venta de departamento en pilar </t>
  </si>
  <si>
    <t>lagoon pilar sucre 1100</t>
  </si>
  <si>
    <t>Argentina | G.B.A. Zona Norte | Pilar | Countries/B.Cerrado (Pilar) | Lagoon Pilar</t>
  </si>
  <si>
    <t>Lion Team Norte</t>
  </si>
  <si>
    <t>Compartida en Red (50%)</t>
  </si>
  <si>
    <t xml:space="preserve">Argentina | Capital Federal | Barrio Norte </t>
  </si>
  <si>
    <t>Referido</t>
  </si>
  <si>
    <t>Argentina | G.B.A. Zona Norte | Pilar | Manuel Alberti | vilahaus</t>
  </si>
  <si>
    <t>North Team</t>
  </si>
  <si>
    <t>Compartida en Oficina (Dos Asesores)</t>
  </si>
  <si>
    <t>Lagoon</t>
  </si>
  <si>
    <t>Departamanto en venta en Lagoon Pilar 2 ambientes</t>
  </si>
  <si>
    <t>Master</t>
  </si>
  <si>
    <t>CHO7272914</t>
  </si>
  <si>
    <t>VENTA CASA 3 AMBIENTES PILAR JARDIN Y TERRAZA</t>
  </si>
  <si>
    <t>AR MercadoLibre</t>
  </si>
  <si>
    <t>Francisco Lauria  al 1600</t>
  </si>
  <si>
    <t>Argentina | G.B.A. Zona Norte | Pilar | Pilar</t>
  </si>
  <si>
    <t>Lion Team</t>
  </si>
  <si>
    <t>111Nano</t>
  </si>
  <si>
    <t>Mitre 5607</t>
  </si>
  <si>
    <t>Cartel</t>
  </si>
  <si>
    <t>Argentina | Santa Fe | La Capital | Santa Fe</t>
  </si>
  <si>
    <t>De la Veracruz</t>
  </si>
  <si>
    <t>CAP7586022</t>
  </si>
  <si>
    <t>Venta, Departamento, 3 ambientes, cochera, balcón terraza, parrilla, Nordelta, lagos del Sendero</t>
  </si>
  <si>
    <t>AR ArgenProp</t>
  </si>
  <si>
    <t>Av. del golf al 600</t>
  </si>
  <si>
    <t>Argentina | G.B.A. Zona Norte | Tigre | Countries/B.Cerrado (Tigre) | Nordelta | Sendero | Lago del Sendero</t>
  </si>
  <si>
    <t>CHO7108747</t>
  </si>
  <si>
    <t>Casa en Venta - Excelente Ubicación Frente a Dalvian</t>
  </si>
  <si>
    <t>Dr. Ramon Carrillo</t>
  </si>
  <si>
    <t xml:space="preserve">Argentina | Mendoza | Capital </t>
  </si>
  <si>
    <t>Cuyo Real</t>
  </si>
  <si>
    <t>(Interior) Compartida Fuera de la Red Captación Propia</t>
  </si>
  <si>
    <t>CAP6731034</t>
  </si>
  <si>
    <t>Venta Departamento Godoy  Cruz, complejo privado Dto 13</t>
  </si>
  <si>
    <t>Cervantes al 1400</t>
  </si>
  <si>
    <t>Argentina | Mendoza | Godoy Cruz | Godoy Cruz | Gobernador Benegas</t>
  </si>
  <si>
    <t xml:space="preserve">Argentina | Capital Federal | Balvanera </t>
  </si>
  <si>
    <t>PH</t>
  </si>
  <si>
    <t>Destino II</t>
  </si>
  <si>
    <t>CPH7441076</t>
  </si>
  <si>
    <t>VENDE PH 3 AMBIENTES CON TERRAZA Y 2 PATIOS VILLA BALLESTER CENTRO</t>
  </si>
  <si>
    <t>san lorenzo  al 3200</t>
  </si>
  <si>
    <t>Argentina | G.B.A. Zona Norte | General San Martin | San Andrés</t>
  </si>
  <si>
    <t>Niceto</t>
  </si>
  <si>
    <t xml:space="preserve">Argentina | Capital Federal | Palermo </t>
  </si>
  <si>
    <t>CHO7849518</t>
  </si>
  <si>
    <t>CB VENDE CASA EN LOS PERALES</t>
  </si>
  <si>
    <t>Conocido</t>
  </si>
  <si>
    <t>Andrade 960</t>
  </si>
  <si>
    <t>Argentina | Jujuy | Dr Manuel Belgrano | San Salvador De Jujuy</t>
  </si>
  <si>
    <t>Plaza</t>
  </si>
  <si>
    <t>Argentina | G.B.A. Zona Norte | Tigre | Tigre | Ciudad De Tigre</t>
  </si>
  <si>
    <t>Concept</t>
  </si>
  <si>
    <t>Argentina | G.B.A. Zona Norte | Pilar | Manuel Alberti | Cristaline</t>
  </si>
  <si>
    <t>CHO7361585</t>
  </si>
  <si>
    <t>Excelente Casa en San Jerónimo Norte de dos dormitorios, patio y cocheras. Posibilidad de Permuta</t>
  </si>
  <si>
    <t>Excelente Casa en San Jerónimo Norte de dos dormitorios, patio y cocheras.</t>
  </si>
  <si>
    <t>Argentina | Santa Fe | Las Colonias | San Jeronimo Norte</t>
  </si>
  <si>
    <t>CLA7331200</t>
  </si>
  <si>
    <t>VENTA Lote de 1495m2 para construir hasta 448m2 EN BARRIO EXCLUSIVO CALFUCO - Villa la Angostura</t>
  </si>
  <si>
    <t>Agua Azul al 100</t>
  </si>
  <si>
    <t>Argentina | Neuquen | Villa La Angostura | Calfuco</t>
  </si>
  <si>
    <t>Terreno</t>
  </si>
  <si>
    <t>Patagonia Lakes VLA</t>
  </si>
  <si>
    <t>CPH7443193</t>
  </si>
  <si>
    <t>Venta PH 3 ambientes con quincho impecable en Devoto</t>
  </si>
  <si>
    <t>Simbron  al 5100</t>
  </si>
  <si>
    <t xml:space="preserve">Argentina | Capital Federal | Villa Devoto </t>
  </si>
  <si>
    <t>Seniority</t>
  </si>
  <si>
    <t>CHO7685979</t>
  </si>
  <si>
    <t>VENTA CASA 5 AMBIENTES RECICLADA CON DEPENDENCIA, JARDIN Y PILETA MARTINEZ, SAN ISIDRO</t>
  </si>
  <si>
    <t>ARENALES al 2400</t>
  </si>
  <si>
    <t>Argentina | G.B.A. Zona Norte | San Isidro | Martinez</t>
  </si>
  <si>
    <t>CBU52357 AP5500777</t>
  </si>
  <si>
    <t>Venta Departamento 2 ambientes en Colegiales con Balcón y Amenities</t>
  </si>
  <si>
    <t>moldes al 1200</t>
  </si>
  <si>
    <t xml:space="preserve">Argentina | Capital Federal | Colegiales </t>
  </si>
  <si>
    <t>CAP7373783</t>
  </si>
  <si>
    <t>Departamento 2 Ambientes Balcón Cocina Separada</t>
  </si>
  <si>
    <t>Muñoz al 1600</t>
  </si>
  <si>
    <t>Argentina | G.B.A. Zona Norte | San Miguel | San Miguel</t>
  </si>
  <si>
    <t>Grupo Elite</t>
  </si>
  <si>
    <t xml:space="preserve">Argentina | Capital Federal | Puerto Madero </t>
  </si>
  <si>
    <t>CGL6668089</t>
  </si>
  <si>
    <t>VENDE  Galpón en lote a 100mts al este de Avda A. Del Valle</t>
  </si>
  <si>
    <t>Esmeralda al 2500 Barrio La Esmeralda a 100mts de A. del Valle</t>
  </si>
  <si>
    <t>CAP7393052</t>
  </si>
  <si>
    <t>Departamento  de 2 dormitorios en planta baja a 50m de Bv!</t>
  </si>
  <si>
    <t>Departamento a metros de Boulevard sobre calle Mitre 3562 D2</t>
  </si>
  <si>
    <t>Argentina | Santa Fe | La Capital | Santa Fe | Candioti Norte</t>
  </si>
  <si>
    <t>CAP7379471</t>
  </si>
  <si>
    <t xml:space="preserve">Ph </t>
  </si>
  <si>
    <t>Instagram</t>
  </si>
  <si>
    <t>Gustavo Ceratti al 200</t>
  </si>
  <si>
    <t>Argentina | Rio Negro | Bariloche | San Carlos De Bariloche</t>
  </si>
  <si>
    <t>Patagonia Lakes BRC</t>
  </si>
  <si>
    <t>(Interior) Compartida Fuera de la Red Búsqueda</t>
  </si>
  <si>
    <t>CAP6681895</t>
  </si>
  <si>
    <t>Venta Departamento en Pozo, 39m2, Barrio Belgrano</t>
  </si>
  <si>
    <t>Teléfono</t>
  </si>
  <si>
    <t>salta  al 300</t>
  </si>
  <si>
    <t>Argentina | Rio Negro | Bariloche | San Carlos De Bariloche | Centro</t>
  </si>
  <si>
    <t>CAP7734188</t>
  </si>
  <si>
    <t>depto en alquiler en temperley, 3 ambientes en alquiler, a estrenar, amenities, zona sur</t>
  </si>
  <si>
    <t>CANGALLO al 400</t>
  </si>
  <si>
    <t>Argentina | G.B.A. Zona Sur | Lomas De Zamora (Partido) | Temperley | Temperley Este</t>
  </si>
  <si>
    <t xml:space="preserve">Argentina | Capital Federal | Monserrat </t>
  </si>
  <si>
    <t>Puerto Norte</t>
  </si>
  <si>
    <t xml:space="preserve">TIERRA DEL FUEGO </t>
  </si>
  <si>
    <t>LOTE EN VENTA, LA BOTA, BENAVIDEZ</t>
  </si>
  <si>
    <t>Argentina | G.B.A. Zona Norte | Escobar | Ingeniero Maschwitz | La Bota</t>
  </si>
  <si>
    <t>Compartida Fuera de la Red Búsqueda</t>
  </si>
  <si>
    <t>CHO6837763</t>
  </si>
  <si>
    <t>Venta Casa 4 dorm, Jardines del Rey - Neuquén</t>
  </si>
  <si>
    <t>Venta Casa , Jardines del Rey, Neuquen</t>
  </si>
  <si>
    <t>Argentina | Neuquen | Capital | Río Grande</t>
  </si>
  <si>
    <t>Sensus</t>
  </si>
  <si>
    <t>CLA7206108</t>
  </si>
  <si>
    <t>Venta de Lote  a la laguna en El Naudir, Escobar</t>
  </si>
  <si>
    <t>El Naudir al 200</t>
  </si>
  <si>
    <t>Argentina | G.B.A. Zona Norte | Escobar | Countries/B.Cerrado (Escobar) | El Naudir</t>
  </si>
  <si>
    <t>Acqua</t>
  </si>
  <si>
    <t>CLA7121482</t>
  </si>
  <si>
    <t>Terreno en Venta con frente de ruta</t>
  </si>
  <si>
    <t xml:space="preserve">Ruta 151 y Calle 20 </t>
  </si>
  <si>
    <t>Argentina | Rio Negro | General Roca | Cinco Saltos</t>
  </si>
  <si>
    <t>CHO7345690</t>
  </si>
  <si>
    <t>Casa en Flores</t>
  </si>
  <si>
    <t>Manco Capac al 1200</t>
  </si>
  <si>
    <t xml:space="preserve">Argentina | Capital Federal | Flores </t>
  </si>
  <si>
    <t>CHL7347814</t>
  </si>
  <si>
    <t>Hotel en Once</t>
  </si>
  <si>
    <t>Bartolomé Mitre al 2600</t>
  </si>
  <si>
    <t xml:space="preserve">Argentina | Capital Federal | Once </t>
  </si>
  <si>
    <t>Hotel</t>
  </si>
  <si>
    <t>Argentina | G.B.A. Zona Sur | La Plata | La Plata</t>
  </si>
  <si>
    <t>Golden Team</t>
  </si>
  <si>
    <t>CAP7153326</t>
  </si>
  <si>
    <t>Departamento en VENTA en calle Mitre Ciudad Mendoza</t>
  </si>
  <si>
    <t>General Paz y Mitre</t>
  </si>
  <si>
    <t>CHO7388057</t>
  </si>
  <si>
    <t>Casa en Venta - APTA CRÉDITO - Perdriel - Lujan de Cuyo</t>
  </si>
  <si>
    <t>Olavarria al 4700</t>
  </si>
  <si>
    <t>Argentina | Mendoza | Lujan De Cuyo | Lujan De Cuyo | Perdriel</t>
  </si>
  <si>
    <t>Aguaribay balcones</t>
  </si>
  <si>
    <t>Casa en aguaribay balcones</t>
  </si>
  <si>
    <t>Argentina | Mendoza | Lujan De Cuyo | Chacras De Coria</t>
  </si>
  <si>
    <t>Casa en Aguaribay etapa I</t>
  </si>
  <si>
    <t xml:space="preserve"> Reserva Venta Luca Lote Gómez Carrillo </t>
  </si>
  <si>
    <t>Salón</t>
  </si>
  <si>
    <t>CGA7342048</t>
  </si>
  <si>
    <t>Cochera en Colegiales</t>
  </si>
  <si>
    <t>Aguilar al 2500</t>
  </si>
  <si>
    <t>Garage</t>
  </si>
  <si>
    <t xml:space="preserve">Argentina | Neuquen | Capital </t>
  </si>
  <si>
    <t xml:space="preserve">Paraguay 3734 </t>
  </si>
  <si>
    <t xml:space="preserve">Argentina | Capital Federal | Recoleta </t>
  </si>
  <si>
    <t>CAP7375579</t>
  </si>
  <si>
    <t>Venta Departamento 3 Ambientes c/ Balcon al Fte. en San Telmo. Apto Credito. Amoblado.</t>
  </si>
  <si>
    <t>Carlos Calvo al 400</t>
  </si>
  <si>
    <t xml:space="preserve">Argentina | Capital Federal | San Telmo </t>
  </si>
  <si>
    <t>PH San Telmo</t>
  </si>
  <si>
    <t>Bolivar</t>
  </si>
  <si>
    <t>Desiderio</t>
  </si>
  <si>
    <t xml:space="preserve">Argentina | Capital Federal | Agronomia </t>
  </si>
  <si>
    <t xml:space="preserve">Argentina | Capital Federal | Paternal </t>
  </si>
  <si>
    <t>Destino</t>
  </si>
  <si>
    <t>VAP4787641</t>
  </si>
  <si>
    <t>VENTA DEPTO 4 AMB., CABALLITO, LUMINOSO y COCHERA. FULL AMENITIES</t>
  </si>
  <si>
    <t>Acoyte al 500</t>
  </si>
  <si>
    <t xml:space="preserve">Argentina | Capital Federal | Caballito </t>
  </si>
  <si>
    <t>Space BA</t>
  </si>
  <si>
    <t>UY MercadoLibre</t>
  </si>
  <si>
    <t>CFA7620297</t>
  </si>
  <si>
    <t>Finca de 10 ha Colonia Elena</t>
  </si>
  <si>
    <t>Finca 10 ha oportunidad en  Colonia Elena</t>
  </si>
  <si>
    <t>Argentina | Mendoza | San Rafael | Colonia Elena</t>
  </si>
  <si>
    <t>Granja</t>
  </si>
  <si>
    <t>Andes</t>
  </si>
  <si>
    <t>CAP4383483</t>
  </si>
  <si>
    <t>Departamento - Villa Crespo</t>
  </si>
  <si>
    <t>Vera al 100</t>
  </si>
  <si>
    <t xml:space="preserve">Argentina | Capital Federal | Villa Crespo </t>
  </si>
  <si>
    <t>CAP7658550</t>
  </si>
  <si>
    <t xml:space="preserve">VENTA 3 AMB - VISTA ABIERTA - </t>
  </si>
  <si>
    <t>Presidente Peron  al 1600</t>
  </si>
  <si>
    <t xml:space="preserve">Argentina | Capital Federal | San Nicolás </t>
  </si>
  <si>
    <t>Argentina | G.B.A. Zona Norte | Tigre | Rincon de Milberg</t>
  </si>
  <si>
    <t>Titanio</t>
  </si>
  <si>
    <t>VENTA DPTO. 2 AMBIENTES</t>
  </si>
  <si>
    <t>VENEZUELA 4369</t>
  </si>
  <si>
    <t xml:space="preserve">Argentina | Capital Federal | Almagro </t>
  </si>
  <si>
    <t>Audacity</t>
  </si>
  <si>
    <t>Alberdi 1125</t>
  </si>
  <si>
    <t>Argentina | G.B.A. Zona Oeste | Moron | Villa Sarmiento</t>
  </si>
  <si>
    <t>CGA7476226</t>
  </si>
  <si>
    <t>Venta Cochera Av. Cabildo 100 Palermo Caba</t>
  </si>
  <si>
    <t>Av. Cabildo  al 100 Palermo Caba</t>
  </si>
  <si>
    <t>Argentina | Mendoza | Lujan De Cuyo | Carrodilla La Puntilla</t>
  </si>
  <si>
    <t>CAP7240025</t>
  </si>
  <si>
    <t>Departamento 3 ambientes sobre Libertador</t>
  </si>
  <si>
    <t>Av Libertador  al 1800</t>
  </si>
  <si>
    <t>Argentina | G.B.A. Zona Norte | Vicente López | Olivos</t>
  </si>
  <si>
    <t>N/C - HONDURAS 3835</t>
  </si>
  <si>
    <t>VENTA DPTO 3 AMBIENTES</t>
  </si>
  <si>
    <t>HONDURAS 3835</t>
  </si>
  <si>
    <t>CHO7235774</t>
  </si>
  <si>
    <t>Casa en venta ubicada en calle Zuviria 1409</t>
  </si>
  <si>
    <t>Facebook</t>
  </si>
  <si>
    <t>Zuviria 1409</t>
  </si>
  <si>
    <t>Argentina | Salta | Capital | Salta | Zona Centro</t>
  </si>
  <si>
    <t>Realty Group</t>
  </si>
  <si>
    <t>Argentina | Salta | Capital | Salta | Bo.Tres Cerritos</t>
  </si>
  <si>
    <t>CPH6928655</t>
  </si>
  <si>
    <t>PH 5 amb.  sin expensas en venta con Garage para 2 autos en Haedo.</t>
  </si>
  <si>
    <t>Manuel Lainez al 1800</t>
  </si>
  <si>
    <t>Argentina | G.B.A. Zona Oeste | Moron | Haedo | Haedo Norte</t>
  </si>
  <si>
    <t>Ser</t>
  </si>
  <si>
    <t>Depto Referido Rosario</t>
  </si>
  <si>
    <t>Referido Rosario Remax</t>
  </si>
  <si>
    <t xml:space="preserve">Argentina | Santa Fe | Rosario </t>
  </si>
  <si>
    <t>Profesional Referenciador (30%)</t>
  </si>
  <si>
    <t>Argentina | G.B.A. Zona Norte | Tigre | Countries/B.Cerrado (Tigre) | Nordelta | Los Castaños</t>
  </si>
  <si>
    <t>Argentina | G.B.A. Zona Norte | Pilar | Countries/B.Cerrado (Pilar) | San Sebastian</t>
  </si>
  <si>
    <t>Argentina | Neuquen | Villa La Angostura | Epulaufquen</t>
  </si>
  <si>
    <t>Argentina | Neuquen | Villa La Angostura | Barrio Norte</t>
  </si>
  <si>
    <t>Wings</t>
  </si>
  <si>
    <t>Propiedad Isabel Palma</t>
  </si>
  <si>
    <t>VENTA CASA 4 AMBIENTES LUMINOSA COCHERA PATIO EN CAMPANA</t>
  </si>
  <si>
    <t>Moreno 471</t>
  </si>
  <si>
    <t>Argentina | G.B.A. Zona Norte | Campana | Campana</t>
  </si>
  <si>
    <t>CAP7447812</t>
  </si>
  <si>
    <t>Venta Departamento 3 ambientes con dependencia en Recoleta</t>
  </si>
  <si>
    <t>Juan Maria Gutierrez al 2600</t>
  </si>
  <si>
    <t>op 275</t>
  </si>
  <si>
    <t>Liniers 1599 302 Prana San Isidro</t>
  </si>
  <si>
    <t xml:space="preserve">Argentina | G.B.A. Zona Norte | San Isidro </t>
  </si>
  <si>
    <t>CHO5816235</t>
  </si>
  <si>
    <t>Venta Casa en El Principado</t>
  </si>
  <si>
    <t>El Deslinde  al 1300</t>
  </si>
  <si>
    <t>Argentina | G.B.A. Zona Sur | San Vicente | Countries/B.Cerrado (San Vicente) | El Principado</t>
  </si>
  <si>
    <t>Compartida Fuera de la Red Captación Propia</t>
  </si>
  <si>
    <t xml:space="preserve">Argentina | Capital Federal | Belgrano </t>
  </si>
  <si>
    <t>Departamento en Puerto Madero</t>
  </si>
  <si>
    <t>CAP7442189</t>
  </si>
  <si>
    <t>Dúplex Tipo Casa de 6 Amb. con Dependencia y Balcones – Súper Luminoso – Núñez</t>
  </si>
  <si>
    <t>Arribeños  al 3600</t>
  </si>
  <si>
    <t xml:space="preserve">Argentina | Capital Federal | Nuñez </t>
  </si>
  <si>
    <t>CAP7399254</t>
  </si>
  <si>
    <t xml:space="preserve">Departamento en Venta en B° Sur </t>
  </si>
  <si>
    <t>Departamento de dos dormitorios en barrio Sur</t>
  </si>
  <si>
    <t>Argentina | Santa Fe | La Capital | Santa Fe | Sur</t>
  </si>
  <si>
    <t>Argentina | Jujuy | Dr Manuel Belgrano | San Salvador De Jujuy | San Pedrito</t>
  </si>
  <si>
    <t>CGL7666047</t>
  </si>
  <si>
    <t>Galpón en  Sarandi</t>
  </si>
  <si>
    <t>Helguera al 2500</t>
  </si>
  <si>
    <t>Argentina | G.B.A. Zona Sur | Avellaneda | Sarandi</t>
  </si>
  <si>
    <t>CBU60233 AP6592841</t>
  </si>
  <si>
    <t>VENTA Depto Monoambiente KM2</t>
  </si>
  <si>
    <t>Avenida Pioneros  al 2000</t>
  </si>
  <si>
    <t>CAP7622861</t>
  </si>
  <si>
    <t>VENTA MONO  RECICLADO PLAZA SERRANO</t>
  </si>
  <si>
    <t>Jorge luis Borges  al 1600</t>
  </si>
  <si>
    <t>Argentina | Capital Federal | Palermo | Palermo Soho</t>
  </si>
  <si>
    <t>Argentina | Capital Federal | Centro (Capital Federal) | Microcentro</t>
  </si>
  <si>
    <t>Local Comercial</t>
  </si>
  <si>
    <t>CAP7320997</t>
  </si>
  <si>
    <t>VENTA DEPARTAMENTO 2 AMBIENTES CON BALCÓN</t>
  </si>
  <si>
    <t>Tucuman  al 2200</t>
  </si>
  <si>
    <t>CPH6294679</t>
  </si>
  <si>
    <t>VENTA PH  2 amb en Villa Verde UF 5B Bariloche</t>
  </si>
  <si>
    <t>Villa Verde, San Carlos de Bariloche</t>
  </si>
  <si>
    <t>Argentina | Rio Negro | Bariloche | San Carlos De Bariloche | Villa Verde</t>
  </si>
  <si>
    <t xml:space="preserve">Argentina | G.B.A. Zona Sur | La Plata </t>
  </si>
  <si>
    <t>Casa Fin de Semana</t>
  </si>
  <si>
    <t>CHO7194408</t>
  </si>
  <si>
    <t>Zona Privilegiada Plaza Francia</t>
  </si>
  <si>
    <t>Plaza Francia</t>
  </si>
  <si>
    <t>Argentina | Mendoza | San Rafael | San Rafael</t>
  </si>
  <si>
    <t>Paraguay 2943 piso 10 Dto A</t>
  </si>
  <si>
    <t>CAP7286357</t>
  </si>
  <si>
    <t>Departamento de  tres amb</t>
  </si>
  <si>
    <t>Colodrero al 2300</t>
  </si>
  <si>
    <t xml:space="preserve">Argentina | Capital Federal | Villa Urquiza </t>
  </si>
  <si>
    <t>DEPTO 6 E 65 Y 66 1D 48M2</t>
  </si>
  <si>
    <t>CHO5814858</t>
  </si>
  <si>
    <t>VENTA Casa a Estrenar 3 ambientes 106m2 UF 2, Lote 258m Norte, Villa La Angostura</t>
  </si>
  <si>
    <t>Confluencia 750, Villa la Angostura</t>
  </si>
  <si>
    <t>CAP5040747</t>
  </si>
  <si>
    <t>VENTA Departamento 3 amb, 100 m2, Villa Correntoso, Villa la Angostura, Vista al lago Correntoso</t>
  </si>
  <si>
    <t>Las Gallaretas al 100, Villa la Angostura</t>
  </si>
  <si>
    <t>Argentina | Neuquen | Villa La Angostura | Villa Correntoso</t>
  </si>
  <si>
    <t>CPH7682995</t>
  </si>
  <si>
    <t>VENTA PH 4 AMBIENTES RECICLADO C/ TERRAZA Y PARRILLA. SAAVEDRA. NO APTO CREDITO.</t>
  </si>
  <si>
    <t>Jaramillo  al 2900</t>
  </si>
  <si>
    <t xml:space="preserve">Argentina | Capital Federal | Saavedra </t>
  </si>
  <si>
    <t>AAP7418327</t>
  </si>
  <si>
    <t>Departamento en Palermo</t>
  </si>
  <si>
    <t>Araoz al 2800</t>
  </si>
  <si>
    <t>112Eric</t>
  </si>
  <si>
    <t>Casa en Arroyo leyes</t>
  </si>
  <si>
    <t>Arroyo Leyes KM 13</t>
  </si>
  <si>
    <t>Argentina | Santa Fe | La Capital | Arroyo Leyes</t>
  </si>
  <si>
    <t>JAP7634263</t>
  </si>
  <si>
    <t>venta Depto 3 ambientes a estrenar</t>
  </si>
  <si>
    <t>Pueyrredon al 2900</t>
  </si>
  <si>
    <t xml:space="preserve">Argentina | G.B.A. Zona Norte | General San Martin </t>
  </si>
  <si>
    <t>JAP7512061</t>
  </si>
  <si>
    <t>Venta Departamento en Nuñez con balcon</t>
  </si>
  <si>
    <t>Quesada 2637</t>
  </si>
  <si>
    <t>CAP7238328</t>
  </si>
  <si>
    <t>MONOAMBIENTE FUNCIONAL CON COCHERA - EXCELENTE UBICACION</t>
  </si>
  <si>
    <t>Austria al 2400</t>
  </si>
  <si>
    <t>CAP2456597</t>
  </si>
  <si>
    <t>Oportunidad!!! Venta 3 ambientes c/ dependencia APTO CREDITO - Caballito - Rivadavia 6200</t>
  </si>
  <si>
    <t xml:space="preserve"> Caballito </t>
  </si>
  <si>
    <t>CLA7666000</t>
  </si>
  <si>
    <t xml:space="preserve">Terreno en Venta en Las Chuñas, San Lorenzo Chico, Salta </t>
  </si>
  <si>
    <t>Las Chuñas, San Lorenzo Chico, Salta</t>
  </si>
  <si>
    <t>Argentina | Salta | Capital | San Lorenzo Chico</t>
  </si>
  <si>
    <t xml:space="preserve">Argentina | Mendoza | Guaymallen </t>
  </si>
  <si>
    <t>EL CANO 56</t>
  </si>
  <si>
    <t>LOTE EN VENTA BARRIO EL CANO N 56</t>
  </si>
  <si>
    <t>Argentina | G.B.A. Zona Sur | Berazategui | Guillermo E Hudson</t>
  </si>
  <si>
    <t>Livello</t>
  </si>
  <si>
    <t>VAP7779926</t>
  </si>
  <si>
    <t>Departamento en venta de 3 ambientes con terraza propia en Villa Devoto</t>
  </si>
  <si>
    <t>Simbron  al 4300</t>
  </si>
  <si>
    <t>Búsqueda Zohay</t>
  </si>
  <si>
    <t>Departamento en Flores</t>
  </si>
  <si>
    <t xml:space="preserve">Dr. Juan Felipe Aranguren 2893 </t>
  </si>
  <si>
    <t>Argentina | Neuquen | Lacar | San Martin De Los Andes | Centro</t>
  </si>
  <si>
    <t>Patagonia Lakes SMA</t>
  </si>
  <si>
    <t>CAP7649955</t>
  </si>
  <si>
    <t>VENTA DEPARTAMENTO 2 AMBIENTES RECICLADO APTO CREDITO BARRIO NORTE</t>
  </si>
  <si>
    <t>Billingursth al 1400</t>
  </si>
  <si>
    <t>CAP7226159</t>
  </si>
  <si>
    <t>Venta departamento 4 ambientes balcón terraza Caballito</t>
  </si>
  <si>
    <t>García Lorca 87</t>
  </si>
  <si>
    <t xml:space="preserve">COCHERA EL FARO </t>
  </si>
  <si>
    <t xml:space="preserve">COCHERA EN VENTA EN EL EDIFICIO EL FARO </t>
  </si>
  <si>
    <t>Argentina | G.B.A. Zona Norte | Tigre | Countries/B.Cerrado (Tigre) | Nordelta | Portezuelo | El Faro</t>
  </si>
  <si>
    <t>DAP2784906</t>
  </si>
  <si>
    <t>Departamento - Petrel</t>
  </si>
  <si>
    <t>Petrel, Portezuelo</t>
  </si>
  <si>
    <t>Argentina | G.B.A. Zona Norte | Tigre | Countries/B.Cerrado (Tigre) | Nordelta | Portezuelo | Marinas del Portezuelo | Petrel</t>
  </si>
  <si>
    <t>CHO7870467</t>
  </si>
  <si>
    <t>Casa en Esc.-Centro</t>
  </si>
  <si>
    <t>Belen de Escobar - Centro</t>
  </si>
  <si>
    <t>Argentina | G.B.A. Zona Norte | Escobar | Belen De Escobar | Esc.-Centro</t>
  </si>
  <si>
    <t>CAP7395620</t>
  </si>
  <si>
    <t>Departamento en Infinity Residences</t>
  </si>
  <si>
    <t>Venta - depto 3 amb con amenities a la laguna en Nordelta</t>
  </si>
  <si>
    <t>Argentina | G.B.A. Zona Norte | Tigre | Countries/B.Cerrado (Tigre) | Nordelta | El Palmar | Infinity Residences</t>
  </si>
  <si>
    <t>Quality</t>
  </si>
  <si>
    <t>CHO7519960</t>
  </si>
  <si>
    <t>Venta Casa 5 Ambientes Oportunidad Ubicación y gran Jardín en Victoria San Fernando</t>
  </si>
  <si>
    <t>Ricardo Rojas al 700</t>
  </si>
  <si>
    <t>Argentina | G.B.A. Zona Norte | San Fernando | Victoria</t>
  </si>
  <si>
    <t>Argentina | G.B.A. Zona Sur | Lanús | Lanús | Lanús Este</t>
  </si>
  <si>
    <t>CHO7387067</t>
  </si>
  <si>
    <t>CASA A LA VENTA EN VICENTE LOPEZ</t>
  </si>
  <si>
    <t>Tupac Amaru al 1300</t>
  </si>
  <si>
    <t>Argentina | G.B.A. Zona Norte | Vicente López | Florida</t>
  </si>
  <si>
    <t>CLA6794094</t>
  </si>
  <si>
    <t>Terreno en  Hacienda las nubes</t>
  </si>
  <si>
    <t>ruta provincial 24</t>
  </si>
  <si>
    <t>Argentina | Salta | Rosario De Lerma | El Mollar</t>
  </si>
  <si>
    <t>CLA4602968</t>
  </si>
  <si>
    <t>Terreno - General Pueyrredon</t>
  </si>
  <si>
    <t>Felix U.  Camet</t>
  </si>
  <si>
    <t>Argentina | Costa Atlantica | Mar Del Plata | Camet</t>
  </si>
  <si>
    <t>JAP7640940</t>
  </si>
  <si>
    <t>Departamento en venta 3 ambientes c/ DEPENDENCIA y BALCÓN!</t>
  </si>
  <si>
    <t>Paraguay  al 2900</t>
  </si>
  <si>
    <t>JAP7527379</t>
  </si>
  <si>
    <t>Departamento en Vicente López</t>
  </si>
  <si>
    <t>VERNET al 500</t>
  </si>
  <si>
    <t xml:space="preserve">Argentina | G.B.A. Zona Norte | Vicente López </t>
  </si>
  <si>
    <t>CAP7235748</t>
  </si>
  <si>
    <t>Venta departamento dos ambientes en Caballito planta baja y patio</t>
  </si>
  <si>
    <t>Av Angel Gallardo al 800</t>
  </si>
  <si>
    <t>Torres del Marques</t>
  </si>
  <si>
    <t>Depto en torres del marques</t>
  </si>
  <si>
    <t xml:space="preserve">Argentina | Mendoza | Godoy Cruz </t>
  </si>
  <si>
    <t>Búsqueda</t>
  </si>
  <si>
    <t>Depto 2 ambientes en Venta en Palermo</t>
  </si>
  <si>
    <t>Gurruchaga 1974 1° "8" CABA</t>
  </si>
  <si>
    <t>CHO7605356</t>
  </si>
  <si>
    <t>Casa en venta ubicada en Barrio Mirasoles - Zona Norte - Salta</t>
  </si>
  <si>
    <t xml:space="preserve">Barrio Mirasoles </t>
  </si>
  <si>
    <t>Argentina | Salta | Capital | Salta | Zona Norte</t>
  </si>
  <si>
    <t>Casa en venta Lagoon Pilar</t>
  </si>
  <si>
    <t>Caamaño 1106 Pilar</t>
  </si>
  <si>
    <t xml:space="preserve">Argentina | Capital Federal | Congreso </t>
  </si>
  <si>
    <t>CCO55414 AP7005691</t>
  </si>
  <si>
    <t>Venta de departamento en Ayres loft en PB a la pileta</t>
  </si>
  <si>
    <t>Venta de departamento en Ayres loft con vista a la pileta</t>
  </si>
  <si>
    <t>Argentina | G.B.A. Zona Norte | Pilar | Manuel Alberti | Loft en Ayres Vila</t>
  </si>
  <si>
    <t>Grupo Elite II</t>
  </si>
  <si>
    <t>CBU65913 AP7520495</t>
  </si>
  <si>
    <t>Venta de Departamento monoambiente con balcón en Agronomía</t>
  </si>
  <si>
    <t>Av. Chorroarin  al 500</t>
  </si>
  <si>
    <t xml:space="preserve">Argentina | Capital Federal | Parque Chas </t>
  </si>
  <si>
    <t>Santa Elisa Pilar del Este</t>
  </si>
  <si>
    <t>Lote en Santa Elisa</t>
  </si>
  <si>
    <t>Argentina | G.B.A. Zona Norte | Pilar | Countries/B.Cerrado (Pilar) | Pilar Del Este | Santa Elisa</t>
  </si>
  <si>
    <t>Argentina | Neuquen | Villa La Angostura | Centro</t>
  </si>
  <si>
    <t>CLA7449250</t>
  </si>
  <si>
    <t>Venta Terreno en Villa Devoto</t>
  </si>
  <si>
    <t>Carlos Antonio Lopez al 4100</t>
  </si>
  <si>
    <t>CHO7755959</t>
  </si>
  <si>
    <t>VENTA - Casa 3 ambientes - Apta Crédito Hipotecaria - Barrio Las Nalcas - S. M. de los Andes</t>
  </si>
  <si>
    <t>Huemul las Nalcas</t>
  </si>
  <si>
    <t>Argentina | Neuquen | Lacar | San Martin De Los Andes</t>
  </si>
  <si>
    <t>CLA7261069</t>
  </si>
  <si>
    <t>VENTA Lote/Terreno 800m² Kaleuche Alto San Martín de los Andes</t>
  </si>
  <si>
    <t>B° Kaleuche Alto</t>
  </si>
  <si>
    <t>CAP7560010</t>
  </si>
  <si>
    <t>Departamento Venta en Villa Urquiza</t>
  </si>
  <si>
    <t>Gamarra  al 1800</t>
  </si>
  <si>
    <t>CAP7688231</t>
  </si>
  <si>
    <t>Departamento en VENTA C/TERRAZA   COCHERA   PARRILLA</t>
  </si>
  <si>
    <t>Aguilar  al 2500</t>
  </si>
  <si>
    <t>CHL0001</t>
  </si>
  <si>
    <t>Venta Depto Nordelta, 120 m2, vista abierta, cochera</t>
  </si>
  <si>
    <t>Avenida del Puerto al 300</t>
  </si>
  <si>
    <t>Argentina | G.B.A. Zona Norte | Tigre | Countries/B.Cerrado (Tigre) | Nordelta | Bahia Grande | Miradores de la Bahia</t>
  </si>
  <si>
    <t>JAP7588496</t>
  </si>
  <si>
    <t>VENTA DEPARTAMENTO 3 Ambientes en lo mejor de OLIVOS</t>
  </si>
  <si>
    <t>Rawson al 2400</t>
  </si>
  <si>
    <t>Argentina | G.B.A. Zona Norte | Vicente López | Olivos | Olivos-Vias/Maipu</t>
  </si>
  <si>
    <t>CAP6791347</t>
  </si>
  <si>
    <t>VENTA Departamento Monoambiente en Aguila Mora Bariloche</t>
  </si>
  <si>
    <t>Melipal, San Carlos De Bariloche</t>
  </si>
  <si>
    <t xml:space="preserve">Argentina | Capital Federal | Villa Ortuzar </t>
  </si>
  <si>
    <t>CAP7371296</t>
  </si>
  <si>
    <t>VENTA 4 AMB - VISTA ABIERTA - CONSTITUCIÓN</t>
  </si>
  <si>
    <t>Bernardo de Irigoyen al 1300</t>
  </si>
  <si>
    <t xml:space="preserve">Argentina | Capital Federal | Constitución </t>
  </si>
  <si>
    <t>CHO7831090</t>
  </si>
  <si>
    <t>VENTA - Casa en San Matias Area 3</t>
  </si>
  <si>
    <t>Los Arenales al 1100</t>
  </si>
  <si>
    <t>Argentina | G.B.A. Zona Norte | Escobar | Countries/B.Cerrado (Escobar) | San Matias</t>
  </si>
  <si>
    <t>CAP6224048</t>
  </si>
  <si>
    <t>Departamento, venta, caballito, balcon, 3 ambientes,  luminoso, almagro, flores</t>
  </si>
  <si>
    <t>Calasanz  al 100</t>
  </si>
  <si>
    <t>Argentina | Capital Federal | Caballito | Caballito Sur</t>
  </si>
  <si>
    <t>CHO7202873</t>
  </si>
  <si>
    <t xml:space="preserve">VENTA CASA EN MORON CON JARDIN </t>
  </si>
  <si>
    <t>Los Olivos al 1200</t>
  </si>
  <si>
    <t>Argentina | G.B.A. Zona Oeste | Moron | Moron</t>
  </si>
  <si>
    <t xml:space="preserve">Reserva Venta Lucho 2 Dptos mitre </t>
  </si>
  <si>
    <t>Mitre 831</t>
  </si>
  <si>
    <t>CPH7641421</t>
  </si>
  <si>
    <t>PH en Venta</t>
  </si>
  <si>
    <t>Los Griegos al 1800</t>
  </si>
  <si>
    <t>CHO7142787</t>
  </si>
  <si>
    <t>Casa en Venta 3 dormitorios + Escritorio Santa Elena Pilar dle Este</t>
  </si>
  <si>
    <t>Barrio Santa Elena Pilar del Este</t>
  </si>
  <si>
    <t xml:space="preserve">Argentina | G.B.A. Zona Norte | Pilar | Countries/B.Cerrado (Pilar) | Pilar Del Este | Santa Elena </t>
  </si>
  <si>
    <t>Lote, con superficie aproximada de 860 m2, ubicado en el Barrio El Remanso, de la ciudad de San Martin de Los andes Pcia. De Neuquén, nomenclaturas catastrales (lotes madres): 15 RR 023 5026 / 5028, identificado internamente como LOTE RE12</t>
  </si>
  <si>
    <t>CAP7381931</t>
  </si>
  <si>
    <t>Venta Departamento 2 Ambientes tipo loft en Vicente López</t>
  </si>
  <si>
    <t>Uspallata al 700</t>
  </si>
  <si>
    <t>CAP7479982</t>
  </si>
  <si>
    <t>Venta Monoambiente amoblado IDEAL AIRBNB</t>
  </si>
  <si>
    <t>Soler 5800</t>
  </si>
  <si>
    <t>Argentina | Capital Federal | Palermo | Palermo Hollywood</t>
  </si>
  <si>
    <t>CAP7580690</t>
  </si>
  <si>
    <t>Departamento en Villa Crespo en venta</t>
  </si>
  <si>
    <t>Gurruchaga al 400</t>
  </si>
  <si>
    <t>Araoz</t>
  </si>
  <si>
    <t>Monroe 4785</t>
  </si>
  <si>
    <t>CAP6944630</t>
  </si>
  <si>
    <t>Hermoso Departamento en Coghlan</t>
  </si>
  <si>
    <t>Av. Congreso al 3200</t>
  </si>
  <si>
    <t xml:space="preserve">Argentina | Capital Federal | Coghlan </t>
  </si>
  <si>
    <t>CLA7007520</t>
  </si>
  <si>
    <t>Venta de lotes con planos aprobados y financiación - Bariloche</t>
  </si>
  <si>
    <t>Barrio Las Chacras</t>
  </si>
  <si>
    <t>Argentina | Rio Negro | Bariloche | San Carlos De Bariloche | Las Chacras</t>
  </si>
  <si>
    <t>CAP7534861</t>
  </si>
  <si>
    <t>Venta departamentos 3 ambientes dependencia balcón patio Balvanera</t>
  </si>
  <si>
    <t>Uriburu 23</t>
  </si>
  <si>
    <t>Av. Cordoba 1554</t>
  </si>
  <si>
    <t>Argentina | G.B.A. Zona Norte | Tigre | Countries/B.Cerrado (Tigre) | Villanueva | Santa Clara</t>
  </si>
  <si>
    <t>El Maestro 152</t>
  </si>
  <si>
    <t xml:space="preserve">Argentina | Capital Federal | Capital Federal </t>
  </si>
  <si>
    <t>CLA7090378</t>
  </si>
  <si>
    <t>Terreno en  Los Canales de Plottier Patagonia Golf &amp; Resort.</t>
  </si>
  <si>
    <t>Avenida Plottier al 1000</t>
  </si>
  <si>
    <t>Argentina | Neuquen | Confluencia | Plottier | Los Canales</t>
  </si>
  <si>
    <t>CULLEN 4825</t>
  </si>
  <si>
    <t>CASA EN VENTA SANTA INES 317</t>
  </si>
  <si>
    <t>Argentina | G.B.A. Zona Sur | Ezeiza | Canning (Ezeiza)</t>
  </si>
  <si>
    <t>JAP6896433</t>
  </si>
  <si>
    <t>VENTA DEPTO 3 AMBIENTES APTO CREDITO PATIO PROPIO - PARRILLA V. URQUIZA</t>
  </si>
  <si>
    <t>Diaz Colodrero  al 3500</t>
  </si>
  <si>
    <t>El Aljibe</t>
  </si>
  <si>
    <t xml:space="preserve">Casa en venta en Barrio El Aljibe 4 ambientes </t>
  </si>
  <si>
    <t>Argentina | G.B.A. Zona Norte | Pilar | Manzanares | Countries/B.Cerrado (Manzanares) | Barrio El Aljibe</t>
  </si>
  <si>
    <t>Op. con Norambuena Barrio Kaleuche  Alto, San Martin de los Andes, LOTE 21 de la manzana 112, departamento Los Lagos, Provincia de Neuquén, nomenclatura nro 152108212540000, con superficie aproximada de 700 m2 y las medidas, linderos y demás circunstancia</t>
  </si>
  <si>
    <t>Argentina | Neuquen | Lacar | San Martin De Los Andes | Kaleuche</t>
  </si>
  <si>
    <t>CAP7641084</t>
  </si>
  <si>
    <t>VENTA DEPARTAMENTO 3 AMBIENTES AMENITIES APTO CREDITO VILLA CRESPO</t>
  </si>
  <si>
    <t>Gurruchaga al 1100</t>
  </si>
  <si>
    <t>CAP7108668</t>
  </si>
  <si>
    <t>Venta departamento 3 Amb a estrenar Piso 3</t>
  </si>
  <si>
    <t>Asamblea al 1600</t>
  </si>
  <si>
    <t xml:space="preserve">Argentina | Capital Federal | Parque Chacabuco </t>
  </si>
  <si>
    <t>Departamento - Recoleta</t>
  </si>
  <si>
    <t>Horizon Group</t>
  </si>
  <si>
    <t>CGA7771978</t>
  </si>
  <si>
    <t>Cochera en Caballito Norte</t>
  </si>
  <si>
    <t>Acoyte  al 100</t>
  </si>
  <si>
    <t>Argentina | Capital Federal | Caballito | Caballito Norte</t>
  </si>
  <si>
    <t>Argentina | G.B.A. Zona Norte | Tigre | Countries/B.Cerrado (Tigre) | Nordelta | El Palmar | Zerena</t>
  </si>
  <si>
    <t>CHO7302242</t>
  </si>
  <si>
    <t>Casa en VENTA CON RENTA - Barrio San Francisco - Villanueva</t>
  </si>
  <si>
    <t>APTA CREDITO - Casa en VENTA  Barrio San Francisco - Villanueva</t>
  </si>
  <si>
    <t>Argentina | G.B.A. Zona Norte | Tigre | Countries/B.Cerrado (Tigre) | Villanueva | San Francisco</t>
  </si>
  <si>
    <t>CAP3510535</t>
  </si>
  <si>
    <t>Departamento - Caseros</t>
  </si>
  <si>
    <t>Wenceslao de Tata  al 4900</t>
  </si>
  <si>
    <t>Argentina | G.B.A. Zona Oeste | Tres De Febrero | Caseros</t>
  </si>
  <si>
    <t xml:space="preserve">FLOREAN PAMPA </t>
  </si>
  <si>
    <t>DEPARTAMENTO FLOREAN PAMPA</t>
  </si>
  <si>
    <t>FLOREAN PAMPA - LA PAMPA 2975</t>
  </si>
  <si>
    <t>Argentina | Capital Federal | Belgrano | Belgrano R</t>
  </si>
  <si>
    <t>CHO7793190</t>
  </si>
  <si>
    <t xml:space="preserve">Casa 4 amb en VENTA APTO CREDITO, Pilar </t>
  </si>
  <si>
    <t>Champagnat al 1000</t>
  </si>
  <si>
    <t>Argentina | G.B.A. Zona Norte | Pilar | Countries/B.Cerrado (Pilar) | Pilar House</t>
  </si>
  <si>
    <t xml:space="preserve">Argentina | Capital Federal | Villa Pueyrredon </t>
  </si>
  <si>
    <t>CPH6800717</t>
  </si>
  <si>
    <t>Hermoso PH 2 ambientes con terraza propia - Apto Crédito</t>
  </si>
  <si>
    <t>Zelarrayan  al 700</t>
  </si>
  <si>
    <t>CAP7007820</t>
  </si>
  <si>
    <t>Venta departamento 3 ambientes c/ balcón y cochera - La Bota 400- Benavidez</t>
  </si>
  <si>
    <t>La Bota al 400</t>
  </si>
  <si>
    <t>Argentina | G.B.A. Zona Norte | Tigre | Benavidez</t>
  </si>
  <si>
    <t>CLA7627469</t>
  </si>
  <si>
    <t>VENTA, TERRENO, MERCEDES, 1 HECTAREA, RUTA5 KM 108</t>
  </si>
  <si>
    <t>Ruta 5 km 108</t>
  </si>
  <si>
    <t>Argentina | Interior Buenos Aires | Mercedes | Manuel Jose Garcia</t>
  </si>
  <si>
    <t>CHO7728122</t>
  </si>
  <si>
    <t xml:space="preserve">Casa en venta en Barrio Santa Barbara </t>
  </si>
  <si>
    <t>Barrio Santa Barbara</t>
  </si>
  <si>
    <t>Argentina | G.B.A. Zona Norte | Tigre | Countries/B.Cerrado (Tigre) | Santa Barbara</t>
  </si>
  <si>
    <t xml:space="preserve">VENEZUELA 55 - Natalia Lemes </t>
  </si>
  <si>
    <t>VENEZUELA 55</t>
  </si>
  <si>
    <t>CAP7442047</t>
  </si>
  <si>
    <t>Departamento en Belgrano R</t>
  </si>
  <si>
    <t>Freire 1800</t>
  </si>
  <si>
    <t>CHO7819795</t>
  </si>
  <si>
    <t>Casa en Venta 4 Ambientes en San Sebastian - Área 12</t>
  </si>
  <si>
    <t>José Hernández al 6400</t>
  </si>
  <si>
    <t>Argentina | Mendoza | Capital | Mendoza</t>
  </si>
  <si>
    <t>Centro, San Carlos de Bariloche</t>
  </si>
  <si>
    <t xml:space="preserve">Argentina | Rio Negro | Bariloche </t>
  </si>
  <si>
    <t>Terreno LucianoLargo</t>
  </si>
  <si>
    <t>CAP7043582</t>
  </si>
  <si>
    <t>VENTA MONOAMBIENTE - TILCARA</t>
  </si>
  <si>
    <t>belgrano 46 Tilcara</t>
  </si>
  <si>
    <t>Argentina | Jujuy | Tilcara | Tilcara</t>
  </si>
  <si>
    <t>Oficina en venta edificio Agora</t>
  </si>
  <si>
    <t xml:space="preserve">Oficina monoambiente en venta en edificio Agora </t>
  </si>
  <si>
    <t>Caamaño 1090</t>
  </si>
  <si>
    <t xml:space="preserve">Argentina | G.B.A. Zona Norte | Pilar </t>
  </si>
  <si>
    <t>CBU55413 AP5986224</t>
  </si>
  <si>
    <t>Alquiler Depto/Oficina c/ cochera subterranea - STUDIOS Work / Live</t>
  </si>
  <si>
    <t>Argentina | G.B.A. Zona Norte | Pilar | Manuel Alberti | STUDIOS Work &amp; Live</t>
  </si>
  <si>
    <t>CHO7661306</t>
  </si>
  <si>
    <t xml:space="preserve">Casa de dos dormitorios, patio y terraza. </t>
  </si>
  <si>
    <t>Casa de dos dormitorios, patio y terraza</t>
  </si>
  <si>
    <t>CHO7648356</t>
  </si>
  <si>
    <t>VENTA CASA - ALTO GORRITI</t>
  </si>
  <si>
    <t>VENTA CASA GORRITI</t>
  </si>
  <si>
    <t>CAP7519723</t>
  </si>
  <si>
    <t>Departamento en Villa Lugano</t>
  </si>
  <si>
    <t>Barrio Gral Savio Torre 7</t>
  </si>
  <si>
    <t xml:space="preserve">Argentina | Capital Federal | Villa Lugano </t>
  </si>
  <si>
    <t>Goyena</t>
  </si>
  <si>
    <t>Dpto en venta Cabildo 4716</t>
  </si>
  <si>
    <t>Av. Cabildo 4716</t>
  </si>
  <si>
    <t>CAP7325823</t>
  </si>
  <si>
    <t>Venta Departamento en Almagro</t>
  </si>
  <si>
    <t>Guardia Vieja al 4000</t>
  </si>
  <si>
    <t>CAP7870535</t>
  </si>
  <si>
    <t>Arenales 2500  Recoleta - A estrenar IDEAL Inversor</t>
  </si>
  <si>
    <t>Arenales 2500  Recoleta - A estrenar - IDEAL Inversor</t>
  </si>
  <si>
    <t>CLA7689447</t>
  </si>
  <si>
    <t>Terreno en venta ubicado en el Mollar II - Cerrillos - Salta</t>
  </si>
  <si>
    <t>El Mollar II</t>
  </si>
  <si>
    <t>Argentina | Salta | Capital | Salta | Zona Sur</t>
  </si>
  <si>
    <t>VAP6842642</t>
  </si>
  <si>
    <t>Venta CON RENTA Depto Monoambiente c/balcon y cochera en Pilar (Renta Feb 27)</t>
  </si>
  <si>
    <t>Le Petit Champagnat Pilar. Calle La Perdiz al 100</t>
  </si>
  <si>
    <t>Juan B Justo 8112</t>
  </si>
  <si>
    <t>Argentina | Capital Federal | Palermo | Palermo Viejo</t>
  </si>
  <si>
    <t>CAP7759048</t>
  </si>
  <si>
    <t>VENTA DEPARTAMENTO DE 3 AMBIENTES EN RECOLETA</t>
  </si>
  <si>
    <t>Ecuador al 1400</t>
  </si>
  <si>
    <t>CLA6741555</t>
  </si>
  <si>
    <t>VENTA · Lote de 36 x 60 en Calle 34 e/ 144 y 145 - Ideal cancha de fútbol 5/padel</t>
  </si>
  <si>
    <t>Terreno en Calle 34 e/144 y 145</t>
  </si>
  <si>
    <t>CHO7774952</t>
  </si>
  <si>
    <t>Casa en San Rafael</t>
  </si>
  <si>
    <t>UY ZonaProp</t>
  </si>
  <si>
    <t>Av Cabildo y Agustin Alvarez</t>
  </si>
  <si>
    <t>CLA7459417</t>
  </si>
  <si>
    <t>VENTA Lote | Terreno 1250m2 a 100 metros de la playa Bahía Manzano Villa La Angostura</t>
  </si>
  <si>
    <t>Los Pinos</t>
  </si>
  <si>
    <t>Argentina | Neuquen | Villa La Angostura | Puerto Manzano</t>
  </si>
  <si>
    <t>CAP7605873</t>
  </si>
  <si>
    <t>Venta Departamento 2 ambientes Balcón Amoblado y Equipado Congreso</t>
  </si>
  <si>
    <t>Combate de los Pozos al 100</t>
  </si>
  <si>
    <t xml:space="preserve">Argentina | Capital Federal | Villa Luro </t>
  </si>
  <si>
    <t>CPH6960675</t>
  </si>
  <si>
    <t>PH, 3 ambientes, San Justo, Patio, APTO CREDITO</t>
  </si>
  <si>
    <t>Francisco Miranda  al 2500</t>
  </si>
  <si>
    <t>Argentina | G.B.A. Zona Oeste | La Matanza | San Justo</t>
  </si>
  <si>
    <t xml:space="preserve">Argentina | Salta | Capital </t>
  </si>
  <si>
    <t>CAP7043537</t>
  </si>
  <si>
    <t>VENTA DEPARTAMENTO - TILCARA</t>
  </si>
  <si>
    <t>CHO7043287</t>
  </si>
  <si>
    <t>VENTA CABAÑA - TILCARA</t>
  </si>
  <si>
    <t>Tilcara calle Belgrano</t>
  </si>
  <si>
    <t>CHO7866802</t>
  </si>
  <si>
    <t>Venta depto Andres Lamas</t>
  </si>
  <si>
    <t>Andres Lamas 2572</t>
  </si>
  <si>
    <t>116Stella</t>
  </si>
  <si>
    <t>Casa en Guadalupe Oeste</t>
  </si>
  <si>
    <t>Hernandarias 1700</t>
  </si>
  <si>
    <t>CHO7409633</t>
  </si>
  <si>
    <t>Casa - Villa Devoto</t>
  </si>
  <si>
    <t>bermudez al 2400</t>
  </si>
  <si>
    <t>VAP5921714</t>
  </si>
  <si>
    <t>Venta de pozo departamento 2 ambientes c/ terraza Financiado - Lagunita - Nordelta</t>
  </si>
  <si>
    <t>lagunita</t>
  </si>
  <si>
    <t>Argentina | G.B.A. Zona Norte | Tigre | Countries/B.Cerrado (Tigre) | Nordelta</t>
  </si>
  <si>
    <t>Casco Viejo Casa</t>
  </si>
  <si>
    <t>Casa en Casco Viejo Centenario</t>
  </si>
  <si>
    <t>Argentina | Neuquen | Confluencia | Centenario</t>
  </si>
  <si>
    <t>CHO7609478</t>
  </si>
  <si>
    <t>Casa con Galpón  en  Barrio Ciuadela</t>
  </si>
  <si>
    <t>Casa con galpòn en Barrio Ciudadela</t>
  </si>
  <si>
    <t>Argentina | Santa Fe | La Capital | Santa Fe | Ciudadela</t>
  </si>
  <si>
    <t>CASA 4 AMBIENTES FLORES</t>
  </si>
  <si>
    <t>Robertson 924</t>
  </si>
  <si>
    <t>Beyker</t>
  </si>
  <si>
    <t>Corralitos terreno</t>
  </si>
  <si>
    <t>Terreno en venta en corralitos</t>
  </si>
  <si>
    <t>Argentina | Mendoza | Guaymallen | Los Corralitos</t>
  </si>
  <si>
    <t>CHO7482492</t>
  </si>
  <si>
    <t>Casa moderna en venta en Santa Elena – Pilar del Este 3 dormitorios, pileta y galería</t>
  </si>
  <si>
    <t>Santa Elena - Pilar del Este</t>
  </si>
  <si>
    <t>CAP6630457</t>
  </si>
  <si>
    <t>Departamento en Venta Maipú</t>
  </si>
  <si>
    <t>Villavicencio y Laguna Horcones</t>
  </si>
  <si>
    <t>Argentina | Mendoza | Maipu | Luzuriaga</t>
  </si>
  <si>
    <t>JPH7113041</t>
  </si>
  <si>
    <t>PH - VENTA - BARRIO CERRADO - SAN ANDRES - 2 AMBIENTES</t>
  </si>
  <si>
    <t>ITALIA  al 300</t>
  </si>
  <si>
    <t>Argentina | Capital Federal | Palermo | Palermo Chico</t>
  </si>
  <si>
    <t>CAP7716553</t>
  </si>
  <si>
    <t>Venta, Departamento, 2 ambientes, Balcón, a refaccionar, flipping, Recoleta, Palermo</t>
  </si>
  <si>
    <t>Charcas al 3100</t>
  </si>
  <si>
    <t>CAP7592918</t>
  </si>
  <si>
    <t xml:space="preserve">Departamento en Balvanera - 3 AMBIENTES CON PILETA Y COCHERA - OPORTUNIDAD </t>
  </si>
  <si>
    <t>CATAMARCA al 100</t>
  </si>
  <si>
    <t>CAP6168566</t>
  </si>
  <si>
    <t>Venta departamento 3 ambientes con 2 patios planta baja en Villa Crespo</t>
  </si>
  <si>
    <t>Juan b justo  al 2700</t>
  </si>
  <si>
    <t>CLA7202915</t>
  </si>
  <si>
    <t>Terreno en barrio Los Notros, Calle 10 y Pudú Sur</t>
  </si>
  <si>
    <t>Covibar, San Carlos de Bariloche</t>
  </si>
  <si>
    <t>Argentina | Rio Negro | Bariloche | San Carlos De Bariloche | Covibar</t>
  </si>
  <si>
    <t>CAP7529544</t>
  </si>
  <si>
    <t>Departamento 2 ambientes en Venta en Almagro</t>
  </si>
  <si>
    <t>Quito al 4300</t>
  </si>
  <si>
    <t>Argentina | Capital Federal | Belgrano | Belgrano Barrancas</t>
  </si>
  <si>
    <t>CAP7669190</t>
  </si>
  <si>
    <t>Departamento en  Venta en Saavedra a  2 ambientes</t>
  </si>
  <si>
    <t>Manzanares al 3100</t>
  </si>
  <si>
    <t>Casa en venta en Santa Elena 4 ambientes</t>
  </si>
  <si>
    <t>Casa 4 ambientes en venta en Barrio Santa Elena</t>
  </si>
  <si>
    <t>Pilar del Este</t>
  </si>
  <si>
    <t>CAP7381775</t>
  </si>
  <si>
    <t>Venta Departamento 2 ambientes balcon terraza y cochera  en Villa Santa RitaV</t>
  </si>
  <si>
    <t>Belaustegui  al 3000</t>
  </si>
  <si>
    <t xml:space="preserve">Argentina | Capital Federal | Villa Santa Rita </t>
  </si>
  <si>
    <t>CAP7105934</t>
  </si>
  <si>
    <t>Departamento en  Quartier Nordelta</t>
  </si>
  <si>
    <t>Quartier Nordelta</t>
  </si>
  <si>
    <t>CLA7644749</t>
  </si>
  <si>
    <t>Terreno en esquina, Cinco Soles</t>
  </si>
  <si>
    <t>Venta lote 554 m2- Cinco Soles B° privado- Ruta 151, Cinco Saltos</t>
  </si>
  <si>
    <t>CPH7429543</t>
  </si>
  <si>
    <t>VENTA PH 3 AMB C/TERRAZA COLEGIALES</t>
  </si>
  <si>
    <t>Fraga  al 600</t>
  </si>
  <si>
    <t>CLA7376533</t>
  </si>
  <si>
    <t>VENDO LOTE EN CHAPADMALAL</t>
  </si>
  <si>
    <t>Chapadmalal al 60 general pueyrredon partido de la costa</t>
  </si>
  <si>
    <t xml:space="preserve">Argentina | Costa Atlantica | Barrio Chapadmalal </t>
  </si>
  <si>
    <t>CHO7592112</t>
  </si>
  <si>
    <t>Casa en San Martin De Los Andes</t>
  </si>
  <si>
    <t>VENTA DE CASA EN B° VEGA CHICA,  SAN MARTIN DE LOS ANDES</t>
  </si>
  <si>
    <t>CAP7638835</t>
  </si>
  <si>
    <t>Venta Departamento 2 ambientes con balcón y cocheras en Urquiza</t>
  </si>
  <si>
    <t>Mendoza al 5100</t>
  </si>
  <si>
    <t>ABU61347 AP6727256</t>
  </si>
  <si>
    <t>Departamento dos ambientes a estrenar en Nuñez</t>
  </si>
  <si>
    <t>Deheza 2300</t>
  </si>
  <si>
    <t>CAP7354812</t>
  </si>
  <si>
    <t>Venta Departamento 3 ambientes c/dependencias piso alto Recoleta - Apto crédito</t>
  </si>
  <si>
    <t>Av. Santa Fe al 2100</t>
  </si>
  <si>
    <t>CAP7249577</t>
  </si>
  <si>
    <t>Departamento en venta 3 ambientes estilo ph Balvanera - Once - vivienda - Apto comercial</t>
  </si>
  <si>
    <t>Pasteur al 200</t>
  </si>
  <si>
    <t>CLA7762823</t>
  </si>
  <si>
    <t xml:space="preserve">Excelente Terreno en Venta </t>
  </si>
  <si>
    <t>Terreno en Colastine Norte sobre calle Los Algarrobos</t>
  </si>
  <si>
    <t>Argentina | Santa Fe | La Capital | Santa Fe | Colastine Norte</t>
  </si>
  <si>
    <t>CAP7555504</t>
  </si>
  <si>
    <t>Monoambiente en Recoleta Vista abierta, muy luminoso</t>
  </si>
  <si>
    <t>Arenales  al 2000 Piso 7 Frente</t>
  </si>
  <si>
    <t>CAP7629432</t>
  </si>
  <si>
    <t>Venta Duplex en Belgrano para Remodelar. Vista Abierta!</t>
  </si>
  <si>
    <t>11 de septiembre al 900</t>
  </si>
  <si>
    <t>CAP7773208</t>
  </si>
  <si>
    <t xml:space="preserve">Espectacular 2 amb con balcon corrido LUMINOSO! </t>
  </si>
  <si>
    <t>Santos Dumont al 2300</t>
  </si>
  <si>
    <t>DLA2855339</t>
  </si>
  <si>
    <t>Terreno - El Canton</t>
  </si>
  <si>
    <t>el canton Islas</t>
  </si>
  <si>
    <t>Argentina | G.B.A. Zona Norte | Escobar | Countries/B.Cerrado (Escobar) | El Canton</t>
  </si>
  <si>
    <t>CAP7419789</t>
  </si>
  <si>
    <t>Bonpland al 1300</t>
  </si>
  <si>
    <t>CLA6938966</t>
  </si>
  <si>
    <t>Terreno en  Ruta 7</t>
  </si>
  <si>
    <t>Ruta 7 entre calles 9 y 10.</t>
  </si>
  <si>
    <t>ARAOZ 958</t>
  </si>
  <si>
    <t>CAP7586110</t>
  </si>
  <si>
    <t>Alicia Moreau de Justo  al 2000</t>
  </si>
  <si>
    <t>Notable</t>
  </si>
  <si>
    <t>CAP7409871</t>
  </si>
  <si>
    <t>Departamento en Venta 3 ambientes en San Telmo</t>
  </si>
  <si>
    <t>Peru al 1000</t>
  </si>
  <si>
    <t>CAP7044376</t>
  </si>
  <si>
    <t>Departamento de 1 dormitorio a media cuadra de Av. Freyre</t>
  </si>
  <si>
    <t>Departamento de un dormitorio a 50 m de Av Freyre</t>
  </si>
  <si>
    <t>Argentina | Santa Fe | La Capital | Santa Fe | Roma</t>
  </si>
  <si>
    <t>CHO7117206</t>
  </si>
  <si>
    <t>Venta Casa en  lote propio La Ferrere</t>
  </si>
  <si>
    <t>Chopin al 4700</t>
  </si>
  <si>
    <t>Argentina | G.B.A. Zona Oeste | La Matanza | Gregorio De Laferrere</t>
  </si>
  <si>
    <t>AAP7728547</t>
  </si>
  <si>
    <t>VENTA DEPARTAMENTO 2 AMBIENTES CON BALCON EN FLORES</t>
  </si>
  <si>
    <t>Av Rivadavia  al 7400</t>
  </si>
  <si>
    <t>VAP7262670</t>
  </si>
  <si>
    <t>Av Cordoba al 3500 - Piso Alto - Vista Abierta - Mono divisible 45m2</t>
  </si>
  <si>
    <t>Av Cordoba al 3500 - Piso Alto</t>
  </si>
  <si>
    <t>Argentina | Capital Federal | Almagro | Almagro Norte</t>
  </si>
  <si>
    <t>CLA7316278</t>
  </si>
  <si>
    <t>Terreno en barrio nautico CUBE</t>
  </si>
  <si>
    <t>Calle 11 y 12</t>
  </si>
  <si>
    <t>Argentina | G.B.A. Zona Norte | Escobar | Cube</t>
  </si>
  <si>
    <t>CPH7415672</t>
  </si>
  <si>
    <t>ESPECTACULAR!!! PH 3 amb con 2 terrazas + cochera + LUMINOSO!</t>
  </si>
  <si>
    <t>Rastreador Fournier  al 2300</t>
  </si>
  <si>
    <t>CAP6984474</t>
  </si>
  <si>
    <t>Departamento 2 Ambientes a Estrenar con Cochera - WE LIVE, Olivos</t>
  </si>
  <si>
    <t>Juan Carlos Cruz al 2200</t>
  </si>
  <si>
    <t>Argentina | G.B.A. Zona Norte | Vicente López | Olivos | Olivos-Vias/Rio</t>
  </si>
  <si>
    <t>CAP7393522</t>
  </si>
  <si>
    <t>Departamento en Palermo Hollywood</t>
  </si>
  <si>
    <t>Av Cordoba  al 5700</t>
  </si>
  <si>
    <t>CLO7711949</t>
  </si>
  <si>
    <t>LOCALES EN VENTA</t>
  </si>
  <si>
    <t>Av. Bandera de Los Andes al 3800</t>
  </si>
  <si>
    <t>Argentina | Mendoza | Guaymallen | Villa Nueva De Guaymallen</t>
  </si>
  <si>
    <t>CHO7423548</t>
  </si>
  <si>
    <t>Casa en venta en Neuquén APTA CRÉDITO</t>
  </si>
  <si>
    <t>Se vende casa en Neuquén en zona oeste - APTA CRÉDITO</t>
  </si>
  <si>
    <t>Argentina | Neuquen | Confluencia | Neuquen</t>
  </si>
  <si>
    <t>CHO7327830</t>
  </si>
  <si>
    <t>Casas a estrenar en PH al frente 2/3 dormitorios Categoría 21a y 472 City Bell</t>
  </si>
  <si>
    <t>Casa a estrenar en PH  en obra de 2/3 dormitorios 21a y 472 City Bell - Ultima UNIDAD!!</t>
  </si>
  <si>
    <t>Argentina | G.B.A. Zona Sur | La Plata | City Bell</t>
  </si>
  <si>
    <t>Osten Tower I</t>
  </si>
  <si>
    <t>Julieta Lanteri</t>
  </si>
  <si>
    <t>CAP7649184</t>
  </si>
  <si>
    <t>Venta departamento dos ambientes Balvanera</t>
  </si>
  <si>
    <t>Alberti  al 100</t>
  </si>
  <si>
    <t>CPH7397936</t>
  </si>
  <si>
    <t>PH en Almagro Norte</t>
  </si>
  <si>
    <t>Agrelo al 3300</t>
  </si>
  <si>
    <t>CHO7032754</t>
  </si>
  <si>
    <t>CASA EN VENTA - 12 DE OCTUBRE</t>
  </si>
  <si>
    <t>Ricardo Rojas al 100</t>
  </si>
  <si>
    <t>CAP7409069</t>
  </si>
  <si>
    <t>VENTA DEPTO MONOAMBIENTE EN LA MEJOR ZONA DE RECOLETA</t>
  </si>
  <si>
    <t>Guido al 2400</t>
  </si>
  <si>
    <t>111Nicolas</t>
  </si>
  <si>
    <t>Casa en zona Norte</t>
  </si>
  <si>
    <t>Pje 207 Nº 4764 Mzn 10547</t>
  </si>
  <si>
    <t xml:space="preserve">Reserva Venta Tomi Remax Casa- reserva en remax </t>
  </si>
  <si>
    <t>VHO6592330</t>
  </si>
  <si>
    <t>Casa en venta en Araucarias Puertos del Lago - A Estrenar</t>
  </si>
  <si>
    <t>Casa en Araucarias Puertos del Lago</t>
  </si>
  <si>
    <t>Argentina | G.B.A. Zona Norte | Escobar | Countries/B.Cerrado (Escobar) | Puertos del Lago | Araucarias</t>
  </si>
  <si>
    <t>CLA7470286</t>
  </si>
  <si>
    <t>Venta terreno en las heras</t>
  </si>
  <si>
    <t>Belgrano al 700</t>
  </si>
  <si>
    <t xml:space="preserve">Argentina | Mendoza | Las Heras </t>
  </si>
  <si>
    <t>CASA VILLA ELISA 11 Y 420</t>
  </si>
  <si>
    <t>AZ001</t>
  </si>
  <si>
    <t>Venta de departamento dos ambientes con terraza propia en Chacarita</t>
  </si>
  <si>
    <t>Charlone al 385</t>
  </si>
  <si>
    <t xml:space="preserve">Argentina | Capital Federal | Chacarita </t>
  </si>
  <si>
    <t>CLA7246145</t>
  </si>
  <si>
    <t>Venta Terreno en venta en Recoleta</t>
  </si>
  <si>
    <t>Soler al 3500</t>
  </si>
  <si>
    <t>CAP6613858</t>
  </si>
  <si>
    <t>Venta departamento 3 ambientes en San Telmo</t>
  </si>
  <si>
    <t>Mexico  al 500</t>
  </si>
  <si>
    <t>CAP7643625</t>
  </si>
  <si>
    <t>Departamento en Belgrano</t>
  </si>
  <si>
    <t>Conesa al 1800</t>
  </si>
  <si>
    <t>Suipacha 1225 piso 11</t>
  </si>
  <si>
    <t xml:space="preserve">Argentina | Capital Federal | Retiro </t>
  </si>
  <si>
    <t>Nuñez 4720 - 2B</t>
  </si>
  <si>
    <t>Nueñez 4720 - 2B</t>
  </si>
  <si>
    <t>CHO6848112</t>
  </si>
  <si>
    <t>CASA 6 AMBIENTES EN CASTELAR APTA CRÉDITO</t>
  </si>
  <si>
    <t>Benito Villanueva al 1800</t>
  </si>
  <si>
    <t>Argentina | G.B.A. Zona Oeste | Moron | Castelar | Castelar Norte</t>
  </si>
  <si>
    <t>CAP7420371</t>
  </si>
  <si>
    <t>VENTA PISO DE 150 M2 4 AMBIENTES + DEPENDENCIA Y BALCÓN EN PALERMO BOTÁNICO</t>
  </si>
  <si>
    <t>ARAOZ  al 2700</t>
  </si>
  <si>
    <t>CAP7084743</t>
  </si>
  <si>
    <t>IMPECABLE!!! Departamento Larrea al 1300 entre Juncal y French. APTO PROFESIONAL Y APTO CREDITO.</t>
  </si>
  <si>
    <t>Larrea al 1300, entre Juncal y French - RECOLETA.</t>
  </si>
  <si>
    <t>CAP7462579</t>
  </si>
  <si>
    <t>VENTA DEPTO 3 AMB RETIRO</t>
  </si>
  <si>
    <t>Av. Córdoba al 400</t>
  </si>
  <si>
    <t>CPH7569227</t>
  </si>
  <si>
    <t>PH en Villa Urquiza</t>
  </si>
  <si>
    <t>Miller al 2000</t>
  </si>
  <si>
    <t>Colombres 957 - Diego Neto Prop - Yudit Cairo</t>
  </si>
  <si>
    <t>Colombres 957</t>
  </si>
  <si>
    <t xml:space="preserve">Argentina | Capital Federal | Boedo </t>
  </si>
  <si>
    <t>CAP6982365</t>
  </si>
  <si>
    <t>Departamento en  Venta en Saavedra a estrenar 2 ambientes</t>
  </si>
  <si>
    <t>CAP7064550</t>
  </si>
  <si>
    <t>Departamento 2 ambientes a estrenar con pileta San Antonio de Padua - financiación propia</t>
  </si>
  <si>
    <t>Curie  80</t>
  </si>
  <si>
    <t>Argentina | G.B.A. Zona Oeste | Merlo | San Antonio De Padua</t>
  </si>
  <si>
    <t>Unidad Funcional N° 7 ubicada sobre la Ruta Nacional 231, de una superficie total de 108,78 m2, nomenclatura catastral: 16-20-059-2026-0007</t>
  </si>
  <si>
    <t>Repetido</t>
  </si>
  <si>
    <t>AV. 7 Lagos 700</t>
  </si>
  <si>
    <t>CPH7575954</t>
  </si>
  <si>
    <t>PH en Belgrano R</t>
  </si>
  <si>
    <t>Av Melian  al 2200</t>
  </si>
  <si>
    <t xml:space="preserve">Argentina | Capital Federal | Boca </t>
  </si>
  <si>
    <t>CLA7568177</t>
  </si>
  <si>
    <t>Terreno Pucara</t>
  </si>
  <si>
    <t>LOTEO PUCARA</t>
  </si>
  <si>
    <t>Argentina | Salta | Capital | Salta | Zona Oeste</t>
  </si>
  <si>
    <t>CHO7309354</t>
  </si>
  <si>
    <t>Duplex a estrenar en Via Aurelia</t>
  </si>
  <si>
    <t>mzna 3 lote 10</t>
  </si>
  <si>
    <t>Argentina | Salta | Capital | Salta</t>
  </si>
  <si>
    <t>Oficina en Edificio Bureau Pilar</t>
  </si>
  <si>
    <t>Martín Miguel de Güemes 80 - La Lonja</t>
  </si>
  <si>
    <t>Argentina | G.B.A. Zona Norte | Pilar | La Lonja</t>
  </si>
  <si>
    <t>UF N° 16 de 389,73m2, “C”</t>
  </si>
  <si>
    <t>Bv, Quetrihue y Amancay</t>
  </si>
  <si>
    <t>Argentina | Neuquen | Villa La Angostura | Selva Triste</t>
  </si>
  <si>
    <t>CBA59141 LA7277569</t>
  </si>
  <si>
    <t>VENTA Lote/terreno Villa La Angostura 374 m2, Loteo Quetrihue, Vista a las montañas, Selvana Triste.</t>
  </si>
  <si>
    <t>Blvd Quetrihue y Blvd Amancay</t>
  </si>
  <si>
    <t>CBA59141 LA7277567</t>
  </si>
  <si>
    <t>CPH7739549</t>
  </si>
  <si>
    <t>Venta Departamento PH 3 Ambientes con Balcón – Palermo</t>
  </si>
  <si>
    <t>Gurruchaga al 1900</t>
  </si>
  <si>
    <t>CLA7237900</t>
  </si>
  <si>
    <t>Venta Terreno Tortuguitas, ideal emprendimiento</t>
  </si>
  <si>
    <t>Caracas y Einstein</t>
  </si>
  <si>
    <t>Argentina | G.B.A. Zona Norte | Malvinas Argentinas | Tortuguitas</t>
  </si>
  <si>
    <t>CAP7240208</t>
  </si>
  <si>
    <t>VENTA DEPTO CUATRO AMB A RECICLAR  OPORTUNIDAD RECOLETA</t>
  </si>
  <si>
    <t>Junin al 1100</t>
  </si>
  <si>
    <t>JAP7133395</t>
  </si>
  <si>
    <t>Departamento 2 ambientes cochera en Torre Vicente Lopez</t>
  </si>
  <si>
    <t>Av del Libertador 1500 Vicente Lopez</t>
  </si>
  <si>
    <t>Argentina | G.B.A. Zona Norte | Vicente López | Barrio Vicente López</t>
  </si>
  <si>
    <t>CLA6847421</t>
  </si>
  <si>
    <t>Terreno en  solares de ortiz</t>
  </si>
  <si>
    <t>solares de Ortiz</t>
  </si>
  <si>
    <t>San Sebastian A13 L185</t>
  </si>
  <si>
    <t>Argentina | G.B.A. Zona Norte | San Isidro | San Isidro</t>
  </si>
  <si>
    <t>CCO55415 AP7031058</t>
  </si>
  <si>
    <t>Departamento tipo duplex 3 amb   playroom y terraza propia - Bouquet Pilar</t>
  </si>
  <si>
    <t>Departamento tipo duplex 3 amb + playroom y terraza propia - Bouquet Pilar</t>
  </si>
  <si>
    <t>Argentina | G.B.A. Zona Norte | Pilar | Manuel Alberti | Bouquet</t>
  </si>
  <si>
    <t>CLA6247394</t>
  </si>
  <si>
    <t>Terreno en  Venta en Barrio Privado Milcayac II - Maipú - Mendoza</t>
  </si>
  <si>
    <t>Vieytes s/n</t>
  </si>
  <si>
    <t xml:space="preserve">Argentina | Mendoza | Maipu </t>
  </si>
  <si>
    <t>Saenz Peña al 1200</t>
  </si>
  <si>
    <t>Casa en Barrio San Sebastián Area 13</t>
  </si>
  <si>
    <t>Loma verde</t>
  </si>
  <si>
    <t>CHO7075779</t>
  </si>
  <si>
    <t>Casa en Venta 2 dormitorios calle 7 entre 419 y 420 Villa Elisa</t>
  </si>
  <si>
    <t>Casa en Venta 2 Dormitorios, Cocina, Patio Calle 7 820 entre 419 y 420, Villa Elisa</t>
  </si>
  <si>
    <t>Argentina | G.B.A. Zona Sur | La Plata | Villa Elisa</t>
  </si>
  <si>
    <t>CAP7371616</t>
  </si>
  <si>
    <t>Venta Departamento 3 ambientes con balcón en Palermo Soho</t>
  </si>
  <si>
    <t>Scalabrini Ortiz al 1900</t>
  </si>
  <si>
    <t>JAP7441606</t>
  </si>
  <si>
    <t>Venta Departamento 2 ambientes super luminoso</t>
  </si>
  <si>
    <t>José M. Paiva  al 1500</t>
  </si>
  <si>
    <t>Argentina | G.B.A. Zona Norte | Tigre | Tigre</t>
  </si>
  <si>
    <t>CAP7277831</t>
  </si>
  <si>
    <t>VENTA MONOAMBIENTE DIVISIBLE en Belgrano</t>
  </si>
  <si>
    <t>Avenida del Libertador 5800</t>
  </si>
  <si>
    <t>CAP7290006</t>
  </si>
  <si>
    <t>Departamento 3 ambientes con dependencia en Venta</t>
  </si>
  <si>
    <t>Av. Montes de Oca al 500</t>
  </si>
  <si>
    <t xml:space="preserve">Argentina | Capital Federal | Barracas </t>
  </si>
  <si>
    <t>CGA7758909</t>
  </si>
  <si>
    <t>Cochera en Rivadavia al 3100 MetroParking</t>
  </si>
  <si>
    <t>Cochera en Rivadavia al 3100</t>
  </si>
  <si>
    <t>COF7589489</t>
  </si>
  <si>
    <t>Oficina en Belgrano Barrancas</t>
  </si>
  <si>
    <t>Ciudad de la paz  al 2200</t>
  </si>
  <si>
    <t>CHO7049417</t>
  </si>
  <si>
    <t>Casa en  venta en country La Tatenguita</t>
  </si>
  <si>
    <t xml:space="preserve">Casa en Country La Tatenguita </t>
  </si>
  <si>
    <t>Argentina | Santa Fe | La Capital | Santo Tome</t>
  </si>
  <si>
    <t>CAP7675852</t>
  </si>
  <si>
    <t>Av..Coronel Diaz  al 1700</t>
  </si>
  <si>
    <t>CBU60233 AP6592929</t>
  </si>
  <si>
    <t>Venta Departamento Dos Ambientes vista al lago a 5 minutos del centro</t>
  </si>
  <si>
    <t>CHO7511532</t>
  </si>
  <si>
    <t>Venta Casa en Parque El Faldeo</t>
  </si>
  <si>
    <t>Parque El Faldeo, San Carlos de Bariloche</t>
  </si>
  <si>
    <t>Argentina | Rio Negro | Bariloche | San Carlos De Bariloche | Parque El Faldeo</t>
  </si>
  <si>
    <t>CAP6976294</t>
  </si>
  <si>
    <t>Oportunidad de Inversión departamento Godoy Cruz. Apto crédito. Se dueño.</t>
  </si>
  <si>
    <t>Reconquista  al 1600</t>
  </si>
  <si>
    <t>Argentina | Mendoza | Godoy Cruz | Godoy Cruz</t>
  </si>
  <si>
    <t>PIERES 679</t>
  </si>
  <si>
    <t xml:space="preserve">Argentina | Capital Federal | Liniers </t>
  </si>
  <si>
    <t>JAP7568237</t>
  </si>
  <si>
    <t>VENTA DEPARTAMENTO MONOAMBIENTE CHACARITA EDIFICIO WALDEN</t>
  </si>
  <si>
    <t>Corrientes  al 6300</t>
  </si>
  <si>
    <t>Argentina | Rio Negro | Bariloche | San Carlos De Bariloche | Melipal</t>
  </si>
  <si>
    <t>CLA6708960</t>
  </si>
  <si>
    <t>venta casa a demoler/terreno  o reciclar  en Godoy Cruz</t>
  </si>
  <si>
    <t xml:space="preserve">Tiburcio Benegas esquina Uruguay Godoy Cruz </t>
  </si>
  <si>
    <t>Donado CABA</t>
  </si>
  <si>
    <t>Departamento en venta en la Calle Donado Villa Urquiza</t>
  </si>
  <si>
    <t>donado 2544</t>
  </si>
  <si>
    <t>Venta departamento Humberto Primo</t>
  </si>
  <si>
    <t>Humberto Primo 2823</t>
  </si>
  <si>
    <t xml:space="preserve">Argentina | Capital Federal | San Cristobal </t>
  </si>
  <si>
    <t>CAP7794650</t>
  </si>
  <si>
    <t>Alquiler departamento en Villa Crespo</t>
  </si>
  <si>
    <t>Cucha cucha  al 1700</t>
  </si>
  <si>
    <t>CLA7469441</t>
  </si>
  <si>
    <t>VENTA Lote | Terreno 308 m2, Valle Chapelco, San Martín de los Andes</t>
  </si>
  <si>
    <t>PH UF N1 Lote PH</t>
  </si>
  <si>
    <t>Argentina | Neuquen | Lacar | San Martin De Los Andes | Valle Chapelco</t>
  </si>
  <si>
    <t>op 235</t>
  </si>
  <si>
    <t>Av Mitre 962 15</t>
  </si>
  <si>
    <t xml:space="preserve">Argentina | G.B.A. Zona Sur | Avellaneda </t>
  </si>
  <si>
    <t>ARENALES  al 1500</t>
  </si>
  <si>
    <t>Argentina | Neuquen | Huiliches | Junin De Los Andes</t>
  </si>
  <si>
    <t>Argentina | Capital Federal | Palermo | Botanico</t>
  </si>
  <si>
    <t>Neuquén 871</t>
  </si>
  <si>
    <t>Argentina | G.B.A. Zona Norte | Vicente López | La Lucila</t>
  </si>
  <si>
    <t>CAP7297674</t>
  </si>
  <si>
    <t>DEPARTAMENTO EN VENTA 2 AMB MORON CENTRO</t>
  </si>
  <si>
    <t>Buen Viaje  al 600</t>
  </si>
  <si>
    <t>CAP7285961</t>
  </si>
  <si>
    <t>Departamento en El Palomar</t>
  </si>
  <si>
    <t>Bustillo al 500</t>
  </si>
  <si>
    <t>Argentina | G.B.A. Zona Oeste | Moron | El Palomar</t>
  </si>
  <si>
    <t>Argentina | Capital Federal | Centro (Capital Federal) | Tribunales</t>
  </si>
  <si>
    <t xml:space="preserve">Av. La Plata 275 - Martin Pitaluga </t>
  </si>
  <si>
    <t>Av. La Plata 275</t>
  </si>
  <si>
    <t>Argentina | G.B.A. Zona Norte | Escobar | Loma Verde | San Sebastian</t>
  </si>
  <si>
    <t>CBTCO26001</t>
  </si>
  <si>
    <t xml:space="preserve">Departamento 2 Ambientes Exclusivo </t>
  </si>
  <si>
    <t>AZUENAGA  al 900</t>
  </si>
  <si>
    <t>CAP7658929</t>
  </si>
  <si>
    <t>VENTA DEPARTAMENTO 3 AMBIENTES A ESTRENAR EN FLORIDA</t>
  </si>
  <si>
    <t>Av San Martin al 1600</t>
  </si>
  <si>
    <t>Argentina | Mendoza | Las Heras | El Challao</t>
  </si>
  <si>
    <t>CAP7557789</t>
  </si>
  <si>
    <t>AV. CORRIENTES Y MONTEVIDEO. TODO SOL!!! EXCELENTE UBICACIÓN!!!</t>
  </si>
  <si>
    <t>Av. Corrientes  al 1500</t>
  </si>
  <si>
    <t>CAP7540046</t>
  </si>
  <si>
    <t>VENTA DEPARTAMENTO 1 Dormitorio - SENADOR PEREZ - CENTRO</t>
  </si>
  <si>
    <t>Senador Perez al 100</t>
  </si>
  <si>
    <t>CLA7523420</t>
  </si>
  <si>
    <t>VENTA TERRENO UQUIA</t>
  </si>
  <si>
    <t>Uquia- Dpto Humahuaca</t>
  </si>
  <si>
    <t>Argentina | Jujuy | Humahuaca | Uquia</t>
  </si>
  <si>
    <t>CHO7329329</t>
  </si>
  <si>
    <t>Casa en Venta 3 dormitorios Barrio Santa Sofia Pilar del Este</t>
  </si>
  <si>
    <t>Barrio Santa Sofia Pilar del Este</t>
  </si>
  <si>
    <t>Argentina | G.B.A. Zona Norte | Pilar | Countries/B.Cerrado (Pilar) | Pilar Del Este | Santa Sofía</t>
  </si>
  <si>
    <t>CHO7329678</t>
  </si>
  <si>
    <t>Casa en Venta 3 dormitorios Santa Elena Pilar del Este</t>
  </si>
  <si>
    <t>Argentina | Neuquen | Capital | Rincón de Emilio</t>
  </si>
  <si>
    <t>CPH7586781</t>
  </si>
  <si>
    <t>VENTA PH 3 AMBIENTES C/ PATIO, PARRILLA Y ENTRADA INDEPENDIENTE. VILLA DEVOTO.</t>
  </si>
  <si>
    <t>Sanabria al 3600</t>
  </si>
  <si>
    <t>CAP7200170</t>
  </si>
  <si>
    <t>Venta Departamento 2 Ambientes - Excelente oportunidad para reciclar</t>
  </si>
  <si>
    <t>Talcahuano 60</t>
  </si>
  <si>
    <t>CAP7546148</t>
  </si>
  <si>
    <t>Venta Departamento 3 ambientes en Recoleta</t>
  </si>
  <si>
    <t>Av. Pueyrredon al 2100</t>
  </si>
  <si>
    <t xml:space="preserve">Argentina | Capital Federal | Villa del Parque </t>
  </si>
  <si>
    <t>CHO6495923</t>
  </si>
  <si>
    <t>Venta Casa 3 Amb y Dpto 2 Amb Salón, Pileta, Quincho, Parrilla, Garage en Villa Devoto Multifamiliar</t>
  </si>
  <si>
    <t>Simbron al 4100</t>
  </si>
  <si>
    <t>CAP6738365</t>
  </si>
  <si>
    <t>Venta Monoambiente en Palermo. Ideal Inversión</t>
  </si>
  <si>
    <t>Mansilla al 3300</t>
  </si>
  <si>
    <t>CAP6274947</t>
  </si>
  <si>
    <t>Venta Departamento 3 Ambientes a Estrenar en San Telmo</t>
  </si>
  <si>
    <t>CASEROS al 700</t>
  </si>
  <si>
    <t>Dpto en venta</t>
  </si>
  <si>
    <t>J. A. Cabrera 3411 7mo D</t>
  </si>
  <si>
    <t>Jorge Newbery al 1600</t>
  </si>
  <si>
    <t>Argentina | Capital Federal | Palermo | Las Cañitas</t>
  </si>
  <si>
    <t>CAP7458160</t>
  </si>
  <si>
    <t xml:space="preserve">Venta departamento 3 amb Nuñez </t>
  </si>
  <si>
    <t>Departamento venta 3 ambientes Nuñez</t>
  </si>
  <si>
    <t>Boutique</t>
  </si>
  <si>
    <t>Casa en venta Barrio Santo Tomás</t>
  </si>
  <si>
    <t>Casa en venta en Barrio Santo Tomás</t>
  </si>
  <si>
    <t>Mariano Acosta 3098</t>
  </si>
  <si>
    <t>Argentina | G.B.A. Zona Norte | Pilar | Countries/B.Cerrado (Pilar) | Santo Tomás</t>
  </si>
  <si>
    <t>CHO6966114</t>
  </si>
  <si>
    <t>Casa 4 Ambientes en Venta en  Castelar</t>
  </si>
  <si>
    <t>Wenceslao Paunero  248</t>
  </si>
  <si>
    <t>Argentina | G.B.A. Zona Oeste | Moron | Castelar</t>
  </si>
  <si>
    <t>Argentina | Neuquen | Villa La Angostura | Las Balsas</t>
  </si>
  <si>
    <t>CPH4820178</t>
  </si>
  <si>
    <t>Venta PH - 5 Ambientes - Ideal dos familias - Terraza y Patio - Vélez Sarsfield</t>
  </si>
  <si>
    <t>Alejandro Margariños Cervantes al 4500</t>
  </si>
  <si>
    <t xml:space="preserve">Argentina | Capital Federal | Velez Sarsfield </t>
  </si>
  <si>
    <t>CAP7149037</t>
  </si>
  <si>
    <t>Venta Departamento 4 ambientes, piso alto con balcon en Belgrano</t>
  </si>
  <si>
    <t>Cabildo al 1100</t>
  </si>
  <si>
    <t>CAP7296145</t>
  </si>
  <si>
    <t>Venta departamento 4 ambientes dependencia balcones cochera Belgrano</t>
  </si>
  <si>
    <t>Av Congreso al 2700</t>
  </si>
  <si>
    <t>Martin y Omar  al 200</t>
  </si>
  <si>
    <t>BAP5198928</t>
  </si>
  <si>
    <t>Departamento de dos ambientes</t>
  </si>
  <si>
    <t>Anchorena al 1100</t>
  </si>
  <si>
    <t>Boticelli 4719</t>
  </si>
  <si>
    <t>CAP7087501</t>
  </si>
  <si>
    <t>VENTA DEPARTAMENTO PREMIUM 3 AMBIENTES A ESTRENAR EN BELGRANO</t>
  </si>
  <si>
    <t>Vidal al 2800</t>
  </si>
  <si>
    <t>CHO7330250</t>
  </si>
  <si>
    <t>Casa en Venta, a la Laguna en San Benito - Villanueva</t>
  </si>
  <si>
    <t>Argentina | G.B.A. Zona Norte | Tigre | Countries/B.Cerrado (Tigre) | Villanueva | San Benito</t>
  </si>
  <si>
    <t>Santa Clara 855</t>
  </si>
  <si>
    <t>Santa Clara al sur 855</t>
  </si>
  <si>
    <t xml:space="preserve">Argentina | G.B.A. Zona Sur | San Vicente </t>
  </si>
  <si>
    <t>CFA6647231</t>
  </si>
  <si>
    <t>Finca-Terreno en Venta en Guaymallén POZO SURGENTE de agua apta para consumo</t>
  </si>
  <si>
    <t>Callejón C. García  El Sauce Guaymallén</t>
  </si>
  <si>
    <t>Argentina | Mendoza | Guaymallen | El Sauce</t>
  </si>
  <si>
    <t xml:space="preserve">Reserva Venta Magda Nay y Roma Chaco y Corrientes </t>
  </si>
  <si>
    <t>MANSILLA</t>
  </si>
  <si>
    <t xml:space="preserve">MANSILLA CABA </t>
  </si>
  <si>
    <t>MANSILLA 2568</t>
  </si>
  <si>
    <t>CAP7546141</t>
  </si>
  <si>
    <t>VENTA 3 AMBIENTES TOTALMENTE RECICLADO A NUEVO DISEÑO Y CALIDAD PREMIUM EN SAN NICOLAS</t>
  </si>
  <si>
    <t>Avenida Corrientes al 1200</t>
  </si>
  <si>
    <t>25EM-14-01-26</t>
  </si>
  <si>
    <t>Departamento en Villa Crespo</t>
  </si>
  <si>
    <t>Av. Corrientes  al 4700</t>
  </si>
  <si>
    <t>CFA7300444</t>
  </si>
  <si>
    <t>Finca en Andrade</t>
  </si>
  <si>
    <t>FRENTE A CALLE CHILECITO S/N</t>
  </si>
  <si>
    <t>Argentina | Mendoza | Rivadavia | Andrade</t>
  </si>
  <si>
    <t>CLA7827009</t>
  </si>
  <si>
    <t>Terreno en Lujan</t>
  </si>
  <si>
    <t>BARRIO SANTA IRENE  RUTA 6 KM 155.5 LUJAN 30</t>
  </si>
  <si>
    <t xml:space="preserve">Argentina | G.B.A. Zona Oeste | Lujan </t>
  </si>
  <si>
    <t>Charcas al 3600</t>
  </si>
  <si>
    <t>CHO7391905</t>
  </si>
  <si>
    <t>Espectacular casa en San Sebastián, área 11, laguna</t>
  </si>
  <si>
    <t>CAP7383009</t>
  </si>
  <si>
    <t>Departamento 2 ambientes en Nuñez</t>
  </si>
  <si>
    <t>Venta 2 Ambientes Cuba al 2800</t>
  </si>
  <si>
    <t>CLA6863902</t>
  </si>
  <si>
    <t>OPORTUNIDAD VENTA URGENTE Lote en Venta Barrio Cerrado Comarcas de Lujan</t>
  </si>
  <si>
    <t>Av. Fernandez Beschtedt</t>
  </si>
  <si>
    <t>Argentina | G.B.A. Zona Oeste | Lujan | Countries/B.Cerrado (Lujan) | La Elina</t>
  </si>
  <si>
    <t>Caracas venta departamento</t>
  </si>
  <si>
    <t xml:space="preserve">Caracas 1080 </t>
  </si>
  <si>
    <t>Casa a la venta</t>
  </si>
  <si>
    <t>Cuenca 2200 olivos</t>
  </si>
  <si>
    <t>Argentina | G.B.A. Zona Norte | Vicente López | Olivos | Olivos-Maipu/Uzal</t>
  </si>
  <si>
    <t>JOF6533595</t>
  </si>
  <si>
    <t>Venta-Oficina-Baño-2Ambientes-San Nicolas-Tribunales-Apto Profesional</t>
  </si>
  <si>
    <t>PARANA  al 400</t>
  </si>
  <si>
    <t>AV. SANTA FE 3100 - SOL LORENZO - BAIGUN</t>
  </si>
  <si>
    <t>AV. SANTA FE 3100</t>
  </si>
  <si>
    <t>CAP7631275</t>
  </si>
  <si>
    <t>Departamento en Recoleta</t>
  </si>
  <si>
    <t>Marcelo T.  de Alvear al 2100</t>
  </si>
  <si>
    <t>CLA7717987</t>
  </si>
  <si>
    <t>Terreno - Maipu</t>
  </si>
  <si>
    <t>Maza y 25 de mayo 0</t>
  </si>
  <si>
    <t>CLA7241558</t>
  </si>
  <si>
    <t>Terreno en El Cerrito</t>
  </si>
  <si>
    <t>ADOLFO CALLE al 5100</t>
  </si>
  <si>
    <t>Argentina | Mendoza | San Rafael | El Cerrito</t>
  </si>
  <si>
    <t>CAP7325033</t>
  </si>
  <si>
    <t>VENDE Departamento dúplex 72 m² Centro Villa La Angostura</t>
  </si>
  <si>
    <t>Pascotto al 100</t>
  </si>
  <si>
    <t>Argentina | Neuquen | Villa La Angostura | El Cruce</t>
  </si>
  <si>
    <t>CAP7381916</t>
  </si>
  <si>
    <t>Venta Departamento 2 Ambientes con Balcon en San Nicolás</t>
  </si>
  <si>
    <t>Libertad al 400</t>
  </si>
  <si>
    <t>CAP7269965</t>
  </si>
  <si>
    <t>Venta Departamento de 2 ambientes con cochera en Lanusita</t>
  </si>
  <si>
    <t>Dr. Arturo Melo al 2800</t>
  </si>
  <si>
    <t>Argentina | G.B.A. Zona Sur | Lanús | Lanús | Lanús Oeste</t>
  </si>
  <si>
    <t>CAP7529902</t>
  </si>
  <si>
    <t>Venta departamento AMUEBLADO dos ambientes en Recoleta. IDEAL INVERSION O VIVIENDA</t>
  </si>
  <si>
    <t>Arenales al 1100</t>
  </si>
  <si>
    <t>CAP7424946</t>
  </si>
  <si>
    <t>Venta  Departamento 2 Ambientes  Balcon Terraza  en Belgrano</t>
  </si>
  <si>
    <t>Blanco Encalada al 2900</t>
  </si>
  <si>
    <t>op 233</t>
  </si>
  <si>
    <t>Santos Dumont 2355 1 D</t>
  </si>
  <si>
    <t>CAP7531799</t>
  </si>
  <si>
    <t>VENTA DEPARTAMENTO 6 AMBIENTES C/DEPENDENCIA Y COCHERA EN RECOLETA</t>
  </si>
  <si>
    <t>AV LAS HERAS  al 1800</t>
  </si>
  <si>
    <t>lote de aproximadamente 900 m2 ubicado en Barria 757, nomenclatura catastral 16-20-061-8448-0000</t>
  </si>
  <si>
    <t>Barria 700</t>
  </si>
  <si>
    <t>Argentina | Neuquen | Villa La Angostura | Peumayen</t>
  </si>
  <si>
    <t>UF 15 loteo C Quetrihue</t>
  </si>
  <si>
    <t>Bv. Quetrihue y Amancay</t>
  </si>
  <si>
    <t>UF 4 Loteo C Quetrihue</t>
  </si>
  <si>
    <t>CHO6434354</t>
  </si>
  <si>
    <t>Casa en  En San Martín</t>
  </si>
  <si>
    <t>Boulogne sur mer  5100 Villa Lynch</t>
  </si>
  <si>
    <t>Argentina | G.B.A. Zona Norte | General San Martin | San Martin</t>
  </si>
  <si>
    <t>CAP7539215</t>
  </si>
  <si>
    <t>Departamento 3 dormitorios en La Plata Diagonal 73 entre 8 y 58</t>
  </si>
  <si>
    <t>Departamento 3 Dormitorios Diagonal 73 al 1300</t>
  </si>
  <si>
    <t>CLA7718358</t>
  </si>
  <si>
    <t>Terreno en La Posta Pilar</t>
  </si>
  <si>
    <t>Dr. Manuel Argerich al 800</t>
  </si>
  <si>
    <t>Argentina | G.B.A. Zona Norte | Pilar | Countries/B.Cerrado (Pilar) | La Posta Pilar</t>
  </si>
  <si>
    <t xml:space="preserve">Dpartamento en venta en Aldeana </t>
  </si>
  <si>
    <t>Townhouse 3 ambientes en Aldeana</t>
  </si>
  <si>
    <t>Del Viso</t>
  </si>
  <si>
    <t>Argentina | G.B.A. Zona Norte | Pilar | Del Viso | Aldeana Pilar</t>
  </si>
  <si>
    <t>CHO7190676</t>
  </si>
  <si>
    <t>Casa en Las Compuertas</t>
  </si>
  <si>
    <t xml:space="preserve">Los Retamos </t>
  </si>
  <si>
    <t>Argentina | Mendoza | Lujan De Cuyo | Lujan De Cuyo | Chacras De Coria</t>
  </si>
  <si>
    <t>CAP7657136</t>
  </si>
  <si>
    <t>Departamento en venta en Neuquén</t>
  </si>
  <si>
    <t>Picun Leufu  al 100</t>
  </si>
  <si>
    <t>Cristaline</t>
  </si>
  <si>
    <t>CAP7206727</t>
  </si>
  <si>
    <t>VENTA DEPARTAMENTO 4 AMBIENTES CON DEPENDENCIA,  3 BALCONES ATERRAZADOS PATIO y COCHERA en PALERMO</t>
  </si>
  <si>
    <t>ARMENIA al 2400</t>
  </si>
  <si>
    <t>Avenida de los Lagos al 6500</t>
  </si>
  <si>
    <t>CAP7364115</t>
  </si>
  <si>
    <t>VENTA RECOLETA PISO 5 AMB - COCHERA Y BALCON</t>
  </si>
  <si>
    <t>Av Las Heras al 1970</t>
  </si>
  <si>
    <t>VPN53619 HO5685902</t>
  </si>
  <si>
    <t>Casa en  venta 4 ambientes - Pilar - Barrio cerrado Las Margaritas</t>
  </si>
  <si>
    <t>Pilar</t>
  </si>
  <si>
    <t>Argentina | G.B.A. Zona Norte | Pilar | Countries/B.Cerrado (Pilar) | Las Margaritas</t>
  </si>
  <si>
    <t>CHO7600262</t>
  </si>
  <si>
    <t>Casa en San Salvador De Jujuy</t>
  </si>
  <si>
    <t>Pasaje Francia  al 1031</t>
  </si>
  <si>
    <t>CAP6456660</t>
  </si>
  <si>
    <t>Departamento en  pleno centro de san Justo Santa fe</t>
  </si>
  <si>
    <t xml:space="preserve">Avenida 9 de Julio al 2400 </t>
  </si>
  <si>
    <t>Argentina | Santa Fe | San Justo | San Justo</t>
  </si>
  <si>
    <t>CLA7781357</t>
  </si>
  <si>
    <t xml:space="preserve">Terreno en venta ubicado en La Celestina </t>
  </si>
  <si>
    <t xml:space="preserve">La Celestina Mza I </t>
  </si>
  <si>
    <t>Argentina | Salta | Cerrillos | Cerrillos</t>
  </si>
  <si>
    <t>CAP7440527</t>
  </si>
  <si>
    <t>Venta departamento 3 ambientes balcón en Palermo</t>
  </si>
  <si>
    <t>Av. Santa Fe al 4900</t>
  </si>
  <si>
    <t>APH4540502</t>
  </si>
  <si>
    <t>Versalles - PH 3 ambientes con terraza propia - SIN EXPENSAS</t>
  </si>
  <si>
    <t>Tinogasta al 6000</t>
  </si>
  <si>
    <t xml:space="preserve">Argentina | Capital Federal | Versalles </t>
  </si>
  <si>
    <t>CESAR DIAZ 570 - YAMILA LESINA - LEONARDI PROPIEDADES</t>
  </si>
  <si>
    <t>CESAR DIAZ 570</t>
  </si>
  <si>
    <t>Argentina | G.B.A. Zona Norte | Escobar | Belen De Escobar</t>
  </si>
  <si>
    <t>CAP7373708</t>
  </si>
  <si>
    <t>REAL OPORTUNIDAD - Amplio 2 AMB  - Nordelta</t>
  </si>
  <si>
    <t>2 AMB CON BALCÓN EN VENTA THE KIRI PUERTO ESCONDIDO NORDELTA</t>
  </si>
  <si>
    <t>Argentina | G.B.A. Zona Norte | Tigre | Countries/B.Cerrado (Tigre) | Nordelta | Puerto Escondido</t>
  </si>
  <si>
    <t>VAP6770579</t>
  </si>
  <si>
    <t>Venta 3 ambientes - Portezuelo - APTO CREDITO</t>
  </si>
  <si>
    <t>Argentina | G.B.A. Zona Norte | Tigre | Countries/B.Cerrado (Tigre) | Nordelta | Portezuelo | Marinas del Portezuelo</t>
  </si>
  <si>
    <t>CHO7457349</t>
  </si>
  <si>
    <t>Casa céntrica en zona de Hospital Español</t>
  </si>
  <si>
    <t>Emilio Civit al 1300</t>
  </si>
  <si>
    <t>Argentina | Mendoza | San Rafael | San Rafael | San Rafel</t>
  </si>
  <si>
    <t>UF 29 Loteo C Quetrihue</t>
  </si>
  <si>
    <t>CAP7466792</t>
  </si>
  <si>
    <t>VENTA Departamento 70m2  P Alta  Aldea del Golf Chapelco Golf San Martin de los Andes</t>
  </si>
  <si>
    <t>ALDEAS DEL GOLF  Chapelco Golf &amp; Resort</t>
  </si>
  <si>
    <t>Argentina | Neuquen | Lacar | San Martin De Los Andes | Chapelco Golf &amp; Resort</t>
  </si>
  <si>
    <t>CLA7420038</t>
  </si>
  <si>
    <t>VENTA Lote Terreno 420 m2 Centro San Martin de los Andes</t>
  </si>
  <si>
    <t>Villegas 800</t>
  </si>
  <si>
    <t>JULIO A ROCA</t>
  </si>
  <si>
    <t xml:space="preserve">JULIO A ROCA 928 </t>
  </si>
  <si>
    <t>CHO7418897</t>
  </si>
  <si>
    <t xml:space="preserve">Duplex en Venta en Santa Ana Joven </t>
  </si>
  <si>
    <t>Duplex en Venta - Santa Ana Joven 3 ambientes con terraza OPORTUNIDAD  - Villanueva</t>
  </si>
  <si>
    <t>Argentina | G.B.A. Zona Norte | Tigre | Benavidez | Santa Ana Joven</t>
  </si>
  <si>
    <t>CWE6718102</t>
  </si>
  <si>
    <t>Casa quinta en Villa California</t>
  </si>
  <si>
    <t>Calle de Los Duendes 2763</t>
  </si>
  <si>
    <t>Argentina | Santa Fe | La Capital | San Jose Del Rincon | Villa California</t>
  </si>
  <si>
    <t>Argentina | G.B.A. Zona Norte | Tigre | Villa Los Remeros</t>
  </si>
  <si>
    <t>110AgustinS</t>
  </si>
  <si>
    <t>Casa en Mayoraz</t>
  </si>
  <si>
    <t>CHO7298562</t>
  </si>
  <si>
    <t>Casa en La Capital</t>
  </si>
  <si>
    <t>Casa tipo duplex desarrollada en dos plantas</t>
  </si>
  <si>
    <t>Argentina | Santa Fe | La Capital | Santa Fe | Guadalupe</t>
  </si>
  <si>
    <t>CAP7344949</t>
  </si>
  <si>
    <t>VENTA Departamento en torre Icono acoyte 2 ambientes</t>
  </si>
  <si>
    <t>acoyte al 500</t>
  </si>
  <si>
    <t>CCO60459 AP6615102</t>
  </si>
  <si>
    <t>Departamento VENTA O ALQUILER  3 amb a estrenar en San Gerónimo</t>
  </si>
  <si>
    <t>Depto 3 amb a estrenar San Geronimo Pilar</t>
  </si>
  <si>
    <t>Argentina | G.B.A. Zona Norte | Pilar | San Gerónimo</t>
  </si>
  <si>
    <t>ALA6249754</t>
  </si>
  <si>
    <t>Terreno en Mar del Plata</t>
  </si>
  <si>
    <t>Felipe de Arana al 4800</t>
  </si>
  <si>
    <t>Argentina | Interior Buenos Aires | General Pueyrredon | Mar Del Plata</t>
  </si>
  <si>
    <t>CAP7740666</t>
  </si>
  <si>
    <t>Departamento en Capital</t>
  </si>
  <si>
    <t>Tucuman 10</t>
  </si>
  <si>
    <t>CLA6250455</t>
  </si>
  <si>
    <t>Terreno en Venta, Santo Tome, Santa Fe</t>
  </si>
  <si>
    <t>CLA6250311</t>
  </si>
  <si>
    <t>CHO7381993</t>
  </si>
  <si>
    <t>Casa en venta en Neuquén en Alta Barda con quincho y 4 departamentos para renta</t>
  </si>
  <si>
    <t>Los Lirios  al 600 Barrio Alta Barda</t>
  </si>
  <si>
    <t>Argentina | Neuquen | Capital | Alta Barda</t>
  </si>
  <si>
    <t>CLA6250352</t>
  </si>
  <si>
    <t>Casa Nati&amp;Lore</t>
  </si>
  <si>
    <t>Argentina | Rio Negro | General Roca | Cipolletti</t>
  </si>
  <si>
    <t>UF N° 30 de 396,00m2 parte del Loteo denominado Zona “C” Quetrihue</t>
  </si>
  <si>
    <t>UF 16 Loteo A Quetrihue</t>
  </si>
  <si>
    <t>CAP7439838</t>
  </si>
  <si>
    <t xml:space="preserve">Venta Departamento 2 Dormitorios 3 Amb  Con Cocina y Balcón 2° Piso al frente </t>
  </si>
  <si>
    <t>Juan José Paso  40</t>
  </si>
  <si>
    <t>Argentina | G.B.A. Zona Norte | San Isidro | Martinez | Mart.-Vias/Santa Fe</t>
  </si>
  <si>
    <t>CAP7459725</t>
  </si>
  <si>
    <t>Venta de departamento 2 ambientes en caballito apto profesional - oportunidad inversión</t>
  </si>
  <si>
    <t>Av Rivadavia  al 5200</t>
  </si>
  <si>
    <t>Nazarre 2524</t>
  </si>
  <si>
    <t>CPH7417689</t>
  </si>
  <si>
    <t>Venta - PH - 5 Ambientes - Sin Expensas - Patio - Terraza - Parrilla - Floresta Norte</t>
  </si>
  <si>
    <t>Chivilcoy 1600</t>
  </si>
  <si>
    <t>Argentina | Capital Federal | Floresta | Floresta Norte</t>
  </si>
  <si>
    <t>CAP7449720</t>
  </si>
  <si>
    <t>Venta Departamento Dos Ambientes Palermo Distrito Audivisual</t>
  </si>
  <si>
    <t>Dorrego al 1600</t>
  </si>
  <si>
    <t>Garcia del Rio</t>
  </si>
  <si>
    <t>Garcia Del Rio</t>
  </si>
  <si>
    <t>CAP6953247</t>
  </si>
  <si>
    <t>Venta departamento 3 ambientes con balcón en  Belgrano</t>
  </si>
  <si>
    <t>Ciudad de la Paz al 1900</t>
  </si>
  <si>
    <t>VHO5084776</t>
  </si>
  <si>
    <t>Casa en Venta - 5 AMB - Acacias - Puertos del Lago</t>
  </si>
  <si>
    <t>PUERTOS DEL LAGO ACACIAS</t>
  </si>
  <si>
    <t>Argentina | G.B.A. Zona Norte | Escobar | Countries/B.Cerrado (Escobar) | Puertos del Lago | Acacias</t>
  </si>
  <si>
    <t>97Nico</t>
  </si>
  <si>
    <t>Casa en Urquiza</t>
  </si>
  <si>
    <t>Urquiza 2200</t>
  </si>
  <si>
    <t>CLA6980928</t>
  </si>
  <si>
    <t>Terreno en venta en barrio Los Sauces</t>
  </si>
  <si>
    <t>Ruta 52</t>
  </si>
  <si>
    <t>CAP7120955</t>
  </si>
  <si>
    <t>Departamento dos dormitorios frente a Plaza Pringles</t>
  </si>
  <si>
    <t>Semipiso en Rosario con vista a Plaza Pringles</t>
  </si>
  <si>
    <t>Argentina | Santa Fe | Rosario | Centro</t>
  </si>
  <si>
    <t>CHO7522654</t>
  </si>
  <si>
    <t>VENTA- Casa en Rocio del Talar - Pacheco</t>
  </si>
  <si>
    <t>VENTA- Casa en Rocio del Talar - Pacheco - Tigre</t>
  </si>
  <si>
    <t>Argentina | G.B.A. Zona Norte | Tigre | Countries/B.Cerrado (Tigre) | Rocio Del Talar</t>
  </si>
  <si>
    <t>CAP7621023</t>
  </si>
  <si>
    <t xml:space="preserve">VENTA/PERMUTA departamento de 3 dormitorios  </t>
  </si>
  <si>
    <t>Matheu  89</t>
  </si>
  <si>
    <t>Argentina | Neuquen | Capital | Área Centro Oeste</t>
  </si>
  <si>
    <t>CLA7208425</t>
  </si>
  <si>
    <t>VENTA TERRENO - LAS ALPACAS</t>
  </si>
  <si>
    <t>Las alpacas Manzana 1555 lote 7</t>
  </si>
  <si>
    <t>Argentina | Jujuy | Dr Manuel Belgrano | San Salvador De Jujuy | Las Alpacas</t>
  </si>
  <si>
    <t>CLA7690260</t>
  </si>
  <si>
    <t>Terreno en venta Loteo Pucara</t>
  </si>
  <si>
    <t>CAP7533427</t>
  </si>
  <si>
    <t>Departamento en Caballito - 2 ambientes</t>
  </si>
  <si>
    <t>Miró al 500</t>
  </si>
  <si>
    <t>CAP7564009</t>
  </si>
  <si>
    <t>Venta departamento 2 ambientes Palermo</t>
  </si>
  <si>
    <t>Mario Bravo  al 1200</t>
  </si>
  <si>
    <t xml:space="preserve">Libertad 420 - 2 / CB Seniority - Guadalupe y Claudio </t>
  </si>
  <si>
    <t>Libertad 420</t>
  </si>
  <si>
    <t xml:space="preserve">Argentina | Capital Federal | Villa Gral. Mitre </t>
  </si>
  <si>
    <t>JAP7352680</t>
  </si>
  <si>
    <t>VENTA DEPARTAMENTO MONOAMBIENTE CON BALCÓN - PILETA - VILLA PUEYRREDON  APTO CREDITO</t>
  </si>
  <si>
    <t>Nazca al 4500</t>
  </si>
  <si>
    <t>JAP7193820</t>
  </si>
  <si>
    <t xml:space="preserve">Venta Departamento dos ambientes con cochera </t>
  </si>
  <si>
    <t>Av. Brasil al 2300</t>
  </si>
  <si>
    <t xml:space="preserve">Argentina | Capital Federal | Parque Patricios </t>
  </si>
  <si>
    <t>CHO7484778</t>
  </si>
  <si>
    <t>Casa en Venta 5 dormitorios con amplios espacios y comodidades, luminosa! Ceibos puertos del Lago</t>
  </si>
  <si>
    <t>Casa en Venta 5 dormitorios con amplios espacios y comodidades, luminosa! Puertos del Lago Ceibos</t>
  </si>
  <si>
    <t>Argentina | G.B.A. Zona Norte | Escobar | Countries/B.Cerrado (Escobar) | Puertos del Lago | Ceibos</t>
  </si>
  <si>
    <t>CAP7556650</t>
  </si>
  <si>
    <t>Imperdible 2 ambientes con balcón en zona premium de Caballito</t>
  </si>
  <si>
    <t>Ambrosetti al 400</t>
  </si>
  <si>
    <t>CAP7136099</t>
  </si>
  <si>
    <t>Departamento en  VENTA DEPARTAMENTO EN SAAVEDRA</t>
  </si>
  <si>
    <t>CRISOLOGO LARRALDE al 2600</t>
  </si>
  <si>
    <t>CAP7222710</t>
  </si>
  <si>
    <t>Venta Departamento 3 Ambientes  A Reciclar en Palermo</t>
  </si>
  <si>
    <t>Bulnes  al 2100</t>
  </si>
  <si>
    <t>CAP6939464</t>
  </si>
  <si>
    <t>Venta departamento 3 ambientes balcón baulera Muy Luminoso Balvanera</t>
  </si>
  <si>
    <t>Avenida Rivadavia al 2900</t>
  </si>
  <si>
    <t>CHO6947321</t>
  </si>
  <si>
    <t>Casa en  venta Náutico Escobar</t>
  </si>
  <si>
    <t>Libertad al 1300</t>
  </si>
  <si>
    <t>Argentina | G.B.A. Zona Norte | Escobar | Countries/B.Cerrado (Escobar) | Nautico Escobar</t>
  </si>
  <si>
    <t>Mayling CC</t>
  </si>
  <si>
    <t xml:space="preserve">Lote en Venta Mayling CC </t>
  </si>
  <si>
    <t>Chubut 415</t>
  </si>
  <si>
    <t>Argentina | G.B.A. Zona Norte | Pilar | Countries/B.Cerrado (Pilar) | Mayling Club De Campo</t>
  </si>
  <si>
    <t>CHO7759756</t>
  </si>
  <si>
    <t>OPORTUNIDAD CASA EN VENTA LUMINOSA 3 DORM   ESCRITORIO BARRIO CANTON</t>
  </si>
  <si>
    <t>Casa en venta canton norte a estrenar ! 3 dorm + escritorio</t>
  </si>
  <si>
    <t>Argentina | G.B.A. Zona Norte | Escobar | Countries/B.Cerrado (Escobar) | El Canton - Norte</t>
  </si>
  <si>
    <t>CLA7484087</t>
  </si>
  <si>
    <t>Terreno en venta ubicado en Potreros de Quijano - Salta</t>
  </si>
  <si>
    <t>Potreros de Quijano</t>
  </si>
  <si>
    <t>Argentina | Salta | Rosario De Lerma | Campo Quijano</t>
  </si>
  <si>
    <t>CHO7228273</t>
  </si>
  <si>
    <t>Venta Casa 3 Ambientes con Patio en Hurlingham</t>
  </si>
  <si>
    <t>Combate de Pavon al 1000</t>
  </si>
  <si>
    <t xml:space="preserve">Argentina | G.B.A. Zona Oeste | Hurlingham </t>
  </si>
  <si>
    <t>PORTELA al 1700</t>
  </si>
  <si>
    <t>Honduras 3830 5ª 22</t>
  </si>
  <si>
    <t xml:space="preserve">Vidt 1962 </t>
  </si>
  <si>
    <t>CHO7181022</t>
  </si>
  <si>
    <t xml:space="preserve">Casa en  barrio Roma </t>
  </si>
  <si>
    <t>Casa de  3 dormitorios en Barrio Roma</t>
  </si>
  <si>
    <t>CAP7030119</t>
  </si>
  <si>
    <t>VENTA Departamento Viveros II 45m2 Centro San Martin de los Andes</t>
  </si>
  <si>
    <t>Elordi 326 PB</t>
  </si>
  <si>
    <t>CAP7540552</t>
  </si>
  <si>
    <t>Departamento Estilo Francés Espectacular</t>
  </si>
  <si>
    <t>bernardo de irigoyen  al 700</t>
  </si>
  <si>
    <t>CAP7193859</t>
  </si>
  <si>
    <t>Luminoso 3 ambientes con Cocina independiente y lavadero ubicado en La Boca</t>
  </si>
  <si>
    <t>Victorica al 100</t>
  </si>
  <si>
    <t>Argentina | Capital Federal | Villa Urquiza | Urquiza R</t>
  </si>
  <si>
    <t>JPH7233485</t>
  </si>
  <si>
    <t>Venta PH Villa Urquiza patios y terraza</t>
  </si>
  <si>
    <t>Av de los Constituyentes al 4100</t>
  </si>
  <si>
    <t>CAP7531785</t>
  </si>
  <si>
    <t xml:space="preserve">Departamento en VENTA + TERRAZA + COCHERA </t>
  </si>
  <si>
    <t>Olazabal  al 3200</t>
  </si>
  <si>
    <t>CAP7533698</t>
  </si>
  <si>
    <t>Departamento 2 ambientes en Venta en San Fernando</t>
  </si>
  <si>
    <t>Avenida Perón al 1700</t>
  </si>
  <si>
    <t>Argentina | G.B.A. Zona Norte | San Fernando | San Fernando</t>
  </si>
  <si>
    <t>CAP7557679</t>
  </si>
  <si>
    <t>Venta departamento de un dormitorio y balcón en 4 y 63 - LA PLATA</t>
  </si>
  <si>
    <t>CHO7508348</t>
  </si>
  <si>
    <t>OPORTUNIDAD APTO CRÉDITO - Casa en Venta a Refaccionar en Santa Teresa</t>
  </si>
  <si>
    <t>Argentina | G.B.A. Zona Norte | Tigre | Countries/B.Cerrado (Tigre) | Villanueva | Santa Teresa</t>
  </si>
  <si>
    <t>CAP7353470</t>
  </si>
  <si>
    <t>VENTA DEPARTAMENTO 3 AMBIENTES CON PATIO - PALERMO BOTÁNICO</t>
  </si>
  <si>
    <t>Araoz  al 2600</t>
  </si>
  <si>
    <t>N/C - ORO 2631</t>
  </si>
  <si>
    <t>VENTA DPTO 2 AMBIENTES PALERMO NUEVO</t>
  </si>
  <si>
    <t>Fray Justo Sta. María de Oro 2631</t>
  </si>
  <si>
    <t>Argentina | Capital Federal | Palermo | Palermo Nuevo</t>
  </si>
  <si>
    <t>NEUQUEN al 1800</t>
  </si>
  <si>
    <t>CLA6306352</t>
  </si>
  <si>
    <t>Terreno  de 436m2 en Dina Huapi con vista al Cerro Leones</t>
  </si>
  <si>
    <t>Dina Hue, Dina Huapi</t>
  </si>
  <si>
    <t>Argentina | Rio Negro | Pilcaniyeu | Dina Huapi</t>
  </si>
  <si>
    <t>Uvemvi casa venta punta compradora</t>
  </si>
  <si>
    <t>Colonia N-E</t>
  </si>
  <si>
    <t>Terreno Colonia N-E</t>
  </si>
  <si>
    <t>Colonia Nueva Esperanza</t>
  </si>
  <si>
    <t>Argentina | G.B.A. Zona Oeste | Tres De Febrero | Ciudadela</t>
  </si>
  <si>
    <t>CLA6250391</t>
  </si>
  <si>
    <t>CLA6250401</t>
  </si>
  <si>
    <t>CAP7562650</t>
  </si>
  <si>
    <t>MONOAMBIENTE IDEAL INVERSIÓN Y PROFESIONALES</t>
  </si>
  <si>
    <t>Larrea al 1200</t>
  </si>
  <si>
    <t>CHO7502803</t>
  </si>
  <si>
    <t>VENTA CASA EN EL BARRIO EL CAZADOR ESCOBAR</t>
  </si>
  <si>
    <t>MIGUEL  CANE al 3300</t>
  </si>
  <si>
    <t>Argentina | G.B.A. Zona Norte | Escobar | Barrio El Cazador</t>
  </si>
  <si>
    <t>CAP7415128</t>
  </si>
  <si>
    <t>Departamento 4 Ambientes - 2 Baños Completos - Al Frente</t>
  </si>
  <si>
    <t>Julián Álvarez al 2200</t>
  </si>
  <si>
    <t>JAP7640907</t>
  </si>
  <si>
    <t>Departamento en venta 2 ambientes c/ BALCÓN! Excelente estado!</t>
  </si>
  <si>
    <t>Av. Independencia al 1300</t>
  </si>
  <si>
    <t>CBU60233 AP6592806</t>
  </si>
  <si>
    <t>Venta Departamento Monoambiente vista al lago a 5 minutos del centro</t>
  </si>
  <si>
    <t>Avenida Pioneros, San Carlos de Bariloche</t>
  </si>
  <si>
    <t>CAP7128899</t>
  </si>
  <si>
    <t>Venta departamento mendoza</t>
  </si>
  <si>
    <t>San Martin al 100</t>
  </si>
  <si>
    <t>CHO7104751</t>
  </si>
  <si>
    <t>Casa en Venta - Barrio Portico del Sol 1 - Mendoza</t>
  </si>
  <si>
    <t>Barrio Portico del Sol 1</t>
  </si>
  <si>
    <t>CAP7575735</t>
  </si>
  <si>
    <t xml:space="preserve">Departamento dos ambientes Centro de Bariloche </t>
  </si>
  <si>
    <t>Departamento dos ambientes en Vicealmirante o´connor  al 600</t>
  </si>
  <si>
    <t>CBU59332 AP7065680</t>
  </si>
  <si>
    <t>Departamento en  venta de 2 ambientes en Villa Urquiza CABA</t>
  </si>
  <si>
    <t>Zado  al 3500 -1°  Villa Urquiza</t>
  </si>
  <si>
    <t>Argentina | G.B.A. Zona Sur | Lomas De Zamora (Partido) | Temperley</t>
  </si>
  <si>
    <t>111Lily</t>
  </si>
  <si>
    <t>Casa en Esperanza</t>
  </si>
  <si>
    <t>jj Paso 997 - Esperanza</t>
  </si>
  <si>
    <t>Argentina | Santa Fe | Las Colonias | Esperanza</t>
  </si>
  <si>
    <t>CAP7330720</t>
  </si>
  <si>
    <t>Venta de Departamento 3 ambientes a refaccionar en Monte Castro</t>
  </si>
  <si>
    <t>Alvarez Jonte al 5100</t>
  </si>
  <si>
    <t xml:space="preserve">Argentina | Capital Federal | Monte Castro </t>
  </si>
  <si>
    <t>CLA7240665</t>
  </si>
  <si>
    <t xml:space="preserve">Terreno en Arroyo Leyes </t>
  </si>
  <si>
    <t>Terreno con financiación en Arroyo Leyes</t>
  </si>
  <si>
    <t>CBU60233 AP6592940</t>
  </si>
  <si>
    <t>Departamento Dos Ambientes con vista al lago a 5 minutos del centro</t>
  </si>
  <si>
    <t xml:space="preserve">Reserva Venta Ada 25 de mayo 1343, Ubicate Transferencia </t>
  </si>
  <si>
    <t>110Beti</t>
  </si>
  <si>
    <t>Terreno Los Duendes</t>
  </si>
  <si>
    <t>Los duendes 2763</t>
  </si>
  <si>
    <t>CLA7318565</t>
  </si>
  <si>
    <t>VENTA Lote/Terreno 1.630 m2, B° Las Marías del Valle, San Martín de los Andes</t>
  </si>
  <si>
    <t>Ruta 40 Km 2232</t>
  </si>
  <si>
    <t>N/C - VALDENEGRO</t>
  </si>
  <si>
    <t>VENTA LOTE VILLA URQUIZA</t>
  </si>
  <si>
    <t>VALDENEGRO 3257</t>
  </si>
  <si>
    <t>Murature 5125</t>
  </si>
  <si>
    <t>CAP6982259</t>
  </si>
  <si>
    <t>CAP7547308</t>
  </si>
  <si>
    <t xml:space="preserve">Espectacular 3 amb + dep balcon corrido SUPER luminoso! </t>
  </si>
  <si>
    <t>Laprida  al 1700</t>
  </si>
  <si>
    <t>CAP7070530</t>
  </si>
  <si>
    <t>Departamento en venta - Lanús Este - Zona centrica</t>
  </si>
  <si>
    <t>Tucumán al 1100</t>
  </si>
  <si>
    <t>CAP7250198</t>
  </si>
  <si>
    <t>Departamento - 42m2 - 2ambientes</t>
  </si>
  <si>
    <t>Ituzaingo  al 1400</t>
  </si>
  <si>
    <t>CAP7318425</t>
  </si>
  <si>
    <t>DEPARTAMENTO EN VENTA 3 AMBIENTES EN COLGIALES</t>
  </si>
  <si>
    <t>Moldes  al 1400</t>
  </si>
  <si>
    <t>CLA7679978</t>
  </si>
  <si>
    <t>VENTA TERRENO LOS PERALES - LAS LECHUZAS</t>
  </si>
  <si>
    <t>las lechuzas</t>
  </si>
  <si>
    <t>Argentina | Jujuy | Dr Manuel Belgrano | San Salvador De Jujuy | Los Perales</t>
  </si>
  <si>
    <t>CLA7681714</t>
  </si>
  <si>
    <t>VENTA TERRENO  Alto Comedero cerca Nueva Terminal</t>
  </si>
  <si>
    <t>Terreno Alto Comedero cerca Nueva Terminal</t>
  </si>
  <si>
    <t>Argentina | Jujuy | Dr Manuel Belgrano | San Salvador De Jujuy | Alto Comedero</t>
  </si>
  <si>
    <t>CAP7370515</t>
  </si>
  <si>
    <t>Departamento en Barracas</t>
  </si>
  <si>
    <t>Finoquieto al 900</t>
  </si>
  <si>
    <t>CAP6459164</t>
  </si>
  <si>
    <t>VENTA DEPARTAMENTO DE 3 AMBIENTES EN BELGRANO</t>
  </si>
  <si>
    <t>Av Ricardo Balbin al 2300</t>
  </si>
  <si>
    <t>OP 219</t>
  </si>
  <si>
    <t>Bouchard</t>
  </si>
  <si>
    <t>CAP7414169</t>
  </si>
  <si>
    <t>VENTA MONO AMBIENTE DIVIDIDO LUMINOSO CABALLITO</t>
  </si>
  <si>
    <t>Pumacahua 33</t>
  </si>
  <si>
    <t>Departamento en Boedo</t>
  </si>
  <si>
    <t>AAP7313768</t>
  </si>
  <si>
    <t>Juncal al 4500</t>
  </si>
  <si>
    <t>CAP7270402</t>
  </si>
  <si>
    <t xml:space="preserve">Departamento Monoambiente en Recoleta </t>
  </si>
  <si>
    <t>ARENALES  al 1900</t>
  </si>
  <si>
    <t>CLA7320742</t>
  </si>
  <si>
    <t>Terreno en venta ubicado en Loteo Pucara - Salta</t>
  </si>
  <si>
    <t xml:space="preserve">Loteo Pucara </t>
  </si>
  <si>
    <t>CGA7580372</t>
  </si>
  <si>
    <t>Cochera en Santa Fe</t>
  </si>
  <si>
    <t>2 unidades de Cochera en Irigoyen Freyre al 2700</t>
  </si>
  <si>
    <t>CAP6745128</t>
  </si>
  <si>
    <t>Venta Departamento 2 ambientes en Paternal</t>
  </si>
  <si>
    <t>Avda San Martin  al 2900</t>
  </si>
  <si>
    <t>Argentina | Mendoza | Maipu | Maipu</t>
  </si>
  <si>
    <t>Impacto Pro</t>
  </si>
  <si>
    <t>Argentina | G.B.A. Zona Sur | Lomas De Zamora (Partido) | Lomas De Zamora | Lomas de Zamora Oeste</t>
  </si>
  <si>
    <t>CAP6788779</t>
  </si>
  <si>
    <t>DEPARTAMENTO TIPO DUPLEX DE 3 AMB , CON COCHERA  APTO CREDITO</t>
  </si>
  <si>
    <t>Pujol al 1000</t>
  </si>
  <si>
    <t>CHO7520957</t>
  </si>
  <si>
    <t>Casa en venta ubicada en Zona Alto La Loma</t>
  </si>
  <si>
    <t>Ramon Acosta 1400</t>
  </si>
  <si>
    <t>Argentina | Capital Federal | Flores | Flores Norte</t>
  </si>
  <si>
    <t>inmueble ubicada en Calle Las Palomas 355 de la ciudad de San Martin de los Andes Pcia. De Neuquén, nomenclatura catastral 15-20-052-1475-0000, Propiedad que posee en venta la profesional Laura C. Pargade, Corredora Inmobiliaria, Mat. 801 del CMyCPN,</t>
  </si>
  <si>
    <t>Las Palomas 355</t>
  </si>
  <si>
    <t>Argentina | Neuquen | Lacar | San Martin De Los Andes | Villa Vega Maipú</t>
  </si>
  <si>
    <t>AAP7339968</t>
  </si>
  <si>
    <t>Departamento monoambiente en Monserrat</t>
  </si>
  <si>
    <t>chile al 600</t>
  </si>
  <si>
    <t>Profesional Referido (70%)</t>
  </si>
  <si>
    <t>CBU65913 AP7520489</t>
  </si>
  <si>
    <t>Venta de Departamento 2 ambientes con balcón en Agronomía</t>
  </si>
  <si>
    <t>Argentina | G.B.A. Zona Norte | San Isidro | Arboris Las Lomas</t>
  </si>
  <si>
    <t>CHO6429916</t>
  </si>
  <si>
    <t>VENTA Casa 2habitaciones 72m2 Lote 180m2 PH Valle Chapelco a terminar Chacra 26 San Martín de los Andes</t>
  </si>
  <si>
    <t>Lote 3 A, Mza 18,</t>
  </si>
  <si>
    <t>Argentina | Neuquen | Lacar | San Martin De Los Andes | Chacra 28</t>
  </si>
  <si>
    <t>Argentina | G.B.A. Zona Oeste | Moron | Moron | Moron Sur</t>
  </si>
  <si>
    <t>Argentina | Santa Fe | La Capital | Barrio Sur</t>
  </si>
  <si>
    <t>CAP7642722</t>
  </si>
  <si>
    <t>Monoambiente Full Amenities en venta - Montserrat</t>
  </si>
  <si>
    <t>Alsina al 1200</t>
  </si>
  <si>
    <t>CHO7440485</t>
  </si>
  <si>
    <t>VENTA CASA 4 AMBIENTES PREMIUM CON PATIO Y QUINCHO</t>
  </si>
  <si>
    <t>Fragata Presidente Sarmiento al 600</t>
  </si>
  <si>
    <t>CAP6526820</t>
  </si>
  <si>
    <t xml:space="preserve">Departamento Ideal para renta, Venta 3 dormitorios y cochera </t>
  </si>
  <si>
    <t>Ideal para renta, Departamento 3 dormitorios y cochera</t>
  </si>
  <si>
    <t>Argentina | Santa Fe | La Capital | Santo Tome | Sargento Cabral</t>
  </si>
  <si>
    <t xml:space="preserve">Argentina | Rio Negro | General Fernandez Oro </t>
  </si>
  <si>
    <t>CHO7645745</t>
  </si>
  <si>
    <t>Importante casa en venta en Maipú. A dos cuadras plaza departamental.</t>
  </si>
  <si>
    <t>Tropero Sosa  al 100</t>
  </si>
  <si>
    <t>CAP7511974</t>
  </si>
  <si>
    <t>Departamento 2 amb. en venta en Saavedra.</t>
  </si>
  <si>
    <t>Superi al 3500</t>
  </si>
  <si>
    <t>CHO6893764</t>
  </si>
  <si>
    <t xml:space="preserve">VENTA DE CASA MULTIFAMILIAR </t>
  </si>
  <si>
    <t>Venta De  2  Casas Thames y Joaquin V. Gonzalez al 700.</t>
  </si>
  <si>
    <t>Argentina | G.B.A. Zona Norte | San Isidro | Boulogne Sur Mer</t>
  </si>
  <si>
    <t>CAP7666597</t>
  </si>
  <si>
    <t>Departamento en venta ubicado en Barrio Docente - Salta</t>
  </si>
  <si>
    <t>Barrio El Docente</t>
  </si>
  <si>
    <t>Argentina | Salta | Capital | Salta | Bo.Docente</t>
  </si>
  <si>
    <t>CLA7308252</t>
  </si>
  <si>
    <t>VENTA Lote/Terreno  UF5 756 m2 Faldeo del Bayo Villa La Angostura</t>
  </si>
  <si>
    <t>Calle 25, Villa La Angostura, Neuquén, Argentina al 900</t>
  </si>
  <si>
    <t>Argentina | Neuquen | Villa La Angostura | Faldeo Del Bayo</t>
  </si>
  <si>
    <t>CHO7356458</t>
  </si>
  <si>
    <t>Venta triplex 5 amb con pileta en Olivos</t>
  </si>
  <si>
    <t>Capitan Justo G Bermudez al 3100</t>
  </si>
  <si>
    <t>OP 242</t>
  </si>
  <si>
    <t>242 Peron 2754 6 B</t>
  </si>
  <si>
    <t>Argentina | G.B.A. Zona Oeste | Moron | Haedo</t>
  </si>
  <si>
    <t>CGA7572952</t>
  </si>
  <si>
    <t>Venta, Cochera, Retiro, Microcentro</t>
  </si>
  <si>
    <t>Juncal  al 800</t>
  </si>
  <si>
    <t>CAP7447284</t>
  </si>
  <si>
    <t>Venta de departamento en San Martin de los andes</t>
  </si>
  <si>
    <t>Belgrano 19</t>
  </si>
  <si>
    <t>Dpto Salguero</t>
  </si>
  <si>
    <t>Salguero</t>
  </si>
  <si>
    <t>SANCHEZ DE BUSTAMANTE</t>
  </si>
  <si>
    <t xml:space="preserve">SANCHEZ DE BUSTAMANTE </t>
  </si>
  <si>
    <t>Argentina | Capital Federal | Belgrano | Belgrano C</t>
  </si>
  <si>
    <t>Argentina | Capital Federal | Nuñez | L.De Nuñez</t>
  </si>
  <si>
    <t>CHO7145158</t>
  </si>
  <si>
    <t>CASA INTERNA EN BARRIO RECOLETA - SANTIAGO DEL ESTERO 2600</t>
  </si>
  <si>
    <t>OPORTUNIDAD, interno único en Recoleta!!!</t>
  </si>
  <si>
    <t>Argentina | Santa Fe | La Capital | Santa Fe | Recoleta</t>
  </si>
  <si>
    <t>CAP7546968</t>
  </si>
  <si>
    <t>VENTA DUPLEX AMOBLADO CAÑITAS</t>
  </si>
  <si>
    <t>Arevalo al 2700</t>
  </si>
  <si>
    <t>Argentina | Santa Fe | La Capital | Santa Fe | Centro</t>
  </si>
  <si>
    <t>Argentina | G.B.A. Zona Norte | Tigre | Countries/B.Cerrado (Tigre) | Nordelta | El Palmar | Chateau del Palmar</t>
  </si>
  <si>
    <t>Argentina | G.B.A. Zona Norte | Pilar | Countries/B.Cerrado (Pilar) | Medal Country club</t>
  </si>
  <si>
    <t>CAP7057081</t>
  </si>
  <si>
    <t>Venta 4 ambientes en Monserrat</t>
  </si>
  <si>
    <t>Peru al 500</t>
  </si>
  <si>
    <t>CCO55382 AP6516822</t>
  </si>
  <si>
    <t>Venta/Alquiler Departamento 2 Ambientes - Vilahaus, Ayres Vila</t>
  </si>
  <si>
    <t>Venta/ Alquiler Departamento 2 Ambientes - Vilahaus, Ayres Vila</t>
  </si>
  <si>
    <t xml:space="preserve">Argentina | Rio Negro | Cipolletti </t>
  </si>
  <si>
    <t>Ayres Plaza</t>
  </si>
  <si>
    <t>Terreno en Venta en Ayres Plaza</t>
  </si>
  <si>
    <t>Chile 849 - La Lonja</t>
  </si>
  <si>
    <t>Argentina | G.B.A. Zona Norte | Pilar | Countries/B.Cerrado (Pilar) | Ayres Plaza</t>
  </si>
  <si>
    <t>CHO7452542</t>
  </si>
  <si>
    <t xml:space="preserve">Casa centrica San Rafael </t>
  </si>
  <si>
    <t>MAIPU  al 800</t>
  </si>
  <si>
    <t>CHO7208393</t>
  </si>
  <si>
    <t>VENTA CASA DIQUE LA CIENEGA</t>
  </si>
  <si>
    <t>Dique La cienga</t>
  </si>
  <si>
    <t xml:space="preserve">Argentina | Jujuy | El Carmen </t>
  </si>
  <si>
    <t>CLA7345390</t>
  </si>
  <si>
    <t>Terreno en venta en Urbanización Los Robles</t>
  </si>
  <si>
    <t>Urbanizacion Los Robles</t>
  </si>
  <si>
    <t xml:space="preserve">Argentina | Salta | Rosario De Lerma </t>
  </si>
  <si>
    <t>CAP6486354</t>
  </si>
  <si>
    <t>Departamento en venta ubicado en calle Gorriti 80 - Salta</t>
  </si>
  <si>
    <t xml:space="preserve">Gorriti 80 </t>
  </si>
  <si>
    <t>10-F/UF13 ubicado en Callejón de Bello al 300 SMA</t>
  </si>
  <si>
    <t>Argentina | Neuquen | Lacar | San Martin De Los Andes | Villa Vega San Martin</t>
  </si>
  <si>
    <t xml:space="preserve">Argentina | Capital Federal | Floresta </t>
  </si>
  <si>
    <t>CAP7325942</t>
  </si>
  <si>
    <t>Venta Departamento 2 Ambientes a Estrenar en Barrancas de Paso del Rey</t>
  </si>
  <si>
    <t>lujan 400</t>
  </si>
  <si>
    <t>Argentina | G.B.A. Zona Oeste | Moreno | Paso Del Rey</t>
  </si>
  <si>
    <t xml:space="preserve">Juramento 3121 </t>
  </si>
  <si>
    <t>Tacuari al 300</t>
  </si>
  <si>
    <t>Argentina | G.B.A. Zona Norte | Escobar | Loma Verde</t>
  </si>
  <si>
    <t>N/C - BILLINGHURST 1935</t>
  </si>
  <si>
    <t xml:space="preserve">VENTA DPTO 4 AMBIENTES RECICLADO </t>
  </si>
  <si>
    <t>Billinghurst 1935</t>
  </si>
  <si>
    <t>CAP7438857</t>
  </si>
  <si>
    <t>Propiedad de 2 dptos  de 2 dormitorios en Alvear 3976</t>
  </si>
  <si>
    <t>Oportunidad en Barrio Candioti: dos departamentos en una sola propiedad.</t>
  </si>
  <si>
    <t>Argentina | Santa Fe | La Capital | Candioti</t>
  </si>
  <si>
    <t>CAP7259417</t>
  </si>
  <si>
    <t>Venta Palermo - Monoambiente con Balcon y Pileta</t>
  </si>
  <si>
    <t>Julian Alvarez  al 900</t>
  </si>
  <si>
    <t>CPN67252 AP7421127</t>
  </si>
  <si>
    <t>En Venta Departamento en pozo con amenities Barrio Privado Águila Mora Melipal Bariloche</t>
  </si>
  <si>
    <t>Barrio Melipal, San Carlos de Bariloche</t>
  </si>
  <si>
    <t>J. V. Gonzalez 2823 - Leo Maroni - Remax Suma</t>
  </si>
  <si>
    <t>J. V. Gonzalez 2823</t>
  </si>
  <si>
    <t xml:space="preserve">Argentina | G.B.A. Zona Sur | Lanús </t>
  </si>
  <si>
    <t>CLA7387500</t>
  </si>
  <si>
    <t>Terreno en venta ubicado en Cielos del Valle - Ruta 68 - Salta</t>
  </si>
  <si>
    <t xml:space="preserve">Cielos del Valle </t>
  </si>
  <si>
    <t>CBA59141 LA7272078</t>
  </si>
  <si>
    <t>CBA59141 LA7754025</t>
  </si>
  <si>
    <t>VENTA Lote/terreno 387,39 m2 Loteo Quetrihue, Selva Triste, Villa la Angostura</t>
  </si>
  <si>
    <t>Vuelta de Obligado  al 2700</t>
  </si>
  <si>
    <t>CAP7399911</t>
  </si>
  <si>
    <t>Venta departamento 3 ambientes con balcon y cochera en Belgrano</t>
  </si>
  <si>
    <t>Olzabal  al 1800</t>
  </si>
  <si>
    <t>CHO7277233</t>
  </si>
  <si>
    <t>VENTA Casa 1350 m2 B Ruca Hue sobre lote 1350m2 San Martin de los Andes</t>
  </si>
  <si>
    <t>Web Coldwell-Banker</t>
  </si>
  <si>
    <t>Lote 11 mza. I, Ruca Hue , San Martin de los Andes</t>
  </si>
  <si>
    <t>CAP7532611</t>
  </si>
  <si>
    <t>Departamento en Venta Rincón Veneto Barrio Cerrado</t>
  </si>
  <si>
    <t>Elpidio Gonzalez  al 4100</t>
  </si>
  <si>
    <t>Argentina | Mendoza | Guaymallen | Jesus Nazareno</t>
  </si>
  <si>
    <t>CLA4698257</t>
  </si>
  <si>
    <t>Lote en venta zona norte Santa Fe</t>
  </si>
  <si>
    <t>Lote en venta zona Norte Santa Fe</t>
  </si>
  <si>
    <t>Argentina | G.B.A. Zona Norte | Tigre | Don Torcuato</t>
  </si>
  <si>
    <t>ASAMBLEA 4083  PISO 2 UNIDAD B</t>
  </si>
  <si>
    <t>Argentina | G.B.A. Zona Oeste | Tres De Febrero | Santos Lugares</t>
  </si>
  <si>
    <t>CAP7678551</t>
  </si>
  <si>
    <t>Departamento DOS DORMITORIOS - Pozo Entrega 08-2026</t>
  </si>
  <si>
    <t>JUJUY 3100</t>
  </si>
  <si>
    <t>CAP7345302</t>
  </si>
  <si>
    <t>Venta departamento 1 ambiente Villa Crespo Subte B</t>
  </si>
  <si>
    <t>Av corrientes  al 4600</t>
  </si>
  <si>
    <t xml:space="preserve">UF N° 1 de aproximadamente 567 mt2, parte del Loteo denominado Zona “B” Quetrihue en trámite de subdivisión - ubicado en Avenida Quetrihue y Amancay, nomenclatura catastral (lote madre): 16-20-63-5683 </t>
  </si>
  <si>
    <t>CAP7524551</t>
  </si>
  <si>
    <t>Venta - Departamento al frente en Flores - Balcón - Laundry</t>
  </si>
  <si>
    <t>Tandil  al 2500</t>
  </si>
  <si>
    <t>CPH7298803</t>
  </si>
  <si>
    <t>Venta PH 3 ambientes en Paternal</t>
  </si>
  <si>
    <t>Espinosa al 2200</t>
  </si>
  <si>
    <t>CAP6924352</t>
  </si>
  <si>
    <t>Excelente Departamento en Belgrano R - 3 Dormitorios con Dependencia</t>
  </si>
  <si>
    <t>Zapiola  al 2000</t>
  </si>
  <si>
    <t>VPN53619 HO5687821</t>
  </si>
  <si>
    <t>Casa 4 AMB en Las Margaritas Village - Pilar</t>
  </si>
  <si>
    <t>Casa en Las Margaritas Village</t>
  </si>
  <si>
    <t>CAP6499456</t>
  </si>
  <si>
    <t>DEPARTAMENTO PREVENTA - MONOAMBIENTE - SANTOS LUGARES - CASEROS - SAENZ PEÑA - A ESTRENAR</t>
  </si>
  <si>
    <t>Asamblea  al 4000</t>
  </si>
  <si>
    <t>Magnus</t>
  </si>
  <si>
    <t>CBA59141 LA7272080</t>
  </si>
  <si>
    <t>CHO7409833</t>
  </si>
  <si>
    <t>VENTA CASA 3 Ambientes a Reciclar en Moreno - OPORTUNIDAD</t>
  </si>
  <si>
    <t>Gervasio de Posadas al 1200</t>
  </si>
  <si>
    <t>Argentina | G.B.A. Zona Oeste | Moreno | Moreno</t>
  </si>
  <si>
    <t>CAP7606176</t>
  </si>
  <si>
    <t>Venta Departamento monoambiente Villa Crespo Apto Credito Hipotecario</t>
  </si>
  <si>
    <t>Castillo 100</t>
  </si>
  <si>
    <t>CPH7059354</t>
  </si>
  <si>
    <t>Espectacular PH triplex con terraza pileta y parrilla SUPER LUMINOSO</t>
  </si>
  <si>
    <t>Bonpland  al 1500</t>
  </si>
  <si>
    <t>CAP6649576</t>
  </si>
  <si>
    <t>Venta - Departamento - 3 ambientes - Frente - Balcón - Balvanera - Apto Crédito - Permuta</t>
  </si>
  <si>
    <t xml:space="preserve">Bartolome Mitre 2400 </t>
  </si>
  <si>
    <t>JAP7019058</t>
  </si>
  <si>
    <t xml:space="preserve">Departamento de 2 amb a estrenar! en Venta </t>
  </si>
  <si>
    <t>Crisologo Larralde  al 2700</t>
  </si>
  <si>
    <t>CHO7678463</t>
  </si>
  <si>
    <t>comodoro Pí al 200</t>
  </si>
  <si>
    <t>JAP7124267</t>
  </si>
  <si>
    <t>DUPLEX APTO CREDITO CON COCHERA FIJA CUBIERTA Y BAULERAS  BALCON ATERRAZADO CON PARRILLA PROPIA</t>
  </si>
  <si>
    <t>AV BALBIN al 2300</t>
  </si>
  <si>
    <t>Argentina | G.B.A. Zona Norte | Escobar | Ingeniero Maschwitz</t>
  </si>
  <si>
    <t>Nieves (ex Group Black)</t>
  </si>
  <si>
    <t>Departamento en Palermo 3 ambientes</t>
  </si>
  <si>
    <t xml:space="preserve">Sanchez de Bustamante 1818 </t>
  </si>
  <si>
    <t>CHO6752521</t>
  </si>
  <si>
    <t>Casa en venta 3 dormitorios San Sebastian Area 8</t>
  </si>
  <si>
    <t>Barrio San Sebastian Area 8</t>
  </si>
  <si>
    <t>CAP7396095</t>
  </si>
  <si>
    <t>Departamento 2 ambientes en oportunidad apto turismo Bariloche</t>
  </si>
  <si>
    <t>Las Victorias, San Carlos de Bariloche</t>
  </si>
  <si>
    <t>Argentina | Rio Negro | Bariloche | San Carlos De Bariloche | Las Victorias</t>
  </si>
  <si>
    <t>CHO6069960</t>
  </si>
  <si>
    <t>CASA CON PARQUE Y PILETA EN ESCOBAR LOMA VERDE BARRIO CERRADO</t>
  </si>
  <si>
    <t>BOOTE 1400 LOMA VERDE ESCOBAR</t>
  </si>
  <si>
    <t>CAP6946019</t>
  </si>
  <si>
    <t>Departamento 3 ambientes en venta en San Isidro APTO CREDITO</t>
  </si>
  <si>
    <t>Av Santa Fe al 400</t>
  </si>
  <si>
    <t>Argentina | G.B.A. Zona Norte | San Isidro | Acassuso | Acas.-Vias/Santa Fe</t>
  </si>
  <si>
    <t>Argentina | Neuquen | Capital | Santa Genoveva</t>
  </si>
  <si>
    <t>CAP7277078</t>
  </si>
  <si>
    <t>VENTA Departamento 3 ambientes con dependencia - Almagro</t>
  </si>
  <si>
    <t>Gascón 700</t>
  </si>
  <si>
    <t>Arregui 6827</t>
  </si>
  <si>
    <t>CAP7062877</t>
  </si>
  <si>
    <t>Departamento en Olivos - PERMUTA</t>
  </si>
  <si>
    <t>Av. Maipú al 1800</t>
  </si>
  <si>
    <t>CAP7547179</t>
  </si>
  <si>
    <t>Departamento - Belgrano - Venta - Apto Credito</t>
  </si>
  <si>
    <t>Cespedes al 2400</t>
  </si>
  <si>
    <t>AAP5803086</t>
  </si>
  <si>
    <t>Departamento en venta. 1 ambiente. Parque chacabuco.  AMENITIES PREMIUM</t>
  </si>
  <si>
    <t>Zelarrayan  al 1600</t>
  </si>
  <si>
    <t>CLA7693021</t>
  </si>
  <si>
    <t>Terreno interno en Azzurra Tortugas</t>
  </si>
  <si>
    <t>Sector 4, Azzurra Tortugas 44</t>
  </si>
  <si>
    <t>Argentina | G.B.A. Zona Norte | Pilar | Manuel Alberti | Azzurra Tortugas</t>
  </si>
  <si>
    <t>CPH7360399</t>
  </si>
  <si>
    <t>PH 3 Ambientes en Venta en San Martin</t>
  </si>
  <si>
    <t>Lincoln al 4300</t>
  </si>
  <si>
    <t>Tilbury</t>
  </si>
  <si>
    <t xml:space="preserve">Lote en venta en Tilbury Pilara </t>
  </si>
  <si>
    <t>Panamericana Km 56,5 - Pilar</t>
  </si>
  <si>
    <t>Argentina | G.B.A. Zona Norte | Pilar | Countries/B.Cerrado (Pilar) | Pilara</t>
  </si>
  <si>
    <t>CHO7091027</t>
  </si>
  <si>
    <t>Excelente casa, muy bien ubicada</t>
  </si>
  <si>
    <t>San Lorenzo  al 900</t>
  </si>
  <si>
    <t>Argentina | G.B.A. Zona Sur | La Plata | Manuel B Gonnet</t>
  </si>
  <si>
    <t>CAP6695473</t>
  </si>
  <si>
    <t>VENTA Departamento 2 ambientes UF9 74m2 Manzano Bay ViewVista al Lago Amenities Villa La Angostura</t>
  </si>
  <si>
    <t>Av. Arrayanes al 7000</t>
  </si>
  <si>
    <t>Argentina | Neuquen | Villa La Angostura | Pto.Manzano</t>
  </si>
  <si>
    <t>CAP7044601</t>
  </si>
  <si>
    <t>Departamento 2 dormitorios a estrenar  5 cuadras de la costanera Santafesina.</t>
  </si>
  <si>
    <t>DEPARTAMENTO A ESTRENAR 2 DORMITORIOS  - AVELLANEDA 5300</t>
  </si>
  <si>
    <t xml:space="preserve">LOTE 3 de la MZA 19, Nomenclatura Catastral 15-21-85-19-9671 con superficies aproximadas de 1.000 m2 ubicado en el barrio denominado “Kaleuche Alto” </t>
  </si>
  <si>
    <t>CAP7475003</t>
  </si>
  <si>
    <t>Monoambiente dividido en Plaza San Martín, Retiro. ideal inversión.</t>
  </si>
  <si>
    <t>Esmeralda y M.T de Alvear, Plaza San Martín. Ideal inversión.</t>
  </si>
  <si>
    <t>CAP7532603</t>
  </si>
  <si>
    <t>Dpto en Venta - Calle Perito Moreno</t>
  </si>
  <si>
    <t>Perito Moreno</t>
  </si>
  <si>
    <t>Casa Gus-LeoSfeir</t>
  </si>
  <si>
    <t>Argentina | Neuquen | Confluencia | Plottier</t>
  </si>
  <si>
    <t>CLA7228259</t>
  </si>
  <si>
    <t>Venta Terreno 177 M2 Oportunidad en Villa Martelli</t>
  </si>
  <si>
    <t>General Juan Lavalle  al 4500</t>
  </si>
  <si>
    <t>Argentina | G.B.A. Zona Norte | Vicente López | Villa Martelli</t>
  </si>
  <si>
    <t>CHO7189662</t>
  </si>
  <si>
    <t>Venta Casa Quinta en Moreno - Inversión - Vivienda</t>
  </si>
  <si>
    <t>Islas Baleares al 500</t>
  </si>
  <si>
    <t>CLA7206904</t>
  </si>
  <si>
    <t>Terreno en venta Yala los nogales</t>
  </si>
  <si>
    <t xml:space="preserve">pedro ortiz de zarate los nogales Yala </t>
  </si>
  <si>
    <t>Argentina | Jujuy | Dr Manuel Belgrano | Yala</t>
  </si>
  <si>
    <t>CHO7109657</t>
  </si>
  <si>
    <t>APTO CREDITO - Casa en Venta 3 AMB</t>
  </si>
  <si>
    <t>Las Margaritas  al 1000</t>
  </si>
  <si>
    <t>AAA6577559</t>
  </si>
  <si>
    <t>Casa en VENTA de 3 habitaciones | Barrio Las Tipas, Nordelta | Tigre</t>
  </si>
  <si>
    <t>Casa en venta de 3 habitaciones | Las Tipas, Nordelta | Tigre</t>
  </si>
  <si>
    <t>Argentina | G.B.A. Zona Norte | Tigre | Countries/B.Cerrado (Tigre) | Nordelta | Las Tipas</t>
  </si>
  <si>
    <t>CHO7374306</t>
  </si>
  <si>
    <t>Casa 2 dormitorios con Cochera en Villa Luzuriaga APTO CRÉDITO</t>
  </si>
  <si>
    <t>Santander  al 2900</t>
  </si>
  <si>
    <t>Argentina | G.B.A. Zona Oeste | La Matanza | Villa Luzuriaga</t>
  </si>
  <si>
    <t>CHO7425854</t>
  </si>
  <si>
    <t>Casa en venta Santa Inés Canning</t>
  </si>
  <si>
    <t>Argentina | G.B.A. Zona Sur | Esteban Echeverria | Countries/B.Cerrado (E. Echeverría) | Santa Ines</t>
  </si>
  <si>
    <t>CAP7135488</t>
  </si>
  <si>
    <t>Departamento 4 ambientes con dependencia COCHERA y BAULERA en  Villa Urquiza R</t>
  </si>
  <si>
    <t>Av Olazabal al 4400</t>
  </si>
  <si>
    <t>UF 5 Loteo B Quetrihue</t>
  </si>
  <si>
    <t>Bv, quetrihue y amancay</t>
  </si>
  <si>
    <t>CHO7372693</t>
  </si>
  <si>
    <t>VENTA Casa UF1 Terreno 172,24m2 43,92m2 San Martin de los Andes</t>
  </si>
  <si>
    <t>Los Tobianos y LosTordillos</t>
  </si>
  <si>
    <t>CAP7446187</t>
  </si>
  <si>
    <t xml:space="preserve">Departamento Semi Piso de 4 Ambientes al frente </t>
  </si>
  <si>
    <t>Av Libertad  al 3500</t>
  </si>
  <si>
    <t>Argentina | Costa Atlantica | Mar Del Plata | La Perla Norte</t>
  </si>
  <si>
    <t>VILLA LOS LAGOS</t>
  </si>
  <si>
    <t>Argentina | G.B.A. Zona Norte | Tigre | Countries/B.Cerrado (Tigre) | Nordelta | Los Lagos</t>
  </si>
  <si>
    <t>VHO6339418</t>
  </si>
  <si>
    <t>Casa en venta Canton Golf en tranquilo cul de sac  5 amb   piscina</t>
  </si>
  <si>
    <t>Libertad al 300</t>
  </si>
  <si>
    <t>Argentina | G.B.A. Zona Norte | Escobar | Countries/B.Cerrado (Escobar) | El Canton - Golf</t>
  </si>
  <si>
    <t>IAP2037434</t>
  </si>
  <si>
    <t>Departamento 3 ambientes con entrepiso - San Isidro</t>
  </si>
  <si>
    <t>Diego Palma al 100</t>
  </si>
  <si>
    <t>CLA7016064</t>
  </si>
  <si>
    <t>LOTE EN VENTA EN BALVANERA, HABILITADO Y FUNCIONANDO COMO HOTEL</t>
  </si>
  <si>
    <t>Alsina  al 2600</t>
  </si>
  <si>
    <t>Argentina | Mendoza | Capital | Mendoza | Primera Seccion</t>
  </si>
  <si>
    <t>Godoy Cruz 145 - Remax Uno - Sol Lorenzo</t>
  </si>
  <si>
    <t xml:space="preserve">Godoy Cruz 145 </t>
  </si>
  <si>
    <t xml:space="preserve">AV. SAN MARTIN 749 </t>
  </si>
  <si>
    <t>San Alfonso</t>
  </si>
  <si>
    <t>Casa en venta Barrio San Alfonso Pilar de Este</t>
  </si>
  <si>
    <t xml:space="preserve">Argentina | G.B.A. Zona Norte | Pilar | Countries/B.Cerrado (Pilar) | Pilar Del Este | San Alfonso </t>
  </si>
  <si>
    <t>CHO7188981</t>
  </si>
  <si>
    <t>Casa a la venta Barrio San Sebastian Area 13</t>
  </si>
  <si>
    <t>Barrio San Sebastian - Área 13</t>
  </si>
  <si>
    <t>CAP7585526</t>
  </si>
  <si>
    <t>Venta Departamento 2 Ambientes en Caballito</t>
  </si>
  <si>
    <t>Hualfin  al 800</t>
  </si>
  <si>
    <t>CAP7574052</t>
  </si>
  <si>
    <t>Venta Monoambiente Villa Devoto con cochera</t>
  </si>
  <si>
    <t>Carlos Antonio López al 3300</t>
  </si>
  <si>
    <t>CAP6582362</t>
  </si>
  <si>
    <t>Venta Departamento Monoambiente Apto turismo a 5 minutos del centro</t>
  </si>
  <si>
    <t>Argentina | Rio Negro | Bariloche | San Carlos De Bariloche | Los Cipresales</t>
  </si>
  <si>
    <t>CHO7419960</t>
  </si>
  <si>
    <t>Casa en venta - piscina - a estrenar - Pilar del Este, San Ramiro</t>
  </si>
  <si>
    <t xml:space="preserve">Argentina | G.B.A. Zona Norte | Pilar | Countries/B.Cerrado (Pilar) | Pilar Del Este | San Ramiro </t>
  </si>
  <si>
    <t>CHO7550770</t>
  </si>
  <si>
    <t>VENTA - Casas de Santa Ana - Villanueva</t>
  </si>
  <si>
    <t>VENTA- Casas de Santa Ana - Villanueva</t>
  </si>
  <si>
    <t>Argentina | G.B.A. Zona Norte | Tigre | Countries/B.Cerrado (Tigre) | Villanueva | Casas de Santa Ana</t>
  </si>
  <si>
    <t>IAP1229983</t>
  </si>
  <si>
    <t>Oficina en amplio monoambiente luminoso - Estudio de la Bahia, Nordelta</t>
  </si>
  <si>
    <t>Nordelta</t>
  </si>
  <si>
    <t>Argentina | G.B.A. Zona Norte | Tigre | Countries/B.Cerrado (Tigre) | Nordelta | Bahia Grande | Estudio de la Bahia</t>
  </si>
  <si>
    <t>COF6241792</t>
  </si>
  <si>
    <t>Oficina en Recoleta</t>
  </si>
  <si>
    <t>Av. Santa Fe al 2600</t>
  </si>
  <si>
    <t>CHO6898718</t>
  </si>
  <si>
    <t>B° Santa Angela III Casa en Venta</t>
  </si>
  <si>
    <t>Santa Angela</t>
  </si>
  <si>
    <t>MONROE 4352</t>
  </si>
  <si>
    <t>Monroe 4352</t>
  </si>
  <si>
    <t>CHO7402231</t>
  </si>
  <si>
    <t>Terreno en venta con propiedad a demoler</t>
  </si>
  <si>
    <t>Av. Moreno  74</t>
  </si>
  <si>
    <t xml:space="preserve">Argentina | Mendoza | San Rafael </t>
  </si>
  <si>
    <t>CPN57379 LA6447276</t>
  </si>
  <si>
    <t>Terreno - Los Hornos</t>
  </si>
  <si>
    <t>Terreno en VENTA, Barrio PRIVADO, Solares, Calle 83 y 139</t>
  </si>
  <si>
    <t>Argentina | G.B.A. Zona Sur | La Plata | Los Hornos</t>
  </si>
  <si>
    <t>Santiago Tarsitano</t>
  </si>
  <si>
    <t>CCO69115 AP7662412</t>
  </si>
  <si>
    <t>VENTA Monoambiente 39m2 Parque y Cochera Altos de Radal centro Villa La Angostura</t>
  </si>
  <si>
    <t>Millaqueo y michay</t>
  </si>
  <si>
    <t xml:space="preserve">Argentina | Neuquen | Villa La Angostura </t>
  </si>
  <si>
    <t>CAP4631415</t>
  </si>
  <si>
    <t>VENTA Oportunidad! Depto 2amb 43m2 céntrico a estrenar, con gas Villa la Angostura</t>
  </si>
  <si>
    <t>Millaqueo Y Michay, Villa la Angostura</t>
  </si>
  <si>
    <t>Argentina | Neuquen | Villa La Angostura | El Once</t>
  </si>
  <si>
    <t>CAP7300711</t>
  </si>
  <si>
    <t>Venta Departamento de 4 ambientes con cochera</t>
  </si>
  <si>
    <t>Sanchez de Bustamante al 1200</t>
  </si>
  <si>
    <t>CAP7508422</t>
  </si>
  <si>
    <t>VENTA DEPARTAMENTO DUPLEX 4 AMBIENTES CON COCHERA EN BELGRANO</t>
  </si>
  <si>
    <t>leopoldo basavilvaso al 900</t>
  </si>
  <si>
    <t>CAP6814487</t>
  </si>
  <si>
    <t>Venta Departamento 3 ambientes balcón frente amenities Palermo</t>
  </si>
  <si>
    <t>Mansilla  al 3000</t>
  </si>
  <si>
    <t>Argentina | G.B.A. Zona Norte | Pilar | Countries/B.Cerrado (Pilar) | Saravi Village</t>
  </si>
  <si>
    <t>VHO6939563</t>
  </si>
  <si>
    <t>Casa en  Barrio San Andres - Apto Crédito</t>
  </si>
  <si>
    <t>Venta Barrio San Andres - APTO CREDITO</t>
  </si>
  <si>
    <t>Argentina | G.B.A. Zona Norte | Tigre | Countries/B.Cerrado (Tigre) | Villanueva | San Andres</t>
  </si>
  <si>
    <t>CHO7572187</t>
  </si>
  <si>
    <t>Casa 4 amb en Venta Apto Credito, Parque Alvear I, Tortuguitas</t>
  </si>
  <si>
    <t>Luis Maria Drago  al 800</t>
  </si>
  <si>
    <t>Argentina | G.B.A. Zona Norte | Malvinas Argentinas | Tortuguitas | P.Alvear</t>
  </si>
  <si>
    <t>CAP7059176</t>
  </si>
  <si>
    <t xml:space="preserve">Departamento 3 amb + escritorio + balcon reciclado luminoso! </t>
  </si>
  <si>
    <t>Austria al 2100</t>
  </si>
  <si>
    <t>CAP7273230</t>
  </si>
  <si>
    <t>VENTA DEPARTAMENTO 2 AMBIENTES BALCON PALERMO</t>
  </si>
  <si>
    <t>Serrano al 1400</t>
  </si>
  <si>
    <t>Database</t>
  </si>
  <si>
    <t>CLA7563667</t>
  </si>
  <si>
    <t>Terreno en San Roque</t>
  </si>
  <si>
    <t>Terreno interno en Avellaneda  al 5200</t>
  </si>
  <si>
    <t>Argentina | Santa Fe | La Capital | Santa Fe | San Roque</t>
  </si>
  <si>
    <t>AAP4683443</t>
  </si>
  <si>
    <t>Venta Departamento de 1 ambiente con balcón en PALERMO</t>
  </si>
  <si>
    <t>Angel Justiniano Carranza al 1300, esquina Av. Córdoba</t>
  </si>
  <si>
    <t>AAP4683438</t>
  </si>
  <si>
    <t>Venta, monoambiente con Balcón en Palermo</t>
  </si>
  <si>
    <t>Angel Justiniano Carranza al 1300, esquina Av. Córdoba.</t>
  </si>
  <si>
    <t>CHO4766806</t>
  </si>
  <si>
    <t>Casa interna en venta en Mayoraz</t>
  </si>
  <si>
    <t>Casa interna  en venta en Mayoraz</t>
  </si>
  <si>
    <t>Argentina | Santa Fe | La Capital | Santa Fe | Mayoraz</t>
  </si>
  <si>
    <t>Op. con Ivan Vidal MAT. N° 316. LOTE 806,57 M2 barrio Los Manzanos NC: 15-21-061-5242-0000</t>
  </si>
  <si>
    <t>CAP7416851</t>
  </si>
  <si>
    <t>Monoambiente con patio OPORTUNIDAD Bariloche</t>
  </si>
  <si>
    <t>CAP7070477</t>
  </si>
  <si>
    <t>Luminoso Departamento en Liniers</t>
  </si>
  <si>
    <t>Dr. Angel Roffo  7029</t>
  </si>
  <si>
    <t>CPH7513451</t>
  </si>
  <si>
    <t>venta Ph  2 amb con patio apto credito Villa ortuzar</t>
  </si>
  <si>
    <t>Giribone al 1300</t>
  </si>
  <si>
    <t>Medrano 1029</t>
  </si>
  <si>
    <t>Venta Departamento piso de 5 ambientes con 3 habitaciones de servicio y 2 cocheras</t>
  </si>
  <si>
    <t>Federico Lacroze 2339, piso 4to</t>
  </si>
  <si>
    <t>Argentina | Neuquen | Villa La Angostura | Tres Cerros</t>
  </si>
  <si>
    <t>CBA59141 LA6467972</t>
  </si>
  <si>
    <t>CBA59141 LA7558630</t>
  </si>
  <si>
    <t>VENTA Lote/terreno 407,04 m2, Loteo Quetrihue, Selvana Triste, Villa la Angostura</t>
  </si>
  <si>
    <t>CAP7448605</t>
  </si>
  <si>
    <t>Venta Departamento Piso de 5 Ambientes con 3 Hab de Servicio y 2 Cocheras - Imponente</t>
  </si>
  <si>
    <t>Federico Lacroze al 2300</t>
  </si>
  <si>
    <t>CAP6956247</t>
  </si>
  <si>
    <t>Departamento 2 dormitorios con posibilidad de 3, dependencia - APTO CREDITO</t>
  </si>
  <si>
    <t>Medrano  al 300</t>
  </si>
  <si>
    <t>Venta dpto</t>
  </si>
  <si>
    <t>Gral Paz 13061</t>
  </si>
  <si>
    <t>Argentina | G.B.A. Zona Oeste | La Matanza | Lomas Del Mirador</t>
  </si>
  <si>
    <t>CAP6629745</t>
  </si>
  <si>
    <t>VENTA DEPARTAMENTO 2 AMBIENTES LUMINOSO EN BALVANERA</t>
  </si>
  <si>
    <t>Catamarca  al 400</t>
  </si>
  <si>
    <t>CAP7559188</t>
  </si>
  <si>
    <t>Venta Departamento 3 Ambientes en Caballito</t>
  </si>
  <si>
    <t>Honorio Pueyrredon  al 1000</t>
  </si>
  <si>
    <t>Argentina | Capital Federal | Caballito | Cid Campeador</t>
  </si>
  <si>
    <t>CLA6679557</t>
  </si>
  <si>
    <t>Terreno en Venta Martinez - 310 m2 - Permuta</t>
  </si>
  <si>
    <t>Sáenz Valiente al 1700, Martínez, San Isidro</t>
  </si>
  <si>
    <t>CLA6227580</t>
  </si>
  <si>
    <t xml:space="preserve">Terreno en  Venta Santa Pilar del Este. Financia </t>
  </si>
  <si>
    <t>Argentina | G.B.A. Zona Norte | Pilar | Countries/B.Cerrado (Pilar) | Pilar Del Este</t>
  </si>
  <si>
    <t>CLA6969938</t>
  </si>
  <si>
    <t>Terreno en La Meseta Centenario</t>
  </si>
  <si>
    <t>Calle S/N</t>
  </si>
  <si>
    <t>CHO6873701</t>
  </si>
  <si>
    <t>Casa en  venta</t>
  </si>
  <si>
    <t>Capilla del Rosario, Guaymallén</t>
  </si>
  <si>
    <t>Argentina | Mendoza | Guaymallen | Capilla Del Rosario</t>
  </si>
  <si>
    <t>Argentina | G.B.A. Zona Sur | Lomas De Zamora (Partido) | Banfield | Banfield Este</t>
  </si>
  <si>
    <t>CLA7371666</t>
  </si>
  <si>
    <t>Terreno en venta Lote 564 m2 sobre Avenida Mitre Sarandi Avellaneda</t>
  </si>
  <si>
    <t>Avda Mitre al 3500 sarandi Partido Avellaneda</t>
  </si>
  <si>
    <t>CAP7342139</t>
  </si>
  <si>
    <t>Departamento VENTA Pilar, 2 ambientes con terraza</t>
  </si>
  <si>
    <t>los almendros  al 1200</t>
  </si>
  <si>
    <t>Argentina | G.B.A. Zona Norte | Pilar | Pilar | Pilar Centro</t>
  </si>
  <si>
    <t xml:space="preserve">UNIDAD FUNCIONAL Nº 28 (veintiocho), que corresponde al loteo A. Quetrihue . La Unidad Funcional cuenta con la siguiente superficie: 358,87 m2 </t>
  </si>
  <si>
    <t>UNIDAD FUNCIONAL Nº 27 (veintisiete), que corresponde al “Loteo A”.  Quetrihue. La Unidad Funcional cuenta con la siguiente superficie: 376,81 m2</t>
  </si>
  <si>
    <t>CCO69049 AP7644026</t>
  </si>
  <si>
    <t>la mejor opcion en pozo en TIGRE - Remeros Brickell</t>
  </si>
  <si>
    <t>Esquiu  al 400</t>
  </si>
  <si>
    <t>CLA7680696</t>
  </si>
  <si>
    <t>OPORTUNIDAD!!! REVENTA LOTE 790m2 ALMAHUE PILAR sector House 1</t>
  </si>
  <si>
    <t>ALMAHUE PILAR - REVENTA LOTE Sector TACO 2</t>
  </si>
  <si>
    <t>JAP7480601</t>
  </si>
  <si>
    <t>VENTA DEPARTAMENTO 3 AMBIENTES - COCHERA - AMENITIES - ASTOR PALERMO</t>
  </si>
  <si>
    <t>Beruti  al 3300</t>
  </si>
  <si>
    <t>CHO7340791</t>
  </si>
  <si>
    <t>Preciosa casa en venta</t>
  </si>
  <si>
    <t>Lateral Este Ruta Nacional 40 Acceso Sur Y Calle Olavarría</t>
  </si>
  <si>
    <t>Argentina | Mendoza | Lujan De Cuyo | Perdriel</t>
  </si>
  <si>
    <t>Los Raulies 450</t>
  </si>
  <si>
    <t>Argentina | Neuquen | Lacar | San Martin De Los Andes | Los Robles</t>
  </si>
  <si>
    <t>CAP7554058</t>
  </si>
  <si>
    <t>VENTA DEPARTAMENTO 2 AMBIENTES EN RECOLETA</t>
  </si>
  <si>
    <t>Arenales al 1500</t>
  </si>
  <si>
    <t>CHO7481969</t>
  </si>
  <si>
    <t>Venta Casa 4 dormitorios en Villa Marina II</t>
  </si>
  <si>
    <t>Vila Marina II</t>
  </si>
  <si>
    <t>Argentina | G.B.A. Zona Norte | Tigre | Countries/B.Cerrado (Tigre) | Vila Marina II</t>
  </si>
  <si>
    <t>CAP7224119</t>
  </si>
  <si>
    <t>VENTA 3 AMBIENTES RECICLADO A NUEVO.  LISTO PARA ENTRAR EN SAN TELMO</t>
  </si>
  <si>
    <t>Carlos Calvo al 600</t>
  </si>
  <si>
    <t>CPH7138386</t>
  </si>
  <si>
    <t>PH 2 AMBIENTES CON ALTILLO Y TERRAZA</t>
  </si>
  <si>
    <t>Florida al 600, Valentin Alsina</t>
  </si>
  <si>
    <t>Argentina | G.B.A. Zona Sur | Lanús | Valentin Alsina</t>
  </si>
  <si>
    <t>CGA7659656</t>
  </si>
  <si>
    <t>COCHERA EN VENTA VILLA URQUIZA</t>
  </si>
  <si>
    <t>Av. Congreso al 4300</t>
  </si>
  <si>
    <t>CPH7482046</t>
  </si>
  <si>
    <t>VENTA PH 2 AMBIENTES VILLA SANTA RITA</t>
  </si>
  <si>
    <t>Enrique de Vedia al 2000</t>
  </si>
  <si>
    <t>JPH7027711</t>
  </si>
  <si>
    <t>PH - Venta - Parque - 3 ambientes - Villa Lynch - Patio</t>
  </si>
  <si>
    <t>Rondeau al 2300</t>
  </si>
  <si>
    <t>Argentina | G.B.A. Zona Norte | General San Martin | Villa Lynch</t>
  </si>
  <si>
    <t>CAP7474209</t>
  </si>
  <si>
    <t>Departamento en  Ciudadela</t>
  </si>
  <si>
    <t>Avenida Republica  al 400</t>
  </si>
  <si>
    <t>Argentina | Rio Negro | General Roca | General Roca</t>
  </si>
  <si>
    <t>CLA7357283</t>
  </si>
  <si>
    <t>Terreno en venta Barrio abedul</t>
  </si>
  <si>
    <t>Castro barros, Lujan de cuyo</t>
  </si>
  <si>
    <t xml:space="preserve">Argentina | Mendoza | Lujan De Cuyo </t>
  </si>
  <si>
    <t>CAP7440232</t>
  </si>
  <si>
    <t>Venta departamento con vista al lago, 5  amb céntrico,  Bariloche</t>
  </si>
  <si>
    <t>CAP4031677</t>
  </si>
  <si>
    <t>Venta - Departamento - Mitre 139 2do E - APTO TURISMO -  Centro - Bariloche</t>
  </si>
  <si>
    <t>Mitre al 100</t>
  </si>
  <si>
    <t>CPH7017249</t>
  </si>
  <si>
    <t>PH en V.Libertad</t>
  </si>
  <si>
    <t>Magaldi  al 5500</t>
  </si>
  <si>
    <t>Argentina | G.B.A. Zona Norte | General San Martin | General San Martin | V.Libertad</t>
  </si>
  <si>
    <t>CAP7267763</t>
  </si>
  <si>
    <t>venta Departamento monoambiente en Monserrat</t>
  </si>
  <si>
    <t>Montevideo al 100</t>
  </si>
  <si>
    <t>CHO6917259</t>
  </si>
  <si>
    <t>Venta 4 Amb. con Jardín en La Mansa, Islas del Golf Nordelta</t>
  </si>
  <si>
    <t xml:space="preserve">Av del Golf 1805 La Mansa Nordelta </t>
  </si>
  <si>
    <t>Argentina | G.B.A. Zona Norte | Tigre | Countries/B.Cerrado (Tigre) | Nordelta | Islas del Golf | La Mansa</t>
  </si>
  <si>
    <t>CLA6752890</t>
  </si>
  <si>
    <t>Terreno en  Barrio Santa Rita</t>
  </si>
  <si>
    <t>TERRENO BARRIO SANTA RITA</t>
  </si>
  <si>
    <t>CAP6872663</t>
  </si>
  <si>
    <t>Departamento en Villa del Parque</t>
  </si>
  <si>
    <t>Avenida Nazca al 2300</t>
  </si>
  <si>
    <t>Argentina | Mendoza | Capital | Mendoza | Quinta Sección</t>
  </si>
  <si>
    <t>Argentina | G.B.A. Zona Norte | Pilar | Countries/B.Cerrado (Pilar) | Pilar Del Este | Santa Lucia</t>
  </si>
  <si>
    <t>CAP7389059</t>
  </si>
  <si>
    <t>Venta Villa Devoto - Semipiso de 3 ambientes con balcón y cochera</t>
  </si>
  <si>
    <t>Sanabria al 2500</t>
  </si>
  <si>
    <t>CHO7367456</t>
  </si>
  <si>
    <t>Casa en Esperanza en Barrio Sur</t>
  </si>
  <si>
    <t>Venta Debenedetti</t>
  </si>
  <si>
    <t>Debenedetti</t>
  </si>
  <si>
    <t>CPH7289966</t>
  </si>
  <si>
    <t>VENTA CASA en La Lucila 6 ambientes con jardin parrilla cocheras</t>
  </si>
  <si>
    <t>Jose ingenieros al 1000</t>
  </si>
  <si>
    <t>N/C - MONROE 3246</t>
  </si>
  <si>
    <t>MONROE 3246</t>
  </si>
  <si>
    <t>O'HIGGINS 2191</t>
  </si>
  <si>
    <t>CHO7532316</t>
  </si>
  <si>
    <t>Venta Casa+ departamento- ideal renta  en San Carlos De Bariloche</t>
  </si>
  <si>
    <t>Nahuel Malal, San Carlos de Bariloche</t>
  </si>
  <si>
    <t>CHO7112702</t>
  </si>
  <si>
    <t>Casa en  Venta</t>
  </si>
  <si>
    <t>Eduardo costas al 2800</t>
  </si>
  <si>
    <t>Argentina | G.B.A. Zona Norte | San Isidro | Martinez | Mart.-Vias/Libert.</t>
  </si>
  <si>
    <t>CLA7467331</t>
  </si>
  <si>
    <t>TERRENO EN VENTA MAIPU CON TOUR VIRTUAL</t>
  </si>
  <si>
    <t>La Florida Lunlunta</t>
  </si>
  <si>
    <t>UC 8</t>
  </si>
  <si>
    <t>Retamas 200</t>
  </si>
  <si>
    <t>UC 7</t>
  </si>
  <si>
    <t>CBU39270 AP7599187</t>
  </si>
  <si>
    <t>VENTA Departamento 80,47m2 Premium  vista y costa de lago UF704 Villa La Angostura</t>
  </si>
  <si>
    <t>Bv.  Quetrihue 338, Barrio Tres cerros, Villa La Angostura - Neuquén</t>
  </si>
  <si>
    <t>Ruiz Huidobro 3737</t>
  </si>
  <si>
    <t xml:space="preserve">Reserva Venta Analia y Remax Lote 13 Mza D Brisas del Nahuel </t>
  </si>
  <si>
    <t>Cd19 lote en zona de bosque Arelauquen</t>
  </si>
  <si>
    <t>CAP7233028</t>
  </si>
  <si>
    <t xml:space="preserve">Duplex en Venta Santa Ana Joven - Villanueva </t>
  </si>
  <si>
    <t>Santa Ana Joven, Villanueva</t>
  </si>
  <si>
    <t>Argentina | G.B.A. Zona Norte | Tigre | Rincon de Milberg | Remeros Beach</t>
  </si>
  <si>
    <t>CAP6928578</t>
  </si>
  <si>
    <t>Venta Depto Tipo Casa con Piscina SUM Propios - Villa Devoto</t>
  </si>
  <si>
    <t>José Cubas al 3900</t>
  </si>
  <si>
    <t>JAP7561322</t>
  </si>
  <si>
    <t>Departamento 3 ambientes. Balcón Corrido frente. Belgrano/Palermo. Zona Embajadas.</t>
  </si>
  <si>
    <t>Maure  al 2200</t>
  </si>
  <si>
    <t>VHO6090362</t>
  </si>
  <si>
    <t>NUEVO VALOR! Venta Casa en Chacras de La Reserva, Campana. APTO CREDITO</t>
  </si>
  <si>
    <t>Chacras de la Reserva</t>
  </si>
  <si>
    <t xml:space="preserve">Argentina | G.B.A. Zona Norte | Campana </t>
  </si>
  <si>
    <t>CAP7341654</t>
  </si>
  <si>
    <t>Departamento 2 dorm. en zona Sur</t>
  </si>
  <si>
    <t>Departamento de 2 dormitorios en barrio Sur</t>
  </si>
  <si>
    <t>CAP7568942</t>
  </si>
  <si>
    <t>Impecable depto 3 ambientes luminoso al frente</t>
  </si>
  <si>
    <t>Angel Justiniano Carranza 2336</t>
  </si>
  <si>
    <t>Cuenca 3815</t>
  </si>
  <si>
    <t>CAP7477747</t>
  </si>
  <si>
    <t>VENTA Monoambiente UF 12, amoblado, céntrico,  Villa La Angostura</t>
  </si>
  <si>
    <t>Pichi Ruca y Av. Huemul</t>
  </si>
  <si>
    <t>Argentina | Neuquen | Villa La Angostura | Las Piedritas</t>
  </si>
  <si>
    <t>CAP7270855</t>
  </si>
  <si>
    <t>Departamento en Esperanza</t>
  </si>
  <si>
    <t>Deoartamento en planta alta, en ciudad de Esperanza</t>
  </si>
  <si>
    <t>CAP7365306</t>
  </si>
  <si>
    <t>Venta departamento 4 ambientes Flores Balcón Cochera Baulera</t>
  </si>
  <si>
    <t>Dr. Juan Felipe Aranguren al 1800</t>
  </si>
  <si>
    <t>CAP7402230</t>
  </si>
  <si>
    <t>Venta departamento 4 ambientes Barrio General Paz Villa Celina con cochera</t>
  </si>
  <si>
    <t>Av.. General Paz 16500</t>
  </si>
  <si>
    <t>Argentina | G.B.A. Zona Oeste | La Matanza | Ciudad Madero | Villa Celina</t>
  </si>
  <si>
    <t>CLA7567107</t>
  </si>
  <si>
    <t>Terreno en Los Perales</t>
  </si>
  <si>
    <t>Calle El Pirpintero Barrio ADIUNJU</t>
  </si>
  <si>
    <t>CPH7351820</t>
  </si>
  <si>
    <t>VENTA PH 3 AMBIENTES + LOCAL EN PARQUE CHACABUCO</t>
  </si>
  <si>
    <t>Riglos al 1000</t>
  </si>
  <si>
    <t>CAP6226086</t>
  </si>
  <si>
    <t>Venta  Depto.3 Ambientes  / con cochera Recoleta</t>
  </si>
  <si>
    <t>Juncal al 2900</t>
  </si>
  <si>
    <t>CAP7037646</t>
  </si>
  <si>
    <t>Departamento en Barrio Casino</t>
  </si>
  <si>
    <t>Barrio Casino</t>
  </si>
  <si>
    <t>Argentina | Salta | Capital | Salta | Bo.Casino</t>
  </si>
  <si>
    <t>CAP6989347</t>
  </si>
  <si>
    <t>Venta 3 ambientes Semi Piso Edificio Kavanagh Retiro Plaza San Martin</t>
  </si>
  <si>
    <t>Florida  al 1000</t>
  </si>
  <si>
    <t>CAP7260400</t>
  </si>
  <si>
    <t>Venta departamento 2 ambientes Villa Crespo</t>
  </si>
  <si>
    <t>THAMES al 500</t>
  </si>
  <si>
    <t>VHO6518561</t>
  </si>
  <si>
    <t>Casa en venta en San Matias a la laguna - A estrenar</t>
  </si>
  <si>
    <t>Area 1 - San Matias - Maschwitz - Escobar</t>
  </si>
  <si>
    <t>CAP7064708</t>
  </si>
  <si>
    <t>Venta Departamento 4 ambientes muy luminoso</t>
  </si>
  <si>
    <t>Jose Ingenieros al 2800</t>
  </si>
  <si>
    <t>DHO2667358</t>
  </si>
  <si>
    <t>Venta Casa 3 dormitorios  -Senderos- Nordelta</t>
  </si>
  <si>
    <t>SENDEROS NORDELTA</t>
  </si>
  <si>
    <t>Argentina | G.B.A. Zona Norte | Tigre | Countries/B.Cerrado (Tigre) | Nordelta | Sendero | Casas del Sendero</t>
  </si>
  <si>
    <t>VAP6085632</t>
  </si>
  <si>
    <t>Venta Departamento Apto Credito! en Tigre Palmas de la Bahía</t>
  </si>
  <si>
    <t>Rincon de Milberg</t>
  </si>
  <si>
    <t>Argentina | G.B.A. Zona Norte | Tigre | Palmas de la Bahía</t>
  </si>
  <si>
    <t>CHO5570523</t>
  </si>
  <si>
    <t>VENTA CASA 5 AMBIENTES C/COCHERA QUINCHO PARRILA 317M2 TOTALES - QUILMES</t>
  </si>
  <si>
    <t>Lavalle  al 1000</t>
  </si>
  <si>
    <t xml:space="preserve">Argentina | G.B.A. Zona Sur | Quilmes </t>
  </si>
  <si>
    <t>CAP6738799</t>
  </si>
  <si>
    <t>Venta Departamento de 3 Ambientes en Villa Luro con Cochera, Baulera y Gran Parque</t>
  </si>
  <si>
    <t>Magariños Cervantes al 4900</t>
  </si>
  <si>
    <t>CAP7239346</t>
  </si>
  <si>
    <t>Venta Departamento 4 ambientes 2 baños Vicente López APTO CREDITO</t>
  </si>
  <si>
    <t>Roca  al 1400</t>
  </si>
  <si>
    <t>CHO7009974</t>
  </si>
  <si>
    <t xml:space="preserve">Casa en B° Santa Rita </t>
  </si>
  <si>
    <t>pasaje 6</t>
  </si>
  <si>
    <t>Argentina | Jujuy | Dr Manuel Belgrano | Barrio Santa Rita</t>
  </si>
  <si>
    <t>Ortega y Gasset 1635 PB 7</t>
  </si>
  <si>
    <t>DEPTO PLAZA ITALIA 2D 80M2</t>
  </si>
  <si>
    <t>Las amapolas 455 -pilar</t>
  </si>
  <si>
    <t>CHO6892523</t>
  </si>
  <si>
    <t>Casa en Venta 3 dormitorios Santa Emilia Pilar del Este</t>
  </si>
  <si>
    <t>Barrio Santa Emilia Pilar del Este</t>
  </si>
  <si>
    <t>Argentina | G.B.A. Zona Norte | Pilar | Countries/B.Cerrado (Pilar) | Pilar Del Este | Santa Emilia</t>
  </si>
  <si>
    <t>CHO6610782</t>
  </si>
  <si>
    <t>CASA 2 DORMITORIOS CLUB HIDRONOR MARI MENUCO VILLA DEL SOL</t>
  </si>
  <si>
    <t>CLUB HIDRONOR VILLA DEL SOL MARI MENUCO</t>
  </si>
  <si>
    <t>Argentina | Neuquen | Confluencia | Mari Menuco</t>
  </si>
  <si>
    <t>AAP7229025</t>
  </si>
  <si>
    <t>Excelente departamento en ALQUILER TEMPORAL</t>
  </si>
  <si>
    <t>Padilla 962</t>
  </si>
  <si>
    <t>CAP7522049</t>
  </si>
  <si>
    <t>juncal al 2100</t>
  </si>
  <si>
    <t>VILLA LOS REMEROS</t>
  </si>
  <si>
    <t>DEPARTAMENTO VILLA LOS REMEROS 3 AMBIENTES</t>
  </si>
  <si>
    <t>VILLA LOS REMEROS TIGRE</t>
  </si>
  <si>
    <t>CAP7330790</t>
  </si>
  <si>
    <t xml:space="preserve">Departamento en Godoy Cruz </t>
  </si>
  <si>
    <t>BALCARCE Y JUAN DE GARAY - DPTO 11</t>
  </si>
  <si>
    <t>CAP7396838</t>
  </si>
  <si>
    <t>Departamento 2 AMBIENTES BELGRANO</t>
  </si>
  <si>
    <t>LA PAMPA  al 2800</t>
  </si>
  <si>
    <t>CAP3574821</t>
  </si>
  <si>
    <t>hermoso departamento 2 ambientes en Antares, Nordelta</t>
  </si>
  <si>
    <t>Antares Senior LIving, Nordelta</t>
  </si>
  <si>
    <t>Argentina | G.B.A. Zona Norte | Tigre | Countries/B.Cerrado (Tigre) | Nordelta | El Portal | Antares</t>
  </si>
  <si>
    <t>VAP7005708</t>
  </si>
  <si>
    <t>Departamento en venta de 2 dormitorios con cochera fija cubierta y amenities en Palermo. Piso alto.</t>
  </si>
  <si>
    <t>Av. Cabildo  66</t>
  </si>
  <si>
    <t>CAP7381728</t>
  </si>
  <si>
    <t>VENTA DEPARTAMENTO 2 AMBIENTES - BALCÓN ATERRAZADO y BAULERA - Villa Crespo</t>
  </si>
  <si>
    <t>Gandhi 700</t>
  </si>
  <si>
    <t>Joaquin V Gonzalez 2744 UF 3</t>
  </si>
  <si>
    <t>CAP5110830</t>
  </si>
  <si>
    <t>VENTA Monoambiente amoblado excelente renta temporario</t>
  </si>
  <si>
    <t>Charcas al 4900</t>
  </si>
  <si>
    <t>CHO7512914</t>
  </si>
  <si>
    <t>VENTA CASA con JARDÍN en Agronomía</t>
  </si>
  <si>
    <t>Cuenca  al 4000</t>
  </si>
  <si>
    <t>MSLORTEGA1637PB7</t>
  </si>
  <si>
    <t>Venta Departamento 2 Ambientes con patio en Las Cañitas</t>
  </si>
  <si>
    <t>Ortega y Gasset al 1600</t>
  </si>
  <si>
    <t>DHO2986986</t>
  </si>
  <si>
    <t>Venta casa 3 ambientes - Aranzazu CC - Escobar</t>
  </si>
  <si>
    <t>Aranzazu</t>
  </si>
  <si>
    <t>Argentina | G.B.A. Zona Norte | Escobar | Countries/B.Cerrado (Escobar) | Aranzazu</t>
  </si>
  <si>
    <t>JLO7507570</t>
  </si>
  <si>
    <t>Venta Local al frente Oportunidad Martinez 100m2</t>
  </si>
  <si>
    <t>Hipolito Yrigoyen  al 1100</t>
  </si>
  <si>
    <t>Departamento en Condominio Civis</t>
  </si>
  <si>
    <t>Departamento en venta 2 ambientes Condominio Civis</t>
  </si>
  <si>
    <t>Hernando de Magallanes 1433 - Tortugas Norte</t>
  </si>
  <si>
    <t>Argentina | G.B.A. Zona Norte | Escobar | Countries/B.Cerrado (Escobar) | Condominio Civis</t>
  </si>
  <si>
    <t>CAP7349163</t>
  </si>
  <si>
    <t>Venta departamento monoambiente Balvanera Once</t>
  </si>
  <si>
    <t>Alsina al 2500</t>
  </si>
  <si>
    <t>Venta Portela</t>
  </si>
  <si>
    <t>Portela 383</t>
  </si>
  <si>
    <t>CLA3970514</t>
  </si>
  <si>
    <t>Venta Terreno - De Los Peinecillos 1186 - Lomas Del Cauquén - Bariloche</t>
  </si>
  <si>
    <t>De Los Peinecillos</t>
  </si>
  <si>
    <t>CLA7526513</t>
  </si>
  <si>
    <t xml:space="preserve">Terreno a la venta sobre calle Alsina </t>
  </si>
  <si>
    <t>ALSINA 2500</t>
  </si>
  <si>
    <t>CAP7560217</t>
  </si>
  <si>
    <t>Departamento en Venta en Martinez de Rosas - Quinta Sección</t>
  </si>
  <si>
    <t>Martinez de Rosas 34</t>
  </si>
  <si>
    <t>CHO7366856</t>
  </si>
  <si>
    <t xml:space="preserve">Casa en venta Barrio Estacion Alvarado </t>
  </si>
  <si>
    <t xml:space="preserve">Estacion Alvarado </t>
  </si>
  <si>
    <t>CAP7320824</t>
  </si>
  <si>
    <t>VENTA Departamento 4 ambientes 84 m2  Lomas del Correntoso, Villa La Angostura</t>
  </si>
  <si>
    <t>Lomas del Correntoso</t>
  </si>
  <si>
    <t>Argentina | Neuquen | Villa La Angostura | Lomas De Correntoso</t>
  </si>
  <si>
    <t>CAP7562911</t>
  </si>
  <si>
    <t>VENTA DEPARTAMENTO 3 AMBIENTES PB CAÑITAS</t>
  </si>
  <si>
    <t>Buolevard Chenaut al 1900</t>
  </si>
  <si>
    <t>CHO7480698</t>
  </si>
  <si>
    <t>Venta Casa 3 ambientes Terraza, Quincho Bajo  Belgrano</t>
  </si>
  <si>
    <t>Miñones al 2100</t>
  </si>
  <si>
    <t>MLA5115176</t>
  </si>
  <si>
    <t>Terreno en  San Pablo</t>
  </si>
  <si>
    <t>B privado Nuevo Mundo Aires de Pedemonte</t>
  </si>
  <si>
    <t>Argentina | Tucumán | Lules | San Pablo</t>
  </si>
  <si>
    <t>Argentina | Mendoza | San Rafael | Las Paredes</t>
  </si>
  <si>
    <t>CAP7065190</t>
  </si>
  <si>
    <t>Departamento   Barrio Norte</t>
  </si>
  <si>
    <t>Av. Pueyrredón  al 900</t>
  </si>
  <si>
    <t>Venta Dpto en Palermo</t>
  </si>
  <si>
    <t>Gorriti 3851</t>
  </si>
  <si>
    <t>CAP7393155</t>
  </si>
  <si>
    <t>Venta Departamento en Palermo</t>
  </si>
  <si>
    <t>Charcas al 3700</t>
  </si>
  <si>
    <t xml:space="preserve">Reserva Venta Lucho y Remax Bustillo km13 Pajaros Azules </t>
  </si>
  <si>
    <t>CHO7333224</t>
  </si>
  <si>
    <t>Higuerillas</t>
  </si>
  <si>
    <t>Lote AiresDelValle Lucas</t>
  </si>
  <si>
    <t>Coronel Diaz 2717</t>
  </si>
  <si>
    <t>Venta Departamento en Martinez</t>
  </si>
  <si>
    <t xml:space="preserve">Juan Jose Paso 292 </t>
  </si>
  <si>
    <t>CPH7212582</t>
  </si>
  <si>
    <t>Ph tipo duplex 2 ambientes límite Villa Pueyrredón Agronomía</t>
  </si>
  <si>
    <t>Vicente Perez Rosales 4096</t>
  </si>
  <si>
    <t>CAP7367834</t>
  </si>
  <si>
    <t>Venta Departamento Loria al 400 Las Lomitas</t>
  </si>
  <si>
    <t>Loria al 400 LOMITAS Lomas de Zamora</t>
  </si>
  <si>
    <t>AAP7331724</t>
  </si>
  <si>
    <t>Departamento 2 ambientes a reciclar</t>
  </si>
  <si>
    <t>Chacabuco al 1000</t>
  </si>
  <si>
    <t>CHO6746457</t>
  </si>
  <si>
    <t>Casa en  VENTA MATUS HOYOS BERMEJO</t>
  </si>
  <si>
    <t>MATUS HOYOS al 3800</t>
  </si>
  <si>
    <t>Argentina | Mendoza | Guaymallen | Bermejo</t>
  </si>
  <si>
    <t xml:space="preserve">UF N° 15 de 400,73m2 parte del Loteo denominado Zona “A” Quetrihue en trámite de subdivisión - ubicado en Avenida Quetrihue y Amancay, nomenclatura catastral (lote madre): 16-20-63-5683 </t>
  </si>
  <si>
    <t>Bvld. Quetrihue y Amancay</t>
  </si>
  <si>
    <t>CAP7355074</t>
  </si>
  <si>
    <t>Venta 2 ambientes. Congreso y Cabildo. A estrenar. Amenities!</t>
  </si>
  <si>
    <t>Congreso y Cabildo</t>
  </si>
  <si>
    <t>CAP7117251</t>
  </si>
  <si>
    <t>VENTA DEPARAMENTO MONOAMBIENTE A ESTRENAR</t>
  </si>
  <si>
    <t>Av Congreso al 2300</t>
  </si>
  <si>
    <t>Aizpurúa 2661</t>
  </si>
  <si>
    <t>CLA6571835</t>
  </si>
  <si>
    <t>Terreno en  Venta en Tupungato</t>
  </si>
  <si>
    <t>La Gloria s/n Lote1</t>
  </si>
  <si>
    <t>Argentina | Mendoza | Tupungato | El Peral</t>
  </si>
  <si>
    <t>CAP7343773</t>
  </si>
  <si>
    <t>Departamento 2 Ambientes en Venta en Belgrano</t>
  </si>
  <si>
    <t>Luis María Campos al 1100</t>
  </si>
  <si>
    <t>CLA7048070</t>
  </si>
  <si>
    <t xml:space="preserve">Terreno en venta, 600m2, Solares del este, Bariloche </t>
  </si>
  <si>
    <t>Solares del Este, San Carlos de Bariloche</t>
  </si>
  <si>
    <t>Argentina | Rio Negro | Bariloche | Solares del este</t>
  </si>
  <si>
    <t>N/C - GALILEO 2475</t>
  </si>
  <si>
    <t xml:space="preserve">VENTA DPTO 4 AMB + DEP </t>
  </si>
  <si>
    <t>GALILEO 2475</t>
  </si>
  <si>
    <t>CHO6810897</t>
  </si>
  <si>
    <t>Casa en venta en fernandez oro</t>
  </si>
  <si>
    <t>joaquina bruno  y los chañares</t>
  </si>
  <si>
    <t>108Emilia</t>
  </si>
  <si>
    <t>Gran Local comercia</t>
  </si>
  <si>
    <t>Rivadavia 2844</t>
  </si>
  <si>
    <t>CAP6117015</t>
  </si>
  <si>
    <t>Duplex Palacio Alcorta - Quincho y pileta privada</t>
  </si>
  <si>
    <t>Juncal 1635 -  Irazoft - sol Lorenzo</t>
  </si>
  <si>
    <t>Juncal 1635</t>
  </si>
  <si>
    <t>Italia 6202</t>
  </si>
  <si>
    <t>Argentina | G.B.A. Zona Norte | General San Martin | Villa Ballester</t>
  </si>
  <si>
    <t>JHO7478242</t>
  </si>
  <si>
    <t>Venta casa 5 ambientes en Florida Oeste con garaje, patio y jardin</t>
  </si>
  <si>
    <t>Coronel Pringles 3736</t>
  </si>
  <si>
    <t>CHO7477551</t>
  </si>
  <si>
    <t>Casa en Zona Sur</t>
  </si>
  <si>
    <t>Zona Sur</t>
  </si>
  <si>
    <t xml:space="preserve">VENTA DEPARTAMENTO </t>
  </si>
  <si>
    <t>Perón 4171 U.F.113</t>
  </si>
  <si>
    <t>CAP7227218</t>
  </si>
  <si>
    <t>Venta semipiso apto credito 2 ambientes 2 balcones</t>
  </si>
  <si>
    <t>Ministro Brin 3460</t>
  </si>
  <si>
    <t>CHO7472441</t>
  </si>
  <si>
    <t>VENTA CASA 4 AMB A LA LAGUNA SAN SEBASTIAN A11</t>
  </si>
  <si>
    <t>Boote y Luis Tagle 1</t>
  </si>
  <si>
    <t>CPH6045394</t>
  </si>
  <si>
    <t>VENTA PH km 5, dos dormitorios, con patio, Bariloche</t>
  </si>
  <si>
    <t>Pinar del Lago, San Carlos de Bariloche</t>
  </si>
  <si>
    <t>Argentina | Rio Negro | Bariloche | San Carlos De Bariloche | Pinar del Lago</t>
  </si>
  <si>
    <t>CPH6761330</t>
  </si>
  <si>
    <t>PH en 32 e/ 1 y 1 bis - San Clemente del Tuyú</t>
  </si>
  <si>
    <t xml:space="preserve">Argentina | Costa Atlantica | San Clemente Del Tuyú </t>
  </si>
  <si>
    <t>CLA6734084</t>
  </si>
  <si>
    <t>Terreno en  Centro Bariloche Permuta</t>
  </si>
  <si>
    <t>CLO6731818</t>
  </si>
  <si>
    <t>VENTA Local en el centro, 45m2 Bariloche</t>
  </si>
  <si>
    <t>CPH6734964</t>
  </si>
  <si>
    <t>VENTA-PH-4AMB - AMPLIO - LUMINOSO - C/TERRAZA - PERMUTA</t>
  </si>
  <si>
    <t>Argerich 2800</t>
  </si>
  <si>
    <t>JAP7112576</t>
  </si>
  <si>
    <t>VENTA Departamento 3 ambientes PB al frente en Villa Urquiza</t>
  </si>
  <si>
    <t>Pacheco  al 2100</t>
  </si>
  <si>
    <t>CGA7621543</t>
  </si>
  <si>
    <t>dpto centro c/ KW</t>
  </si>
  <si>
    <t>CHO7484413</t>
  </si>
  <si>
    <t>VENTA CASA EN VILLA ELENA CORTADERAS MERLO SAN LUIS</t>
  </si>
  <si>
    <t>Avenida Francisco de la Mota y 1 de mayo al 400</t>
  </si>
  <si>
    <t>Argentina | San Luis | Chacabuco | Villa Elena</t>
  </si>
  <si>
    <t>Congreso 2361 uf 24</t>
  </si>
  <si>
    <t>Congreso 2361</t>
  </si>
  <si>
    <t>COF7502573</t>
  </si>
  <si>
    <t>Venta Oficina en Microcentro a metros del Obelico / No apta vivienda</t>
  </si>
  <si>
    <t>Cerrito esquina Avenida Presidente Roque Sáenz Peña</t>
  </si>
  <si>
    <t>Zapiola 969 1 D uf7</t>
  </si>
  <si>
    <t>Pillado 589</t>
  </si>
  <si>
    <t>yrigoyen 2184</t>
  </si>
  <si>
    <t>venta casa irigoyen 2184</t>
  </si>
  <si>
    <t>CHO6457504</t>
  </si>
  <si>
    <t>CASA EN VENTA EN LOTE DE 10 HECTAREAS EN EL DELTA DEL TIGRE EXCELENTE UBICACION EN PRIMERA SECCION</t>
  </si>
  <si>
    <t>Entre Arroyo Helbes y Arroyo Antequera</t>
  </si>
  <si>
    <t>Argentina | G.B.A. Zona Norte | Tigre | Zona Delta Tigre</t>
  </si>
  <si>
    <t xml:space="preserve">Argentina | Capital Federal | Parque Avellaneda </t>
  </si>
  <si>
    <t>CAP7240446</t>
  </si>
  <si>
    <t>VENTA DEPTO 5 AMB DE CATEGORIA COCHERA Y  BAULERA</t>
  </si>
  <si>
    <t>Cerrito  al 1300</t>
  </si>
  <si>
    <t>CAP6883446</t>
  </si>
  <si>
    <t>Venta. Departamento 4 ambientes con jardin, San Isidro</t>
  </si>
  <si>
    <t>Juan Jose Diaz  al 800</t>
  </si>
  <si>
    <t>Argentina | G.B.A. Zona Norte | San Isidro | San Isidro | S.Isi.-Vias/Libert.</t>
  </si>
  <si>
    <t>Anchordoqui 1424</t>
  </si>
  <si>
    <t>CLA7221456</t>
  </si>
  <si>
    <t>Terreno en Venta - Barrio Privado Pasquini - Los Perales</t>
  </si>
  <si>
    <t>Barrio Privado Pasquini - El Picaflor esquina El Pacara- Los Perales.</t>
  </si>
  <si>
    <t>VHO6779670</t>
  </si>
  <si>
    <t>Casa en Venta y Alquiler en Santa Barbara</t>
  </si>
  <si>
    <t>Casa en Venta en el Barrio Santa Barbara</t>
  </si>
  <si>
    <t>CAP7063122</t>
  </si>
  <si>
    <t>Departamento de 3 ambientes con cochera y baulera en COMPLEJO ALRIO</t>
  </si>
  <si>
    <t>Juan carlos Cruz al 100</t>
  </si>
  <si>
    <t>CAP7080556</t>
  </si>
  <si>
    <t xml:space="preserve">DEPARTAMENTO EN VIDALINDADepartamento en  </t>
  </si>
  <si>
    <t>VIDAL 2300</t>
  </si>
  <si>
    <t>Departamento en Altos del Encuentro PB con jardín</t>
  </si>
  <si>
    <t>Argentina | G.B.A. Zona Norte | Tigre | Countries/B.Cerrado (Tigre) | Altos del Encuentro</t>
  </si>
  <si>
    <t>CLA7513332</t>
  </si>
  <si>
    <t>venta de terreno en solares del este</t>
  </si>
  <si>
    <t>CPH7347545</t>
  </si>
  <si>
    <t>PH en venta 3 ambientes con terraza en caballito</t>
  </si>
  <si>
    <t>Dr Nicolás Repetto  al 400</t>
  </si>
  <si>
    <t>Paraguay 430 - 1 7 -RE/MAX - Agustina Gaiña</t>
  </si>
  <si>
    <t>Paraguay 430</t>
  </si>
  <si>
    <t>Departamento en Área Centro Oeste</t>
  </si>
  <si>
    <t xml:space="preserve">Argentina | G.B.A. Zona Norte | San Fernando </t>
  </si>
  <si>
    <t>CAP7231618</t>
  </si>
  <si>
    <t>Venta departamento quinta sección. Inversión asegurada</t>
  </si>
  <si>
    <t>Pueyrredon al 500</t>
  </si>
  <si>
    <t>VOT61512 AP6733374</t>
  </si>
  <si>
    <t>Departamento 2 ambientes en Pilar</t>
  </si>
  <si>
    <t>Joaquin Victor Gonzalez  al 1800</t>
  </si>
  <si>
    <t>Argentina | G.B.A. Zona Norte | Pilar | La Lonja | Chic Village</t>
  </si>
  <si>
    <t>casa ubicada en Los Raulíes 161 , barrio Los Robles, nomenclatura catastral: 15-20-054-3649-0000, con la siguientes superficies aproximadas 115 m2 cubiertos 27m2 descubiertos, con 805 m2 de superficie de  lote</t>
  </si>
  <si>
    <t>CAP7281622</t>
  </si>
  <si>
    <t>VENTA departamento 4 ambientes en Palermo</t>
  </si>
  <si>
    <t>Avenida Raúl Scalabrini Ortiz 2400</t>
  </si>
  <si>
    <t>UF 26 Santa Elena de Pilar del Este</t>
  </si>
  <si>
    <t>CAP6810730</t>
  </si>
  <si>
    <t>VENTA  DEPARTAMENTO 3 AMBIENTES DEPENDENCIA Y COCHERA, VILLA URQUIZA</t>
  </si>
  <si>
    <t>Roosevelt  al 5000</t>
  </si>
  <si>
    <t>CAP7508003</t>
  </si>
  <si>
    <t>Venta Departamento 3 Ambientes  Vista al Río con Cochera en Nuñez</t>
  </si>
  <si>
    <t>Libertador  al 7500</t>
  </si>
  <si>
    <t>CAP7091056</t>
  </si>
  <si>
    <t>Venta - Departamento 4 ambientes con dependencia - cochera y baulera- Caballito</t>
  </si>
  <si>
    <t>Ambrosetti al 200</t>
  </si>
  <si>
    <t>CBU42019 AP4795924</t>
  </si>
  <si>
    <t>Departamento 1 ambiente vista al lago y cochera - Bariloche - Jardín Botánico</t>
  </si>
  <si>
    <t>Tronador al 1700</t>
  </si>
  <si>
    <t>COF6244446</t>
  </si>
  <si>
    <t>venta Oficina EQUIPADA, av. corrientes OPORTUNIDAD</t>
  </si>
  <si>
    <t>Av. Corriente  al 1300</t>
  </si>
  <si>
    <t>CAP7364105</t>
  </si>
  <si>
    <t>Departamento a estrenar 1 dormitorio ERCON en 43 e/ 15 y 16, La Plata</t>
  </si>
  <si>
    <t>43 e/ 15 y 16</t>
  </si>
  <si>
    <t>Operacion diego con Gabriela Bada</t>
  </si>
  <si>
    <t>Departamento en calle Tunuyan, Godoy Cruz</t>
  </si>
  <si>
    <t>COF6748942</t>
  </si>
  <si>
    <t>Oficina en  Venta en Edificio Chacras Park - Chacras de Coria - Mendoza</t>
  </si>
  <si>
    <t>Panamericana s/n</t>
  </si>
  <si>
    <t>CHO7401344</t>
  </si>
  <si>
    <t>Casa en Coronel Dorrego</t>
  </si>
  <si>
    <t>Guayaquil al 200</t>
  </si>
  <si>
    <t>Argentina | Mendoza | Guaymallen | Coronel Dorrego</t>
  </si>
  <si>
    <t xml:space="preserve">Reserva Venta Nayla Dpto Bonomo Tiscornia 274 SS B + Refuerzo </t>
  </si>
  <si>
    <t>BHO1658694</t>
  </si>
  <si>
    <t>Casa - Rancho Grande - Hermoso Entorno Natural</t>
  </si>
  <si>
    <t>Bach J. San al 800</t>
  </si>
  <si>
    <t>Argentina | Rio Negro | Bariloche | San Carlos De Bariloche | Rancho Grande</t>
  </si>
  <si>
    <t>JAP7450413</t>
  </si>
  <si>
    <t>Venta Hermoso Departamento de 3 ambientes c/cochera</t>
  </si>
  <si>
    <t>Virrey Loreto  al 2600</t>
  </si>
  <si>
    <t>CAP6834181</t>
  </si>
  <si>
    <t>Departamento - San Salvador De Jujuy</t>
  </si>
  <si>
    <t>Av. Illia al 600</t>
  </si>
  <si>
    <t>VAP7449626</t>
  </si>
  <si>
    <t>Venta departamento Monoambiente en  Belgrano. Full amenities</t>
  </si>
  <si>
    <t>Aguilar 2200</t>
  </si>
  <si>
    <t>VAP7473314</t>
  </si>
  <si>
    <t>Departamento en venta en Belgrano. Dos ambientes. Full amenities</t>
  </si>
  <si>
    <t>Aguilar 2282. Belgrano</t>
  </si>
  <si>
    <t>Venta Dpto. General Güemes N° 1636</t>
  </si>
  <si>
    <t>General Guemes N°1636</t>
  </si>
  <si>
    <t>Estado de Israel 4537 5 C</t>
  </si>
  <si>
    <t>Departamento en Santo Tome</t>
  </si>
  <si>
    <t xml:space="preserve">Arevalo 1564 </t>
  </si>
  <si>
    <t>CPH7325353</t>
  </si>
  <si>
    <t>Venta PH en Palermo con Terraza propia</t>
  </si>
  <si>
    <t>Arévalo al 1500</t>
  </si>
  <si>
    <t>CPH7353442</t>
  </si>
  <si>
    <t>Venta PH 3 amb en  Barracas.</t>
  </si>
  <si>
    <t>Salmún Feijoo 958</t>
  </si>
  <si>
    <t>CPH7096164</t>
  </si>
  <si>
    <t>VENTA  PH en  Parque Avellaneda</t>
  </si>
  <si>
    <t>MOZART  al 500</t>
  </si>
  <si>
    <t>CLO7598956</t>
  </si>
  <si>
    <t>Venta de Local Comercial con financiación en Paseo Quinquela, Pilar</t>
  </si>
  <si>
    <t>Paseo Quinquela , Quinquela Martin  al 1300</t>
  </si>
  <si>
    <t>Argentina | G.B.A. Zona Norte | Pilar | Villa Rosa</t>
  </si>
  <si>
    <t>Argentina | G.B.A. Zona Norte | Escobar | Countries/B.Cerrado (Escobar) | C.C.Manuel Belgrano</t>
  </si>
  <si>
    <t>CGA6261216</t>
  </si>
  <si>
    <t xml:space="preserve">Cochera en  Recoleta </t>
  </si>
  <si>
    <t>Austria 2000</t>
  </si>
  <si>
    <t>CAP7371180</t>
  </si>
  <si>
    <t>Departamento en Boca</t>
  </si>
  <si>
    <t>Almirante Brown al 200</t>
  </si>
  <si>
    <t>Argentina | G.B.A. Zona Norte | Tigre | General Pacheco | Countries/B. Cerrado (General Pacheco) | Talar Del Lago II</t>
  </si>
  <si>
    <t>CAP7334372</t>
  </si>
  <si>
    <t>VENDO MONOAMBIENTE EN URQUIZA AL FRENTE</t>
  </si>
  <si>
    <t>CAMPILLO  al 3000</t>
  </si>
  <si>
    <t>Av Libertador 6328 piso 15</t>
  </si>
  <si>
    <t xml:space="preserve">Pje Del Signo 4042 </t>
  </si>
  <si>
    <t xml:space="preserve">Juncal 2388 </t>
  </si>
  <si>
    <t>107Stella</t>
  </si>
  <si>
    <t>Departamento en Barrio Sur</t>
  </si>
  <si>
    <t>1 de Mayo 1600 1 C</t>
  </si>
  <si>
    <t>VAP5776863</t>
  </si>
  <si>
    <t>Duplex en Venta de 3 ambientes en el Barrio Altos del Encuentro en Pacheco / Benavidez</t>
  </si>
  <si>
    <t>Departamento 2 dormitorios con parrilla en Barrio Altos del Encuentro en Pacheco / Benavidez</t>
  </si>
  <si>
    <t>CLA7429709</t>
  </si>
  <si>
    <t>Terreno en Plottier</t>
  </si>
  <si>
    <t>sin nombre 0</t>
  </si>
  <si>
    <t>CHO7027346</t>
  </si>
  <si>
    <t>APTO CRÉDITO - Casa 4 AMB en Garín Centro</t>
  </si>
  <si>
    <t>Argentina | G.B.A. Zona Norte | Escobar | Garin | Garin-Centro</t>
  </si>
  <si>
    <t>Depto Calle Grecia 3394, Nuñez</t>
  </si>
  <si>
    <t>Calle Grecia 3394, Nuñez</t>
  </si>
  <si>
    <t>Argentina | Jujuy | Dr Manuel Belgrano | San Salvador De Jujuy | Centro</t>
  </si>
  <si>
    <t>CPH7479563</t>
  </si>
  <si>
    <t>PH en Santa Fe</t>
  </si>
  <si>
    <t>PH a refaccionar en Barrio Maria Selva</t>
  </si>
  <si>
    <t>CBU59833 AP6532354</t>
  </si>
  <si>
    <t>VENTA DEPARTAMENTO 2 AMBIENTES EN POZO SAAVEDRA</t>
  </si>
  <si>
    <t>Pinto  al 4200</t>
  </si>
  <si>
    <t>Billinghurst 329 5B</t>
  </si>
  <si>
    <t>CAP7090066</t>
  </si>
  <si>
    <t>VENTA DEPARTAMENTO CON 1 HABITACIÓN Y BALCÓN EN LAS CAÑITAS</t>
  </si>
  <si>
    <t>Huergo  al 256</t>
  </si>
  <si>
    <t>Argentina | Jujuy | Dr Manuel Belgrano | San Salvador De Jujuy | Chijra</t>
  </si>
  <si>
    <t>CAP7012811</t>
  </si>
  <si>
    <t>Departamento de 2 ambientes con cochera en Venta, Victoria, San Fernando</t>
  </si>
  <si>
    <t>Dorrego al 1300, Victoria, San Fernando</t>
  </si>
  <si>
    <t>CAP6979654</t>
  </si>
  <si>
    <t>Departamento en  CABALLITO NORTE</t>
  </si>
  <si>
    <t>JUAN BAUSTISTA ALBERDI al 800</t>
  </si>
  <si>
    <t>CHO6944460</t>
  </si>
  <si>
    <t>Casa en  Vistalca Country</t>
  </si>
  <si>
    <t>Vistalba Country</t>
  </si>
  <si>
    <t>Argentina | Mendoza | Lujan De Cuyo | Vistalba</t>
  </si>
  <si>
    <t>Departamento de 3 ambientes</t>
  </si>
  <si>
    <t>Lavalle 45</t>
  </si>
  <si>
    <t>CPH7554404</t>
  </si>
  <si>
    <t>Venta PH 4 ambientes terraza Parque Patricios</t>
  </si>
  <si>
    <t>Dr Enrique Finochietto al 2100</t>
  </si>
  <si>
    <t>CHO6817333</t>
  </si>
  <si>
    <t>Casa  3 dormitorios con Pileta en San Ramiro- Pilar del este. Financiacion</t>
  </si>
  <si>
    <t>Casa  3 dormitorios con Pileta en San Ramiro- Pilar del este.</t>
  </si>
  <si>
    <t>CPH7342804</t>
  </si>
  <si>
    <t>VENTA PH en Palermo Soho con gran terraza</t>
  </si>
  <si>
    <t>soler  al 5000</t>
  </si>
  <si>
    <t>CAP7387859</t>
  </si>
  <si>
    <t>VENTA - 2 AMB - A RECICLAR</t>
  </si>
  <si>
    <t>Av. Pueyrredón al 900</t>
  </si>
  <si>
    <t>DAP3511633</t>
  </si>
  <si>
    <t>Departamento 3 Ambientes - Ciudad De Tigre - Sobre Av. Cazon - Excelente Ubicación</t>
  </si>
  <si>
    <t>Av Cazon al 900</t>
  </si>
  <si>
    <t>CAP7407326</t>
  </si>
  <si>
    <t>Venta de Ph en Boedo 3 Ambientes con terraza propia</t>
  </si>
  <si>
    <t>33 Orientales 1800</t>
  </si>
  <si>
    <t>la alameda 235</t>
  </si>
  <si>
    <t>lote venta la alameda 235</t>
  </si>
  <si>
    <t>Barrio Belgrano, San Carlos de Bariloche</t>
  </si>
  <si>
    <t>Argentina | Rio Negro | Bariloche | San Carlos De Bariloche | Belgrano</t>
  </si>
  <si>
    <t>CLO6474959</t>
  </si>
  <si>
    <t>Deposito en Venta en Devoto</t>
  </si>
  <si>
    <t>Tinogasta al 5000</t>
  </si>
  <si>
    <t>Storage</t>
  </si>
  <si>
    <t>VPH6633705</t>
  </si>
  <si>
    <t>PH grande en Segundo Piso - 4 Ambientes - Pedro Goyena Caballito</t>
  </si>
  <si>
    <t>Pedro Goyena  al 1500</t>
  </si>
  <si>
    <t>Juan Manuel de Rosas 470</t>
  </si>
  <si>
    <t>CBU60233 AP6592912</t>
  </si>
  <si>
    <t>INCLAN 4278</t>
  </si>
  <si>
    <t>CAP6890800</t>
  </si>
  <si>
    <t>Departamento en Venta en Almagro - Permuta</t>
  </si>
  <si>
    <t>YAPEYU 83</t>
  </si>
  <si>
    <t>N/C - AMENABAR 2860</t>
  </si>
  <si>
    <t>VENTA DPTO 3 AMBIENTES C BALCON</t>
  </si>
  <si>
    <t>AMENABAR 2860</t>
  </si>
  <si>
    <t>italia 1179</t>
  </si>
  <si>
    <t>italia 1179 1ro c tigre (remax)</t>
  </si>
  <si>
    <t xml:space="preserve"> italia 1179 1ro c tigre (remax)</t>
  </si>
  <si>
    <t>VAP6818742</t>
  </si>
  <si>
    <t>Hermoso Dpto. con Terraza propia con parrilla y 2 Cocheras</t>
  </si>
  <si>
    <t>Laprida al 2400</t>
  </si>
  <si>
    <t>VAP6707301</t>
  </si>
  <si>
    <t>Departamento a la venta 3 ambientes en V. Urquiza - bajas expensas</t>
  </si>
  <si>
    <t>juramento al 4000</t>
  </si>
  <si>
    <t>Argentina | Jujuy | Dr Manuel Belgrano | San Salvador De Jujuy | Bajo La Viña</t>
  </si>
  <si>
    <t>CAP4974245</t>
  </si>
  <si>
    <t>Venta departamento Parque Chacabuco 2 ambientes Apto Crédito</t>
  </si>
  <si>
    <t>Del Barco Centenera al 1800</t>
  </si>
  <si>
    <t>CAP7341637</t>
  </si>
  <si>
    <t>Venta Departamento 3 Ambientes en Colegiales</t>
  </si>
  <si>
    <t>Ciudad de la Paz  al 1300</t>
  </si>
  <si>
    <t>san eliseo golf 414</t>
  </si>
  <si>
    <t>lote venta san elíseo golf 414</t>
  </si>
  <si>
    <t>DEPTO 13  NRO 425 1 PISO</t>
  </si>
  <si>
    <t>N/C - ARIAS 3188</t>
  </si>
  <si>
    <t xml:space="preserve">VENTA DPTO 3 AMBIENTES </t>
  </si>
  <si>
    <t>ARIAS 3188</t>
  </si>
  <si>
    <t>CLA7406739</t>
  </si>
  <si>
    <t>Terreno en Liniers</t>
  </si>
  <si>
    <t>Pieres  al 100</t>
  </si>
  <si>
    <t>CLA7597779</t>
  </si>
  <si>
    <t>Terreno en Zona Sur</t>
  </si>
  <si>
    <t>La Verbena, calle 18</t>
  </si>
  <si>
    <t>CAP7263496</t>
  </si>
  <si>
    <t>Departamento en venta 2 ambientes con balcón muy luminoso</t>
  </si>
  <si>
    <t>Fray Justo Santa Maria de Oro  al 5700</t>
  </si>
  <si>
    <t>Argentina | G.B.A. Zona Oeste | Tres De Febrero | Villa Bosch</t>
  </si>
  <si>
    <t>CAP7329108</t>
  </si>
  <si>
    <t xml:space="preserve">Departamento en venta 3 ambientes en Villa Luro con balcon </t>
  </si>
  <si>
    <t>Rafaela 4957  al 4900</t>
  </si>
  <si>
    <t>Manuel Artigas 5106</t>
  </si>
  <si>
    <t xml:space="preserve">Manuel Artigas 5106 </t>
  </si>
  <si>
    <t>CHO6623586</t>
  </si>
  <si>
    <t>Casa a demoler en Juramento al 1200 (zona R1)</t>
  </si>
  <si>
    <t>JURAMENTO  al 1200</t>
  </si>
  <si>
    <t>CLA7249373</t>
  </si>
  <si>
    <t>Terreno en La Verbena</t>
  </si>
  <si>
    <t>calle 9 Lote 5</t>
  </si>
  <si>
    <t>CAP7175004</t>
  </si>
  <si>
    <t>Venta Departamento 2 ambientes en Palermo Chico</t>
  </si>
  <si>
    <t>Sinclair  al 3100</t>
  </si>
  <si>
    <t>JAP7072396</t>
  </si>
  <si>
    <t>Departamento en  Venta  Caballito 2 ambientes Oportunidad!!!</t>
  </si>
  <si>
    <t>Eleodoro Lobos al 200</t>
  </si>
  <si>
    <t xml:space="preserve">Reserva Venta Referido a Mati Lion Team Referido Leti </t>
  </si>
  <si>
    <t>Tizado</t>
  </si>
  <si>
    <t>Antiguo Camino Manzana 595 UF 2 Parcela 6</t>
  </si>
  <si>
    <t>CAP7259235</t>
  </si>
  <si>
    <t>VENTA MONOAMBIENTE A ESTRENAR - AVELLANEDA - DOMINICO</t>
  </si>
  <si>
    <t>Av. Mitre al 4900</t>
  </si>
  <si>
    <t>Argentina | G.B.A. Zona Sur | Avellaneda | Villa Dominico</t>
  </si>
  <si>
    <t>CPH6952960</t>
  </si>
  <si>
    <t xml:space="preserve">PH en  WILDE sobre Av. Mitre </t>
  </si>
  <si>
    <t>Av Mitre al 6500</t>
  </si>
  <si>
    <t>Argentina | G.B.A. Zona Sur | Avellaneda | Wilde</t>
  </si>
  <si>
    <t>CAP7330154</t>
  </si>
  <si>
    <t>Venta - Departamento - 4 Amb - Frente - Balcon - Belgrano - Apto Credito - Permuta</t>
  </si>
  <si>
    <t>Zabala 2270</t>
  </si>
  <si>
    <t>CLA7520812</t>
  </si>
  <si>
    <t>Terreno en en venta ubicado en el Mollar I - Salta</t>
  </si>
  <si>
    <t>El Mollar I</t>
  </si>
  <si>
    <t>CAP7267223</t>
  </si>
  <si>
    <t>VENTA DEPARTAMENTO 3 AMBIENTES TIGRE EXCLUSIVO APTO CRÉDITO</t>
  </si>
  <si>
    <t>9 de Julio al 800</t>
  </si>
  <si>
    <t>CAP6827786</t>
  </si>
  <si>
    <t>Venta Departamento 3 ambientes con Amenities en Nuñez</t>
  </si>
  <si>
    <t>Tamborini 2600</t>
  </si>
  <si>
    <t>102Maricel</t>
  </si>
  <si>
    <t>Dos casa en una propiedad</t>
  </si>
  <si>
    <t>Avellaneda 4301</t>
  </si>
  <si>
    <t>CAP6705336</t>
  </si>
  <si>
    <t>Venta departamento centro Mendoza</t>
  </si>
  <si>
    <t xml:space="preserve"> Venta departamento Centro MItre  al 1600</t>
  </si>
  <si>
    <t>Argentina | Mendoza | Capital | Mendoza | Segunda Seccion</t>
  </si>
  <si>
    <t>CPH7321625</t>
  </si>
  <si>
    <t>VENTA permuta ph tres ambientes sin expensas refaccionado terraza propia</t>
  </si>
  <si>
    <t>Doctor david peña  al 4117</t>
  </si>
  <si>
    <t>CLA7301795</t>
  </si>
  <si>
    <t>Terreno en las hortensias 2</t>
  </si>
  <si>
    <t>Ruta Nacional 68</t>
  </si>
  <si>
    <t xml:space="preserve">Argentina | Salta | Cerrillos </t>
  </si>
  <si>
    <t>CHO7370784</t>
  </si>
  <si>
    <t>Casa en venta de 3 dormitorios y dpto de 2 dormis en P.A. en Ringuelet</t>
  </si>
  <si>
    <t>Casa en venta de 3 dormitorios y dpto en P.A de 2 dormitorios en Ringuelet 519bis y 3</t>
  </si>
  <si>
    <t>Argentina | G.B.A. Zona Sur | La Plata | La Plata | Ringuelet</t>
  </si>
  <si>
    <t>CHO6904199</t>
  </si>
  <si>
    <t>Casa en Venta calle 15 e 671 y 672 P.Sicardi, La Plata</t>
  </si>
  <si>
    <t>15 entre 671 y 672 Parque Sicardi, La Plata</t>
  </si>
  <si>
    <t>Argentina | G.B.A. Zona Sur | La Plata | Villa Parque Sicardi</t>
  </si>
  <si>
    <t>CPH6929542</t>
  </si>
  <si>
    <t>PH en Venta 2 dormitorios, 2 patios Calle 124 e/ 41 y 42</t>
  </si>
  <si>
    <t>PH en Venta 3 ambientes  con patio Calle 124 entre 41 y 42, Ensenada</t>
  </si>
  <si>
    <t>Argentina | G.B.A. Zona Sur | Ensenada | Ensenada</t>
  </si>
  <si>
    <t>CAP7079869</t>
  </si>
  <si>
    <t>Departamento en  San Martin y Peatonal</t>
  </si>
  <si>
    <t>san martin  al 1000</t>
  </si>
  <si>
    <t>CHO6731981</t>
  </si>
  <si>
    <t>Casa esquina en Cuarta Sección</t>
  </si>
  <si>
    <t>SOLER al 600</t>
  </si>
  <si>
    <t>Argentina | Mendoza | Capital | Mendoza | Cuarta Sección</t>
  </si>
  <si>
    <t>portillo de terrada</t>
  </si>
  <si>
    <t>terreno en venta portillo de terrada</t>
  </si>
  <si>
    <t>Argentina | Mendoza | Lujan De Cuyo | Calle Terrada</t>
  </si>
  <si>
    <t>CAP7293391</t>
  </si>
  <si>
    <t>Departamento - Guaymallen</t>
  </si>
  <si>
    <t>Callejón Bejarano 1</t>
  </si>
  <si>
    <t>Argentina | Mendoza | Capital | Mendoza | Sexta Sección</t>
  </si>
  <si>
    <t>CHO6703424</t>
  </si>
  <si>
    <t xml:space="preserve">Venta Casa Diseño, Barrio Laderas, Chacras de Coria </t>
  </si>
  <si>
    <t xml:space="preserve">Casa Diseño Barrio Laderas Chacras de Coria </t>
  </si>
  <si>
    <t>CAP6904908</t>
  </si>
  <si>
    <t xml:space="preserve">DUPLEX EN ALQUILER  </t>
  </si>
  <si>
    <t>BARRIO SUELOS DE TROPERO</t>
  </si>
  <si>
    <t>Argentina | Mendoza | Maipu | Maipu | Maipu</t>
  </si>
  <si>
    <t>CHO7260376</t>
  </si>
  <si>
    <t>Casa en venta barrio privado en Maipu</t>
  </si>
  <si>
    <t>Casa en venta en Barrio Privado Vista Oliva Maipu Mendoza</t>
  </si>
  <si>
    <t>CLA7087254</t>
  </si>
  <si>
    <t>VENTA PH 3 AMBIENTES A REFACCIONAR PATIO FONDO VILLA GENERAL MITRE CABALLITO FLORES - PERMUTA</t>
  </si>
  <si>
    <t>Galicia al 2000</t>
  </si>
  <si>
    <t>CLA6752117</t>
  </si>
  <si>
    <t>Terreno en  Venta en Barrio Privado - Maipú - Mendoza</t>
  </si>
  <si>
    <t>Calle Palma esq Maza al 700</t>
  </si>
  <si>
    <t>CLA6752150</t>
  </si>
  <si>
    <t>Terreno en  Venta - Barrio Privado Ampros VII - Maipú</t>
  </si>
  <si>
    <t>Videla Castillo 1500</t>
  </si>
  <si>
    <t>CAP6725416</t>
  </si>
  <si>
    <t>Departamento en Capital, Mendoza</t>
  </si>
  <si>
    <t>Mitre  al 2400</t>
  </si>
  <si>
    <t>Argentina | Mendoza | Capital | Mendoza | S1 Parque Central</t>
  </si>
  <si>
    <t>CHO6926364</t>
  </si>
  <si>
    <t>Casa en  Venta en Guaymallén</t>
  </si>
  <si>
    <t>Aristóbulo del Valle al 100</t>
  </si>
  <si>
    <t>Argentina | Mendoza | Guaymallen | San Jose De Guaymallen | San Jose</t>
  </si>
  <si>
    <t>Argentina | Mendoza | Guaymallen | Guaymallén</t>
  </si>
  <si>
    <t>CHO6163176</t>
  </si>
  <si>
    <t>Casa Barrio Lar de Drummond</t>
  </si>
  <si>
    <t>Barrio Lar de Drummond, Lote 1, Mza B, Lujan de Cuyo Mendoza</t>
  </si>
  <si>
    <t>Argentina | Mendoza | Lujan De Cuyo | Lujan De Cuyo | Mayor Drummond</t>
  </si>
  <si>
    <t>Argentina | Mendoza | Godoy Cruz | Villa Hipodromo</t>
  </si>
  <si>
    <t>CAP6606604</t>
  </si>
  <si>
    <t>Departamento en Venta en Ciudad de Mendoza</t>
  </si>
  <si>
    <t>PERU 2245 2 PISO CIUDAD MENDOZA</t>
  </si>
  <si>
    <t>CHO7166721</t>
  </si>
  <si>
    <t>chaco al 3300</t>
  </si>
  <si>
    <t>Casa Vicente Gil</t>
  </si>
  <si>
    <t>Casa en Vicente Gil vendida por Ros a Clientes Americanos</t>
  </si>
  <si>
    <t>Vicente Gil s/n</t>
  </si>
  <si>
    <t>CAP7144179</t>
  </si>
  <si>
    <t>Departamento en Venta Quinta Sección</t>
  </si>
  <si>
    <t>martinez de rosas</t>
  </si>
  <si>
    <t>PH 3 Y 58 Y 58</t>
  </si>
  <si>
    <t>PH 3 ENTRE 58 Y 59</t>
  </si>
  <si>
    <t>DUPLEX 10 523 Y 524</t>
  </si>
  <si>
    <t>DUPLEX 10 523 Y524 TOLOSA</t>
  </si>
  <si>
    <t>Argentina | G.B.A. Zona Sur | La Plata | Tolosa</t>
  </si>
  <si>
    <t>casa</t>
  </si>
  <si>
    <t>casa en venta busqueda</t>
  </si>
  <si>
    <t>CAP7118826</t>
  </si>
  <si>
    <t>Hermoso departamento en venta</t>
  </si>
  <si>
    <t>Republica del Líbano 1500</t>
  </si>
  <si>
    <t>CAP6614590</t>
  </si>
  <si>
    <t>Departamento en  Venta - Barrio Bombal - Mendoza</t>
  </si>
  <si>
    <t>Serú 28</t>
  </si>
  <si>
    <t>CHO6829835</t>
  </si>
  <si>
    <t>Casa en  Venta ciudad de Mendoza</t>
  </si>
  <si>
    <t>Barrio Soberania Nacional,Cabildo de Mendoza s/N, manzana M.</t>
  </si>
  <si>
    <t>CAP6856104</t>
  </si>
  <si>
    <t>Departamento en  Venta - Godoy Cruz - Mendoza</t>
  </si>
  <si>
    <t>Cervantes  al 1400</t>
  </si>
  <si>
    <t>CAP6400240</t>
  </si>
  <si>
    <t>Departamento en venta en  Dorrego Guaymallén</t>
  </si>
  <si>
    <t>Remedios Escalada  al 1200</t>
  </si>
  <si>
    <t>CHO6691838</t>
  </si>
  <si>
    <t>Dos Casas en Bloque a reciclar En Venta calle 527 3 y 4 Tolosa 6 dormitorios La Plata</t>
  </si>
  <si>
    <t>Dos Casas en bloque a reciclar calle 527 3 y 4 Tolosa</t>
  </si>
  <si>
    <t>Casa Duplex</t>
  </si>
  <si>
    <t>Duplex</t>
  </si>
  <si>
    <t>COF6002288</t>
  </si>
  <si>
    <t>Oficina en  Venta en Capital - Mendoza</t>
  </si>
  <si>
    <t>Pedro Molina al 200</t>
  </si>
  <si>
    <t>CLA7179271</t>
  </si>
  <si>
    <t>Terreno en  Barrio Milcayac II</t>
  </si>
  <si>
    <t>Vieytes , esquina Bulnes  o M. A. Saez s/n°, esquinero noroeste</t>
  </si>
  <si>
    <t>Argentina | Mendoza | Maipu | Russell</t>
  </si>
  <si>
    <t>España</t>
  </si>
  <si>
    <t>CAP7275077</t>
  </si>
  <si>
    <t>Departamento opcion amoblado en venta en Quinta Seccion Mendoza</t>
  </si>
  <si>
    <t>Av. Boulogne Sur Mer 555</t>
  </si>
  <si>
    <t>CAP7100021</t>
  </si>
  <si>
    <t>Departamento en venta en Lujan de Cuyo</t>
  </si>
  <si>
    <t>CAP6823372</t>
  </si>
  <si>
    <t xml:space="preserve">Departamento en venta en Lujan de Cuyo </t>
  </si>
  <si>
    <t>Argentina | Mendoza | Lujan De Cuyo | Lujan De Cuyo</t>
  </si>
  <si>
    <t>arizu</t>
  </si>
  <si>
    <t>casa arizu</t>
  </si>
  <si>
    <t>Argentina | Mendoza | Capital | Mendoza | Barrio Arizu </t>
  </si>
  <si>
    <t>Achupallas</t>
  </si>
  <si>
    <t>CLA6531415</t>
  </si>
  <si>
    <t>Terreno en venta en Lunlunta Maipú</t>
  </si>
  <si>
    <t>Pablo Cuello s/n</t>
  </si>
  <si>
    <t>Argentina | Mendoza | Maipu | Lunlunta</t>
  </si>
  <si>
    <t>Argentina | Mendoza | Godoy Cruz | Godoy Cruz | Godoy Cruz | Bombal Sur</t>
  </si>
  <si>
    <t>CHO6098947</t>
  </si>
  <si>
    <t>Casa en  Venta en Maipú - Mendoza</t>
  </si>
  <si>
    <t>Calle Pablo Pescara  al 600</t>
  </si>
  <si>
    <t>CAP5997348</t>
  </si>
  <si>
    <t xml:space="preserve">Departamento en  Venta en Guaymallén - Mendoza </t>
  </si>
  <si>
    <t>Cochabamba al 3800</t>
  </si>
  <si>
    <t>CCO55382 AP5983662</t>
  </si>
  <si>
    <t>Departamento 2 ambientes - Vilahaus, Ayres Vila</t>
  </si>
  <si>
    <t>CHO6672926</t>
  </si>
  <si>
    <t>Casa en  venta en Barrio Privado Lomas de Terrada, Luján de Cuyo</t>
  </si>
  <si>
    <t>Barrio Privado Lomas de Terrada</t>
  </si>
  <si>
    <t>CAP6857476</t>
  </si>
  <si>
    <t>Departamento en venta Ciudad Mendoza</t>
  </si>
  <si>
    <t>9 de Julio al 1200</t>
  </si>
  <si>
    <t>Argentina | Mendoza | Capital | Mendoza | S2 Barrio Civico</t>
  </si>
  <si>
    <t>CLO6633490</t>
  </si>
  <si>
    <t>Local Comercial en  Venta en Estación Torreón</t>
  </si>
  <si>
    <t>IRIGOYEN H. al 2500</t>
  </si>
  <si>
    <t>CAP7203533</t>
  </si>
  <si>
    <t xml:space="preserve">Departamento en venta Barrio Bombal Sur </t>
  </si>
  <si>
    <t>Beltran  al 1700</t>
  </si>
  <si>
    <t>CHO6728128</t>
  </si>
  <si>
    <t xml:space="preserve">Venta casa 3 habitaciones barrio privado maipu </t>
  </si>
  <si>
    <t>Videla Castillo</t>
  </si>
  <si>
    <t>CLA7045623</t>
  </si>
  <si>
    <t xml:space="preserve">Terreno en  venta en CHACRAS DE CORIA </t>
  </si>
  <si>
    <t>Pueyrredon  al 2700</t>
  </si>
  <si>
    <t>CLA6674353</t>
  </si>
  <si>
    <t>Terreno en venta en  La Vasconia Maipu</t>
  </si>
  <si>
    <t>La Vasconia</t>
  </si>
  <si>
    <t>Argentina | Mendoza | Maipu | Coquimbito</t>
  </si>
  <si>
    <t>CHO7100411</t>
  </si>
  <si>
    <t>Casa en  Las Heras</t>
  </si>
  <si>
    <t>3 de febrero  al 500</t>
  </si>
  <si>
    <t>CLA6178453</t>
  </si>
  <si>
    <t>Venta Terreno en  PH de 534m2 en Dina Huapi Pilcaniyeu Rio Negro</t>
  </si>
  <si>
    <t>Dina Huapi, Pilcaniyeu</t>
  </si>
  <si>
    <t>CAP7356426</t>
  </si>
  <si>
    <t>Departamento en Las Heras</t>
  </si>
  <si>
    <t>Adolfo Calle y Bombal</t>
  </si>
  <si>
    <t>CHO6482562</t>
  </si>
  <si>
    <t>Casa en  Venta en Godoy Cruz - Mendoza</t>
  </si>
  <si>
    <t>Renato Zanzin al 1600</t>
  </si>
  <si>
    <t>Casa C/ Remax Follow</t>
  </si>
  <si>
    <t>Casa c/ remax follow</t>
  </si>
  <si>
    <t>CAP6763425</t>
  </si>
  <si>
    <t>Venta departamento 2 habitaciones con cochera</t>
  </si>
  <si>
    <t>Estrada al 200</t>
  </si>
  <si>
    <t>Argentina | Mendoza | Las Heras | Las Heras</t>
  </si>
  <si>
    <t>CLA6735472</t>
  </si>
  <si>
    <t>Venta Terreno Barrio Privado Lujan</t>
  </si>
  <si>
    <t>San Martín  al 6864</t>
  </si>
  <si>
    <t>CHO6734839</t>
  </si>
  <si>
    <t xml:space="preserve">CASA EN VENTA VISTALBA LOTEO DON CARLOS </t>
  </si>
  <si>
    <t>LOTEO DON CARLOS LOS TILOS LOTE K</t>
  </si>
  <si>
    <t>yrigollen</t>
  </si>
  <si>
    <t>casa yrigollen</t>
  </si>
  <si>
    <t>Op. con Century. UF 1, Superficie total: 43,75m2, Superficie cubierta: 35m2, Superficie. semicubierta 5,5m2, Superficie Descubierta: 24m2 ubicado en calle Libertad s/n en emprendimiento “Rumbo 1” nomenclatura catastral 16-20-062-8266</t>
  </si>
  <si>
    <t>Libertad S/N</t>
  </si>
  <si>
    <t>CAP7382562</t>
  </si>
  <si>
    <t>Monoambiente en venta en Palermo Soho.</t>
  </si>
  <si>
    <t>Fray Justo Santa Maria de Oro  al 2200, y Charcas</t>
  </si>
  <si>
    <t>CHO6617025</t>
  </si>
  <si>
    <t>Casa en venta en Dalvian, Mendoza</t>
  </si>
  <si>
    <t>Barrio Dalvian</t>
  </si>
  <si>
    <t>Argentina | Mendoza | Capital | Mendoza | Dalvian</t>
  </si>
  <si>
    <t>CAP6981754</t>
  </si>
  <si>
    <t>VENTA DEPARTAMENTO 4 AMBIENTES RENOVADO SAN TELMO APTO CREDITO</t>
  </si>
  <si>
    <t>Defensa 1700</t>
  </si>
  <si>
    <t>CAP6393286</t>
  </si>
  <si>
    <t>VENTA 3 AMB A ESTRENAR PISCINA Y VISTA ABIERTA</t>
  </si>
  <si>
    <t>CAP7233289</t>
  </si>
  <si>
    <t>Departamento 3 ambientes a Estrenar Villa Urquiza</t>
  </si>
  <si>
    <t>Av congreso al 4300</t>
  </si>
  <si>
    <t>AP6347436</t>
  </si>
  <si>
    <t>Departamento Monoambiente Luminoso- Villa Ortuzar</t>
  </si>
  <si>
    <t>Los Incas 4536 5 (501)</t>
  </si>
  <si>
    <t>Don joaquin</t>
  </si>
  <si>
    <t>DON JOAQUIN</t>
  </si>
  <si>
    <t xml:space="preserve">DON JOAQUIN </t>
  </si>
  <si>
    <t>Argentina | G.B.A. Zona Sur | Ezeiza | Countries/B.Cerrado (Ezeiza) | Barrio Don Joaquin</t>
  </si>
  <si>
    <t>CLA6815295</t>
  </si>
  <si>
    <t>Hermoso lote de más de 3.000 m2 en Chacras de la Reserva - Cardales</t>
  </si>
  <si>
    <t>Barrio Privado Chacras de la Reserva</t>
  </si>
  <si>
    <t>Argentina | G.B.A. Zona Norte | Campana | Countries/B.Cerrado (Campana) | Chacras de la Reserva</t>
  </si>
  <si>
    <t>La Cumbre, San Carlos de Bariloche</t>
  </si>
  <si>
    <t>CAP6884446</t>
  </si>
  <si>
    <t>Oportunidad Departamento 4 amb. en Recoleta</t>
  </si>
  <si>
    <t>Juan Maria Gutierrez al 2700</t>
  </si>
  <si>
    <t>Departamento en San Cristobal</t>
  </si>
  <si>
    <t>VHO6073953</t>
  </si>
  <si>
    <t>Venta casa 3 dormitorios c/ dependencia APTO CREDITO - San Andrés - Villanueva</t>
  </si>
  <si>
    <t>Av. Italia  al 5200</t>
  </si>
  <si>
    <t>CAP7055479</t>
  </si>
  <si>
    <t>Venta Departamento 5 Ambientes más dependencia APTO CRÉDITO en San Cristobal</t>
  </si>
  <si>
    <t>Av Entre Rios al 800</t>
  </si>
  <si>
    <t>CHO7205766</t>
  </si>
  <si>
    <t>Venta Casa Multifamiliar 4 Ambientes con Patio, Terraza en Villa Ballester</t>
  </si>
  <si>
    <t>Buenos Aires al 6300</t>
  </si>
  <si>
    <t>CPH7206092</t>
  </si>
  <si>
    <t>PH en  Colegiales 3 ambientes con entrepiso y terraza con parrilla!!!</t>
  </si>
  <si>
    <t>Zabala al 3400</t>
  </si>
  <si>
    <t>CAP7068386</t>
  </si>
  <si>
    <t>Departamento Monoambiente en pozo en Monserrat</t>
  </si>
  <si>
    <t>Salta al 1100</t>
  </si>
  <si>
    <t>DEPARTAMENTO 2 AMBIENTES EN BELGRANO</t>
  </si>
  <si>
    <t>Vidal 2138</t>
  </si>
  <si>
    <t>CAP6603698</t>
  </si>
  <si>
    <t>VENTA Departamento 2 ambientes PA 59.14m2 a estrenar . Villa la Angostura. apto att</t>
  </si>
  <si>
    <t>Cerro Centinela al 100</t>
  </si>
  <si>
    <t>CAP4279155</t>
  </si>
  <si>
    <t>VENTA DEPARTAMENTO 3 AMBIENTES COCHERA  TODO LUZ NATURAL EN  PALERMO CHICO</t>
  </si>
  <si>
    <t>Av. Las Heras al 2700</t>
  </si>
  <si>
    <t>CPH6822298</t>
  </si>
  <si>
    <t>PH CON 2 DORMITORIOS, RECICLADO A NUEVO - VILLA CRESPO</t>
  </si>
  <si>
    <t>MAHATMA GANDHI 734</t>
  </si>
  <si>
    <t>N/C - CASTILLO 22</t>
  </si>
  <si>
    <t>VENTA DPTO MONOAMBIENTE VILLA CRESPO</t>
  </si>
  <si>
    <t>CASTILLO 22</t>
  </si>
  <si>
    <t>CAP7271801</t>
  </si>
  <si>
    <t>DEPARTAMENTO 2 AMB EN VENTA VILLA URQUIZA</t>
  </si>
  <si>
    <t>Avenida Congreso al 4300</t>
  </si>
  <si>
    <t>Rosales al 100</t>
  </si>
  <si>
    <t>Argentina | G.B.A. Zona Oeste | La Matanza | Ramos Mejia</t>
  </si>
  <si>
    <t>106Stella</t>
  </si>
  <si>
    <t>Casa en Maria Selva</t>
  </si>
  <si>
    <t>Rivadavia 6226</t>
  </si>
  <si>
    <t>CHO6880418</t>
  </si>
  <si>
    <t>Casa  Cabaña en  venta Bariloche</t>
  </si>
  <si>
    <t>Melipal, San Carlos de Bariloche</t>
  </si>
  <si>
    <t>Argentina | G.B.A. Zona Norte | San Fernando | Buenavista</t>
  </si>
  <si>
    <t>CAP6991794</t>
  </si>
  <si>
    <t>Hermoso Departamento en Palermo</t>
  </si>
  <si>
    <t>Mansilla al 4000, Palermo</t>
  </si>
  <si>
    <t>99Eric</t>
  </si>
  <si>
    <t xml:space="preserve">Local comercial </t>
  </si>
  <si>
    <t>Rivadavia 6740</t>
  </si>
  <si>
    <t>op 204</t>
  </si>
  <si>
    <t>Hipolito Yrigoyen 1533 4 D</t>
  </si>
  <si>
    <t>CHO7111712</t>
  </si>
  <si>
    <t>VENTA CASA EN SAAVEDRA</t>
  </si>
  <si>
    <t>Quintana al 4400</t>
  </si>
  <si>
    <t>CAP7152925</t>
  </si>
  <si>
    <t>Venta 2 amb en San Fernando (bajas expensas)</t>
  </si>
  <si>
    <t>3 de febrero al 1200</t>
  </si>
  <si>
    <t>N/C - BAEZ 583</t>
  </si>
  <si>
    <t>VENTA DPTO MONOAMBIENTE LAS CAÑITAS</t>
  </si>
  <si>
    <t>BAEZ 583</t>
  </si>
  <si>
    <t>CLA7339382</t>
  </si>
  <si>
    <t>OPORTUNIDAD ULTIMO TERRENO DISPONIBLE - Terreno de 192,5 m² con Proyecto Aprobado – Loteo "Antiguo Camino", Bariloche</t>
  </si>
  <si>
    <t>Antiguo Camino, San Carlos de Bariloche</t>
  </si>
  <si>
    <t>CLA6531138</t>
  </si>
  <si>
    <t>Lote en  venta en Lunlunta</t>
  </si>
  <si>
    <t>CBA59141 LA6524812</t>
  </si>
  <si>
    <t>CLA7109553</t>
  </si>
  <si>
    <t>VENTA Lote Terreno 986m2 B° Náutico  acceso al lago Nahuel Huapi Villa la Angostura</t>
  </si>
  <si>
    <t>Bv. Quetrihue al 300</t>
  </si>
  <si>
    <t>CAP6761346</t>
  </si>
  <si>
    <t>Venta departamento 3 ambientes baño y toilette - Charcas y Coronel Diaz- Apto crédito - Palermo</t>
  </si>
  <si>
    <t>República Dominicana 3318 4</t>
  </si>
  <si>
    <t>CAP6709750</t>
  </si>
  <si>
    <t>Venta Monoambiente  con cochera en Las Cañitas Apto Credito</t>
  </si>
  <si>
    <t>Baez  al 500</t>
  </si>
  <si>
    <t>CAP6783029</t>
  </si>
  <si>
    <t>Venta Departamento Monoambiente Apto Crédito Moreno Centro</t>
  </si>
  <si>
    <t>Nemesio alvarez al 500</t>
  </si>
  <si>
    <t xml:space="preserve">Argentina | G.B.A. Zona Oeste | Moreno </t>
  </si>
  <si>
    <t>DEPARTAMENTO EN BALVANERA</t>
  </si>
  <si>
    <t>Pasco 79</t>
  </si>
  <si>
    <t xml:space="preserve">Reserva Venta Nayla Heydi Dpto Vicealmirante O'Connor 369 </t>
  </si>
  <si>
    <t>BENJAMIN SAENZ VALIENTE 1525</t>
  </si>
  <si>
    <t>CHO7148312</t>
  </si>
  <si>
    <t>Casa en  Venta 3 dormitorios Santa Elisa Pilar del este</t>
  </si>
  <si>
    <t>Barrio Santa Elisa Pilar del Este</t>
  </si>
  <si>
    <t xml:space="preserve">Allende 4519 </t>
  </si>
  <si>
    <t>CAP7321468</t>
  </si>
  <si>
    <t>Venta monoambiente Belgrano a estrenar gran balcón</t>
  </si>
  <si>
    <t>Cespedes al 2200</t>
  </si>
  <si>
    <t>CLA7046370</t>
  </si>
  <si>
    <t xml:space="preserve">VENTA Lote Villa Meliquina 1000m2 Oportunidad lote 4  MANZANA J </t>
  </si>
  <si>
    <t xml:space="preserve">meliquina </t>
  </si>
  <si>
    <t>Argentina | Neuquen | Lacar | San Martin De Los Andes | Villa Lago Meliquina</t>
  </si>
  <si>
    <t>Argentina | Salta | Capital | Salta | Bo.Grand Bourg</t>
  </si>
  <si>
    <t>CAP7408870</t>
  </si>
  <si>
    <t>monoambiente en arenales 425</t>
  </si>
  <si>
    <t>Monoambiente Arenales 425</t>
  </si>
  <si>
    <t>CLA7222933</t>
  </si>
  <si>
    <t>venta terreno en las moras higuerilla</t>
  </si>
  <si>
    <t>las moras higuerilla</t>
  </si>
  <si>
    <t>Argentina | Jujuy | Dr Manuel Belgrano | San Salvador De Jujuy | Las Higuerillas</t>
  </si>
  <si>
    <t>CAP7133045</t>
  </si>
  <si>
    <t>Vendo DTO, vista al lago, 3 dormitorios pleno centro.</t>
  </si>
  <si>
    <t>P. Moreno al 500</t>
  </si>
  <si>
    <t>CAP7205768</t>
  </si>
  <si>
    <t>VENTA 2 AMBIENTES CON COCHERA EN VICENTE LOPEZ AMENITIES APTO CREDITO</t>
  </si>
  <si>
    <t>ARISTOBULO DEL VALLE al 700 TORRE PREMIUM</t>
  </si>
  <si>
    <t>CHO7335053</t>
  </si>
  <si>
    <t>VENTA CASA 5 AMBIENTES con GARAGE en Versalles</t>
  </si>
  <si>
    <t>Cuzco 700</t>
  </si>
  <si>
    <t>CAP6736595</t>
  </si>
  <si>
    <t>VENTA DEPARTAMENTO 3 AMBIENTES EN LANUS OESTE CENTRO</t>
  </si>
  <si>
    <t>Piñeiro 0</t>
  </si>
  <si>
    <t>JHO7385338</t>
  </si>
  <si>
    <t>Casa en Victoria</t>
  </si>
  <si>
    <t>Blanco Encalada  al 3300</t>
  </si>
  <si>
    <t>OP 201</t>
  </si>
  <si>
    <t>san martin 1674 3 b</t>
  </si>
  <si>
    <t>CLA6948853</t>
  </si>
  <si>
    <t>VENTA TERRENO DE 1132 M2 EN AREA 60, LA VICTORIA POLO COUNTRY ¡OFERTA INCREIBLE!</t>
  </si>
  <si>
    <t>Club de campo La Victoria, Area 60, Lote 160</t>
  </si>
  <si>
    <t>Argentina | Interior Buenos Aires | Coronel Brandsen | Area 60</t>
  </si>
  <si>
    <t>CHO7042296</t>
  </si>
  <si>
    <t>Casa APTO CRÉDITO - LOMA VERDE EXCELENTE ACCESO</t>
  </si>
  <si>
    <t>APTO CREDITO! Casa en Altos de Don Segundo</t>
  </si>
  <si>
    <t>Argentina | G.B.A. Zona Norte | Escobar | Countries/B.Cerrado (Escobar) | Altos De Don Segundo</t>
  </si>
  <si>
    <t>CAP7249136</t>
  </si>
  <si>
    <t>Departamento de 2 Ambientes en Palermo Hollywood - RESERVADO</t>
  </si>
  <si>
    <t>Angel Justiniano Carranza 2100</t>
  </si>
  <si>
    <t>DEPTO COLEGA</t>
  </si>
  <si>
    <t>DEPTO. 3 AMBIENTES</t>
  </si>
  <si>
    <t>CONGRESO 2369</t>
  </si>
  <si>
    <t>N/C - TAMBORINI 5041</t>
  </si>
  <si>
    <t>VENTA DPTO 2 AMBIENTES VILLA URQUIZA</t>
  </si>
  <si>
    <t>TAMBORINI 5041</t>
  </si>
  <si>
    <t>DHO1095491</t>
  </si>
  <si>
    <t>Casa - La Mansa</t>
  </si>
  <si>
    <t>La Mansa</t>
  </si>
  <si>
    <t>CAP6904818</t>
  </si>
  <si>
    <t>Departamento 2 amb  por escalera en venta en Villa Crespo. Muy bajas expensas!</t>
  </si>
  <si>
    <t>Julian Alvarez al 800</t>
  </si>
  <si>
    <t>CHO6967932</t>
  </si>
  <si>
    <t>Muy linda Casa refaccionada a nuevo  - Santa Clara, Villanueva</t>
  </si>
  <si>
    <t>Casa en Venta - 5 AMB en Santa Clara, Villanueva</t>
  </si>
  <si>
    <t>CAP6412936</t>
  </si>
  <si>
    <t>VENTA  4 AMB, C/BALCÓN COCHERA OPCIONAL EN PALERMO</t>
  </si>
  <si>
    <t>Gorriti   al 3800</t>
  </si>
  <si>
    <t>AAP7313574</t>
  </si>
  <si>
    <t>colombres al 800</t>
  </si>
  <si>
    <t>Campo</t>
  </si>
  <si>
    <t xml:space="preserve">Reserva Venta Gustavo Campo Ñorquinco Remax Mike </t>
  </si>
  <si>
    <t>Argentina | Rio Negro | Ñorquinco | Rio Chico</t>
  </si>
  <si>
    <t>CHO7136775</t>
  </si>
  <si>
    <t>Casa en venta en barrio privado, Haras el Terraplen, Gral Rodriguez</t>
  </si>
  <si>
    <t>Haras el Terraplen, lote  al 300</t>
  </si>
  <si>
    <t>Argentina | G.B.A. Zona Oeste | General Rodriguez | General Rodriguez</t>
  </si>
  <si>
    <t>Urquiza 346</t>
  </si>
  <si>
    <t>CAP7265254</t>
  </si>
  <si>
    <t>Departamento en Va.Palacios</t>
  </si>
  <si>
    <t>Av Cornelio Saavedra villa Palacios</t>
  </si>
  <si>
    <t>Argentina | Salta | Capital | Salta | Va.Palacios</t>
  </si>
  <si>
    <t>CBU65829 AP7250289</t>
  </si>
  <si>
    <t>Departamento en Venta 3 AMB - Zona Saavedra OPORTUNIDAD</t>
  </si>
  <si>
    <t>Deheza  al 3100</t>
  </si>
  <si>
    <t>AAA6818675</t>
  </si>
  <si>
    <t>Depto 2 amb en duplex a la VENTA, Lago del Sendero, Nordelta</t>
  </si>
  <si>
    <t>Departamento de 2 ambientes en duplex a la VENTA | Lago del Sendero, Nordelta</t>
  </si>
  <si>
    <t>Argentina | G.B.A. Zona Norte | Tigre | Countries/B.Cerrado (Tigre) | Nordelta | Sendero</t>
  </si>
  <si>
    <t>98Stella</t>
  </si>
  <si>
    <t>Casa de dos dormitorios y cochera</t>
  </si>
  <si>
    <t>San Lorenzo 5100</t>
  </si>
  <si>
    <t>VAP6914454</t>
  </si>
  <si>
    <t>VENTA APTO CREDITO- DPTO 2 AMB KM 42 PILAR.</t>
  </si>
  <si>
    <t>Departamento en Venta 2 amb en planta baja APTO CREDITO, Las Campanillas al 1500</t>
  </si>
  <si>
    <t>Argentina | G.B.A. Zona Norte | Pilar | HI 42.5</t>
  </si>
  <si>
    <t>VAP6613517</t>
  </si>
  <si>
    <t>Departamento APTO CREDITO 2 amb C/Coch en Club Bamboo Pilar</t>
  </si>
  <si>
    <t>Caamaño al 1000</t>
  </si>
  <si>
    <t>Argentina | G.B.A. Zona Norte | Pilar | Villa Rosa | Club Bamboo</t>
  </si>
  <si>
    <t>CPH6377017</t>
  </si>
  <si>
    <t>Moderno Dúplex a Estrenar en Barrio Las Victorias -  APTO CRÉDITO HIPOTECARIO</t>
  </si>
  <si>
    <t>VHO5625300</t>
  </si>
  <si>
    <t>Casa en  venta Aero Club Gral Rodriguez Apto Crédito</t>
  </si>
  <si>
    <t>ruta 6 y arroyo La Choza - gral Rodriguez</t>
  </si>
  <si>
    <t>Argentina | G.B.A. Zona Oeste | General Rodriguez | Countries/B.Cerrado (G. Rodriguez) | Aero Country Club</t>
  </si>
  <si>
    <t>CHO7325370</t>
  </si>
  <si>
    <t>CASA EN NAUDIR EN VENTA - 5 AMBIENTES</t>
  </si>
  <si>
    <t>VPN53619 HO5687882</t>
  </si>
  <si>
    <t>Casa Estilo Dúplex - 3 AMB - Las Margaritas, Pilar - Ultimas unidades!!!!</t>
  </si>
  <si>
    <t xml:space="preserve">Casa tipo Dúplex - 3 AMB - Las Margaritas, Pilar </t>
  </si>
  <si>
    <t>CPH7139877</t>
  </si>
  <si>
    <t>VENTA PH EN VILLA DEL PARQUE PATIO TERRAZA QUINCHO</t>
  </si>
  <si>
    <t>Juan Agustín García al 2300</t>
  </si>
  <si>
    <t>OP 191</t>
  </si>
  <si>
    <t>Loyola 461</t>
  </si>
  <si>
    <t>loyola 461</t>
  </si>
  <si>
    <t xml:space="preserve"> Bazurco 3429</t>
  </si>
  <si>
    <t>CAP7022441</t>
  </si>
  <si>
    <t>Venta departamento 2 ambientes mas escritorio, balcón, Belgrano R</t>
  </si>
  <si>
    <t>Mendoza  al 3300</t>
  </si>
  <si>
    <t>CAP6937218</t>
  </si>
  <si>
    <t>Venta Departamento 3 Ambientes con terraza propia en Almagro</t>
  </si>
  <si>
    <t>Av Belgrano al 4000</t>
  </si>
  <si>
    <t>Argentina | Capital Federal | Almagro | Almagro Sur</t>
  </si>
  <si>
    <t>CASA Almeira</t>
  </si>
  <si>
    <t>Almeira</t>
  </si>
  <si>
    <t>Soler 4099 piso 8 dto A</t>
  </si>
  <si>
    <t>CAP7251663</t>
  </si>
  <si>
    <t>Departamento en Floresta Norte</t>
  </si>
  <si>
    <t>Aranguren  al 3700</t>
  </si>
  <si>
    <t>JPH7312195</t>
  </si>
  <si>
    <t>PH en Florida</t>
  </si>
  <si>
    <t>Aristobulo del valle 1200</t>
  </si>
  <si>
    <t>Venta Mariano Moreno</t>
  </si>
  <si>
    <t>Mariano Moreno 5947</t>
  </si>
  <si>
    <t>CHO6920656</t>
  </si>
  <si>
    <t xml:space="preserve">Casa en  Venta 4 dormitorios Barrio Santa Elena Pilar del Este </t>
  </si>
  <si>
    <t>ARTIGAS 2867</t>
  </si>
  <si>
    <t>Argentina | Mendoza | Lujan De Cuyo | Lujan De Cuyo | Vistalba</t>
  </si>
  <si>
    <t>CAP6787791</t>
  </si>
  <si>
    <t>Venta Departamento Monoambiente en Palermo Hollywood</t>
  </si>
  <si>
    <t>José A. Cabrera  al 4100</t>
  </si>
  <si>
    <t>CAP6534688</t>
  </si>
  <si>
    <t>Venta Departamento Monoambiente en Las Cañitas</t>
  </si>
  <si>
    <t>Jorge Newbery  al 1800</t>
  </si>
  <si>
    <t>CHO7388867</t>
  </si>
  <si>
    <t>Casa en venta a reciclar 158 entre 67 y 68 Los Hornos</t>
  </si>
  <si>
    <t>158 entre 67 y 68</t>
  </si>
  <si>
    <t>Congreso 3321</t>
  </si>
  <si>
    <t>CHO4063256</t>
  </si>
  <si>
    <t>VENTA CASA 4 AMBIENTES EN 2 PLANTAS - RETASADA - EL CASCO</t>
  </si>
  <si>
    <t>COUNTRY CLUB EL CASCO</t>
  </si>
  <si>
    <t xml:space="preserve">Argentina | G.B.A. Zona Norte | Zarate </t>
  </si>
  <si>
    <t>Vidal 2815 4 401</t>
  </si>
  <si>
    <t xml:space="preserve">Vidal 2815 </t>
  </si>
  <si>
    <t>101Lily</t>
  </si>
  <si>
    <t>Javier de la Rosa 2129</t>
  </si>
  <si>
    <t>VAP6808008</t>
  </si>
  <si>
    <t>Venta monoambiente en Palermo Hollywood con amenities</t>
  </si>
  <si>
    <t>Dorrego  al 1800</t>
  </si>
  <si>
    <t>CAP7282179</t>
  </si>
  <si>
    <t>Venta Departamento Dúuplex con terraza y cochera - Palermo Soho</t>
  </si>
  <si>
    <t>Uriarte 1300</t>
  </si>
  <si>
    <t>CPH6350924</t>
  </si>
  <si>
    <t>VENTA PH 2 AMBIENTES CON GRAN PATIO A ESTRENAR EN ENSENADA</t>
  </si>
  <si>
    <t>124 ENTRE 41 Y 42</t>
  </si>
  <si>
    <t>96Eric</t>
  </si>
  <si>
    <t>1 de Mayo 1045 Piso 17 Unidad D</t>
  </si>
  <si>
    <t xml:space="preserve">Argentina | Santa Fe | La Capital </t>
  </si>
  <si>
    <t>CLA7148415</t>
  </si>
  <si>
    <t xml:space="preserve">BARRIO PRIVADO ALMA GARDENIA LOTE 500 m2 UBICACIÓN PRIVILEGIADA </t>
  </si>
  <si>
    <t xml:space="preserve">LOTE BARRIO PRIVADO ALMA GARDENIA Acceso Sur y calle Bulnes  </t>
  </si>
  <si>
    <t>CHO6323790</t>
  </si>
  <si>
    <t>Venta Casa 6 amb con Pileta Barrio Cerrado Lote  2000 m2 en Lujan</t>
  </si>
  <si>
    <t>Argentina | G.B.A. Zona Oeste | Lujan | Countries/B.Cerrado (Lujan) | Santa Ines</t>
  </si>
  <si>
    <t>CLA7510456</t>
  </si>
  <si>
    <t>Terreno en B° Altos de Zapla</t>
  </si>
  <si>
    <t>Deodoro Roca lote 21</t>
  </si>
  <si>
    <t>CLA7510582</t>
  </si>
  <si>
    <t>CB VENDE TERRENO B° ALTOS DE ZAPLA</t>
  </si>
  <si>
    <t>Deodoro Roca  lote - 20 - B° Altos de Zapla</t>
  </si>
  <si>
    <t>CAP6902390</t>
  </si>
  <si>
    <t>Alvarado 1850. 2 dorm. 2 piso por escalera</t>
  </si>
  <si>
    <t xml:space="preserve">Alvarado al 1800 </t>
  </si>
  <si>
    <t>CAP7217106</t>
  </si>
  <si>
    <t>Departamento en venta Salta centro</t>
  </si>
  <si>
    <t>Av Belgrano al 900</t>
  </si>
  <si>
    <t>Casa en Barrio Santa Elisa Pilar del Este</t>
  </si>
  <si>
    <t>Casa en venta Barrio Santa Elisa Pilar del Este</t>
  </si>
  <si>
    <t>CAP7340975</t>
  </si>
  <si>
    <t>Dean funes  al 870</t>
  </si>
  <si>
    <t>CHO7407691</t>
  </si>
  <si>
    <t>Agustin Alvarez al 100</t>
  </si>
  <si>
    <t>VOB62330 OF6903719</t>
  </si>
  <si>
    <t>Oficina en Venta Meet Pilar</t>
  </si>
  <si>
    <t>Venta Oficina a estrenar Pilar</t>
  </si>
  <si>
    <t>VCC51142 AP5194725</t>
  </si>
  <si>
    <t>FINANCIACIÓN!!! Departamento 3 Amb en  Venta Medal Country Club Condominios al Golf</t>
  </si>
  <si>
    <t>CAP7098794</t>
  </si>
  <si>
    <t xml:space="preserve">Departamento en  VENTA 3 AMBIENTES </t>
  </si>
  <si>
    <t>ADOLFO ALSINA 2065 7</t>
  </si>
  <si>
    <t>AAP7313480</t>
  </si>
  <si>
    <t>Departamento en Villa Luro</t>
  </si>
  <si>
    <t>Moliere al 800</t>
  </si>
  <si>
    <t>B° Cerrado valle claro</t>
  </si>
  <si>
    <t>CAP7008497</t>
  </si>
  <si>
    <t>Venta Departamento de 2 ambientes con balcón al frente en caballito/flores</t>
  </si>
  <si>
    <t>ESPINOSA 82</t>
  </si>
  <si>
    <t>CAP6741550</t>
  </si>
  <si>
    <t>Venta Departamento 2 Ambientes en Boedo</t>
  </si>
  <si>
    <t>Colombres al 900</t>
  </si>
  <si>
    <t>CST7123830</t>
  </si>
  <si>
    <t>Depósito en Esandi Bariloche a la VENTA</t>
  </si>
  <si>
    <t>Esandi</t>
  </si>
  <si>
    <t>Argentina | Rio Negro | Bariloche | San Carlos De Bariloche | Ñireco</t>
  </si>
  <si>
    <t>CLA7305743</t>
  </si>
  <si>
    <t xml:space="preserve">Terreno en excelente Ubicacion </t>
  </si>
  <si>
    <t>Terreno en Blas parera al 5900</t>
  </si>
  <si>
    <t>Argentina | Santa Fe | La Capital | Santa Fe | Oeste</t>
  </si>
  <si>
    <t>100Lily</t>
  </si>
  <si>
    <t>Casa en esperanza</t>
  </si>
  <si>
    <t>pasaje s/n</t>
  </si>
  <si>
    <t>CHO6606669</t>
  </si>
  <si>
    <t>Venta Casa 5 Ambientes en San Justo – Lote Propio – Apto Crédito</t>
  </si>
  <si>
    <t>Ambrosetti al 3200</t>
  </si>
  <si>
    <t>CHO7276413</t>
  </si>
  <si>
    <t xml:space="preserve">Casa centro San Rafael </t>
  </si>
  <si>
    <t>MONTECASEROS  84 SAN RAFAEL MENDOZA</t>
  </si>
  <si>
    <t>CAP7340998</t>
  </si>
  <si>
    <t>Venta departamento 2 amb Recoleta</t>
  </si>
  <si>
    <t>Anchorena al 1600</t>
  </si>
  <si>
    <t>VHO6039001</t>
  </si>
  <si>
    <t>Casa en venta Puertos del Lago ACACIAS</t>
  </si>
  <si>
    <t>Puertos del Lago ACACIAS</t>
  </si>
  <si>
    <t>CAP6767785</t>
  </si>
  <si>
    <t>Venta 4 ambientes en Balvanera</t>
  </si>
  <si>
    <t>Lavalle al 2000</t>
  </si>
  <si>
    <t>CAP7182909</t>
  </si>
  <si>
    <t>Departamento en venta 2 amb  VILLA CRESPO Balcón luminoso prox subte</t>
  </si>
  <si>
    <t>lavalleja 700</t>
  </si>
  <si>
    <t>CHO7261731</t>
  </si>
  <si>
    <t>Casa  zona Norte</t>
  </si>
  <si>
    <t>Casa en  Zona Norte con 3 dormitorios, cochera y patio Verde</t>
  </si>
  <si>
    <t>CAP6977084</t>
  </si>
  <si>
    <t>VENTA DEPARTAMENTO 2 AMBIENTES C/ BALCON Y AMENITIES. WILDE. APTO CREDITO.</t>
  </si>
  <si>
    <t>Avda. Bartolome Mitre al 5700</t>
  </si>
  <si>
    <t>CLA7061233</t>
  </si>
  <si>
    <t>VENTA TERRENO EN CABALLITO - IDEAL EMPRENDIMIENTO.</t>
  </si>
  <si>
    <t>Aranguren  al 600</t>
  </si>
  <si>
    <t>CBU63770 AP7012291</t>
  </si>
  <si>
    <t>Departamento 3 ambientes en Venta al POZO en San Isidro</t>
  </si>
  <si>
    <t>25 de Mayo 96 - 2do Piso</t>
  </si>
  <si>
    <t xml:space="preserve">Thames 56 dto 905 </t>
  </si>
  <si>
    <t>CGA7248532</t>
  </si>
  <si>
    <t>COCHERA CUBIERTA EN RECOLETA</t>
  </si>
  <si>
    <t>Billinghurst al 2000</t>
  </si>
  <si>
    <t>Juncal 2688</t>
  </si>
  <si>
    <t>VPN49872 LA5937407</t>
  </si>
  <si>
    <t>LOTES FINANCIADOS en Del Viso - Pilar - El Paso</t>
  </si>
  <si>
    <t>BARRIO EL PASO</t>
  </si>
  <si>
    <t>Argentina | G.B.A. Zona Norte | Pilar | Del Viso</t>
  </si>
  <si>
    <t>VHO6795238</t>
  </si>
  <si>
    <t>Casa A Estrenar en San Matias en Venta con Piscina</t>
  </si>
  <si>
    <t>CASA A ESTRENAR EN SAN MATIAS EN VENTA CON PISCINA</t>
  </si>
  <si>
    <t>CAP6363710</t>
  </si>
  <si>
    <t>Depto Loft en Venta  Apto vivienda o apto profesional - Studios- Ayres Vila- Pilar</t>
  </si>
  <si>
    <t>Los Cardos</t>
  </si>
  <si>
    <t>Lote en Los Cardos Pilar - 700 mts2</t>
  </si>
  <si>
    <t>Manuel Luis de Oliden Manuel Alberti</t>
  </si>
  <si>
    <t>Argentina | G.B.A. Zona Norte | Pilar | Countries/B.Cerrado (Pilar) | Los Cardos</t>
  </si>
  <si>
    <t>CHO6935565</t>
  </si>
  <si>
    <t>Casa en  venta en Caoital Mendoza</t>
  </si>
  <si>
    <t>Mitre al 3500</t>
  </si>
  <si>
    <t>CAP7249546</t>
  </si>
  <si>
    <t>Departamento en venta 2 amb Olivos</t>
  </si>
  <si>
    <t>Hilarion de la quintana al 1600</t>
  </si>
  <si>
    <t>CAP7419403</t>
  </si>
  <si>
    <t>Departamento en alquiler dos ambientes con balcon y amenities.</t>
  </si>
  <si>
    <t>Rio de Janeiro  al 200</t>
  </si>
  <si>
    <t>CAP6952465</t>
  </si>
  <si>
    <t>Venta departamento monoambiente con Patio en Flores</t>
  </si>
  <si>
    <t>Pedernera al 100</t>
  </si>
  <si>
    <t>CPH7050004</t>
  </si>
  <si>
    <t>Venta/PH/4 Ambientes/AptoCredito/Cochera/Patio/Parrilla/Permuta/Liniers</t>
  </si>
  <si>
    <t>Pola 900</t>
  </si>
  <si>
    <t>Dos ambientes recoleta</t>
  </si>
  <si>
    <t>Juncal 2850, UF 9 piso 2</t>
  </si>
  <si>
    <t>CAP7208782</t>
  </si>
  <si>
    <t>Departamento venta duplex Villa Urquiza</t>
  </si>
  <si>
    <t>Donado  al 2700</t>
  </si>
  <si>
    <t>VAP6728549</t>
  </si>
  <si>
    <t>Venta departamento de 3 dormitorios con dependencia en Almagro</t>
  </si>
  <si>
    <t>Bartolome Mitre  al 4100</t>
  </si>
  <si>
    <t>CAP7191658</t>
  </si>
  <si>
    <t>VENTA DEPARTAMENTO 3 AMBIENTES CON DEPENDENCIA Y 2 BALCONES</t>
  </si>
  <si>
    <t>Ayacucho al 100</t>
  </si>
  <si>
    <t>Uriburu 1690 11ªA</t>
  </si>
  <si>
    <t>CAP7332099</t>
  </si>
  <si>
    <t>Venta Departamento 3 ambientes con Balcón y Baulera en Recoleta- Muy luminoso!</t>
  </si>
  <si>
    <t>Peña al 2100</t>
  </si>
  <si>
    <t>CPH7405703</t>
  </si>
  <si>
    <t>Venta de PH 4 ambientes en Villa Pueyrredón</t>
  </si>
  <si>
    <t>Carlos Molina Arrotea al 2800</t>
  </si>
  <si>
    <t>CAP7382229</t>
  </si>
  <si>
    <t>Venta departamento 3 ambientes frente balcon Cochera Villa Urquiza</t>
  </si>
  <si>
    <t>Mendoza al 3900</t>
  </si>
  <si>
    <t>AHO6750090</t>
  </si>
  <si>
    <t>Casa de tres ambientes mas departamento monoambiente en Banfield Oeste</t>
  </si>
  <si>
    <t>Almafuerte  al 1100</t>
  </si>
  <si>
    <t>Argentina | G.B.A. Zona Sur | Lomas De Zamora (Partido) | Banfield | Banfield Oeste</t>
  </si>
  <si>
    <t>Beiró 500</t>
  </si>
  <si>
    <t>Beiró</t>
  </si>
  <si>
    <t>CLO728953</t>
  </si>
  <si>
    <t>Venta Local Oficina Comercial Balvanera Monserrat San Cristobal</t>
  </si>
  <si>
    <t>Chile al 1800</t>
  </si>
  <si>
    <t>CLA7037692</t>
  </si>
  <si>
    <t>Terreno   EXCELENTE EN ALTO ALBERDI 1</t>
  </si>
  <si>
    <t>LOTE EN ALTO ALBERDI  1  PLOTTIER</t>
  </si>
  <si>
    <t>CHO6522434</t>
  </si>
  <si>
    <t>Alquiler de Casa 3 ambientes en Barrio Parque Pellegrini, Pilar</t>
  </si>
  <si>
    <t>Barrio Pellegrini Asuncion al 1400</t>
  </si>
  <si>
    <t>Argentina | G.B.A. Zona Norte | Pilar | Pilar | Pellegrini</t>
  </si>
  <si>
    <t>CBU59833 AP6720970</t>
  </si>
  <si>
    <t>CAP7318531</t>
  </si>
  <si>
    <t>Venta 2 amb Palermo gran ubicación Apto credito!!!</t>
  </si>
  <si>
    <t xml:space="preserve">General Lucio Norberto Mansilla al 3600 </t>
  </si>
  <si>
    <t>Av Federico Lacroze 3318</t>
  </si>
  <si>
    <t>CLA4698164</t>
  </si>
  <si>
    <t>CAP7419822</t>
  </si>
  <si>
    <t>Venta, Depto, 2 ambientes, balcon, Cochera, Santos Lugares, Saenz Peña</t>
  </si>
  <si>
    <t>La Rioja  al 3500</t>
  </si>
  <si>
    <t>CAP7079304</t>
  </si>
  <si>
    <t>Departamento en  Venta Chateau del Palmar, Nordelta</t>
  </si>
  <si>
    <t>CAP7023542</t>
  </si>
  <si>
    <t>CAP6936922</t>
  </si>
  <si>
    <t>Venta de Departamento monoambiente a estrenar en Agronomía</t>
  </si>
  <si>
    <t>Avenida Chorroarín al 500</t>
  </si>
  <si>
    <t>CAP6872382</t>
  </si>
  <si>
    <t>Se alquila hermoso departamento a estrenar en Domus Parque - Vicente López</t>
  </si>
  <si>
    <t>CPN67832 AP7516744</t>
  </si>
  <si>
    <t>Dpto en Venta - Barrio Rincon Veneto - Elpidio Gonzalez</t>
  </si>
  <si>
    <t>Elpidio Gonzalez</t>
  </si>
  <si>
    <t>Flores depto</t>
  </si>
  <si>
    <t>Avellaneda</t>
  </si>
  <si>
    <t>N/C - AV SANTA FE 2630</t>
  </si>
  <si>
    <t>VENTA MONOAMBIENTE EN RECOLETA C BALCON</t>
  </si>
  <si>
    <t>AV SANTA FE 2630</t>
  </si>
  <si>
    <t>N/C - LUIS MARIA CAMPOS 369</t>
  </si>
  <si>
    <t>VENTA DPTO MONOAMBIENTE EN CAÑITAS</t>
  </si>
  <si>
    <t>LUIS MARIA CAMPOS 369</t>
  </si>
  <si>
    <t>CBU64422 AP7067292</t>
  </si>
  <si>
    <t>Monoambiente, departamento, balcon, a estrenar, avenidas, flores, caballito</t>
  </si>
  <si>
    <t>Bonorino 173</t>
  </si>
  <si>
    <t>CAP4700922</t>
  </si>
  <si>
    <t>Venta- Depto- 2 amb- Ramos Mejía- Piscina- Sum- Parrilla- Apto crédito-Gas Natural</t>
  </si>
  <si>
    <t>SARGENTO CABRAL al 800</t>
  </si>
  <si>
    <t>OP 178</t>
  </si>
  <si>
    <t>Seguí 776</t>
  </si>
  <si>
    <t xml:space="preserve">Quesada 3144 piso 3 </t>
  </si>
  <si>
    <t xml:space="preserve">Av Corrientes 914 </t>
  </si>
  <si>
    <t>Dpto en venta en Villa Crespo</t>
  </si>
  <si>
    <t>Thames 56 dto608</t>
  </si>
  <si>
    <t>CLO6865192</t>
  </si>
  <si>
    <t>Local Comercial en zona centro de Santa Fe</t>
  </si>
  <si>
    <t>Local comercial en venta, en microentro de la ciudad de Santa Fe</t>
  </si>
  <si>
    <t>CLA7093488</t>
  </si>
  <si>
    <t>Terreno en barrio priva La Verbena calle 6 lote 9</t>
  </si>
  <si>
    <t>Barrio privado La Verbena</t>
  </si>
  <si>
    <t>95Stella</t>
  </si>
  <si>
    <t>Casa en San Jose del Rincon</t>
  </si>
  <si>
    <t>Constituyentes 2500</t>
  </si>
  <si>
    <t>Argentina | Santa Fe | La Capital | San Jose Del Rincon</t>
  </si>
  <si>
    <t xml:space="preserve">Reserva Venta Dani Toro depto. Albarracín 1461 con salo </t>
  </si>
  <si>
    <t>CLA7384505</t>
  </si>
  <si>
    <t>CB VENDE - TERRENO - BOSQUE DEL CEIBAL I</t>
  </si>
  <si>
    <t>Calle Lapacho al 800</t>
  </si>
  <si>
    <t xml:space="preserve">Argentina | Jujuy | San Antonio </t>
  </si>
  <si>
    <t>departamento en venta en tigre</t>
  </si>
  <si>
    <t>Avenida Italia 1107</t>
  </si>
  <si>
    <t xml:space="preserve">Argentina | G.B.A. Zona Norte | Tigre </t>
  </si>
  <si>
    <t>CHO3827568</t>
  </si>
  <si>
    <t>VENTA CASA 7 AMBIENTES CON JARDÍN Y PILETA EN MARTINEZ</t>
  </si>
  <si>
    <t>Colon al 100</t>
  </si>
  <si>
    <t>OP 194</t>
  </si>
  <si>
    <t>Tempus Colon Av. Libertador 13185 1</t>
  </si>
  <si>
    <t>CLA6754985</t>
  </si>
  <si>
    <t>VENTA Lote Villa Meliquina 954m2 Oportunidad  16 mza IX</t>
  </si>
  <si>
    <t>CALLE S/N</t>
  </si>
  <si>
    <t>CAP6392957</t>
  </si>
  <si>
    <t>VENTA MONOAMBIENTE A ESTRENAR CON PISCINA Y VISTA ABIERTA</t>
  </si>
  <si>
    <t>92Nestor</t>
  </si>
  <si>
    <t>Departamento en Centro</t>
  </si>
  <si>
    <t xml:space="preserve">Eva Perón 2855 </t>
  </si>
  <si>
    <t xml:space="preserve">Reserva Venta Ivi Permuta Lote Solares UF77 </t>
  </si>
  <si>
    <t>CLA6876461</t>
  </si>
  <si>
    <t>Terreno en  BARRIO PRIVADO "LA YAYA"</t>
  </si>
  <si>
    <t>AVENIDA CHAMPAGNAT 3045, Las Heras, Mendoza, Las Heras, Mendoza al 3000</t>
  </si>
  <si>
    <t>CRISOLOGO LARRALDE 3609</t>
  </si>
  <si>
    <t>CAP7278866</t>
  </si>
  <si>
    <t>Departamento en venta macrocentro Salta</t>
  </si>
  <si>
    <t>gorriti 40</t>
  </si>
  <si>
    <t>CHO7305343</t>
  </si>
  <si>
    <t>Duplex Via Aurelia</t>
  </si>
  <si>
    <t>Via Aurelia</t>
  </si>
  <si>
    <t>Argentina | Salta | Capital | El Aybal</t>
  </si>
  <si>
    <t>N/C - MANSILLA 3937</t>
  </si>
  <si>
    <t>VENTA DPTO 2 AMBIENTES RECOLETA</t>
  </si>
  <si>
    <t>MANSILA 3937</t>
  </si>
  <si>
    <t xml:space="preserve">Argentina | Jujuy | Dr Manuel Belgrano </t>
  </si>
  <si>
    <t>97Stella</t>
  </si>
  <si>
    <t>Local comercial barrio Sur</t>
  </si>
  <si>
    <t>CAP6226154</t>
  </si>
  <si>
    <t>Venta monoambiente semipiso al frente con balcòn a estrenar 41 m2 san cristobal almagro boedo</t>
  </si>
  <si>
    <t>Constitucion  al 2200</t>
  </si>
  <si>
    <t>93Maricel</t>
  </si>
  <si>
    <t>Departamento en Candioti</t>
  </si>
  <si>
    <t>Alberdi 3452</t>
  </si>
  <si>
    <t>CAP6671466</t>
  </si>
  <si>
    <t>Venta Monoambiente divisible a estrenar con amenities en Palermo, Palermo Hollywood</t>
  </si>
  <si>
    <t>Coronel Niceto Vega al 5700</t>
  </si>
  <si>
    <t>CAP7336443</t>
  </si>
  <si>
    <t>Departamento en Neuquén Cap.</t>
  </si>
  <si>
    <t>San Martin y Santiago del Estero</t>
  </si>
  <si>
    <t>CHO7072301</t>
  </si>
  <si>
    <t>Casa en Naudir en venta - A estrenar - Lote con fondo al verde</t>
  </si>
  <si>
    <t>CASA EN NAUDIR EN VENTA A ESTRENAR</t>
  </si>
  <si>
    <t>CAP6845163</t>
  </si>
  <si>
    <t>Departamento en venta 4 dormitorios</t>
  </si>
  <si>
    <t>Santa fe  al 900</t>
  </si>
  <si>
    <t>CLA6884160</t>
  </si>
  <si>
    <t>Terreno en  en pleno centro apto desarrollo locales comerciales mas 2 viviendas a reformar.</t>
  </si>
  <si>
    <t>San Martin  al 121</t>
  </si>
  <si>
    <t>CPH7338721</t>
  </si>
  <si>
    <t>PH en Cipolletti</t>
  </si>
  <si>
    <t>bernardino rivadavia al 300, cipolleti</t>
  </si>
  <si>
    <t>CHO6905977</t>
  </si>
  <si>
    <t>VENTA CASA TRIPLEX COCHERA PATIO Y PARRILLA EXCELENTE ESTADO APTO CREDITO FLORIDA</t>
  </si>
  <si>
    <t>AYACUCHO al 500</t>
  </si>
  <si>
    <t>CPH7054376</t>
  </si>
  <si>
    <t>Venta PH 2 Ambientes con dos patios en Villa del Parque</t>
  </si>
  <si>
    <t>Pedro Lozano al 2700</t>
  </si>
  <si>
    <t>Nuñez 2120</t>
  </si>
  <si>
    <t>JHO7016937</t>
  </si>
  <si>
    <t>Casa en  Ayres de PIlar</t>
  </si>
  <si>
    <t>Ruta Panamericana km 43.5</t>
  </si>
  <si>
    <t>Argentina | G.B.A. Zona Norte | Pilar | Countries/B.Cerrado (Pilar) | Ayres de Pilar</t>
  </si>
  <si>
    <t>CHO7053426</t>
  </si>
  <si>
    <t>Casa en venta  Sargento Cabral cinco dormitorios, patio y cochera! OPORTUNIDAD</t>
  </si>
  <si>
    <t>Casa en venta en Luciano Torrent al 1800 Barrio Sgto Cabral 5 dormitorios, patio y cochera. OPORTUNIDAD!!</t>
  </si>
  <si>
    <t>Argentina | Santa Fe | La Capital | Santa Fe | Sargento Cabral</t>
  </si>
  <si>
    <t>OP 193</t>
  </si>
  <si>
    <t>193	North Coral</t>
  </si>
  <si>
    <t>CPH7233668</t>
  </si>
  <si>
    <t>Venta PH 2 Ambientes en Villa Adelina</t>
  </si>
  <si>
    <t>Lamadrid al 1400</t>
  </si>
  <si>
    <t>Argentina | G.B.A. Zona Norte | San Isidro | Villa Adelina</t>
  </si>
  <si>
    <t>Lote comercial Lucas</t>
  </si>
  <si>
    <t>Lote Comercial Lucas</t>
  </si>
  <si>
    <t>CAP2287495</t>
  </si>
  <si>
    <t>Venta depto. de 2 amb. en Saavedra a estrenar. Amenities</t>
  </si>
  <si>
    <t>Ramallo al 3100</t>
  </si>
  <si>
    <t>Cochera en venta</t>
  </si>
  <si>
    <t>Ramallo 3199</t>
  </si>
  <si>
    <t>CAP6990788</t>
  </si>
  <si>
    <t>Venta Departamento 2 ambientes en Las Cañitas - Apto Crédito</t>
  </si>
  <si>
    <t>Arce al 300</t>
  </si>
  <si>
    <t xml:space="preserve">Virrey Vertiz 2400 </t>
  </si>
  <si>
    <t>VHO6955432</t>
  </si>
  <si>
    <t>Chalet 4 ambientes con garage, patio y parrilla en Olivos, imperdible!</t>
  </si>
  <si>
    <t>Blas Parera  al 2700</t>
  </si>
  <si>
    <t>Argentina | G.B.A. Zona Norte | Vicente López | Olivos | Olivos-Uzal/Panam.</t>
  </si>
  <si>
    <t>CAP7295102</t>
  </si>
  <si>
    <t>Venta departamento 3 ambientes balcón cochera patio Villa Crespo</t>
  </si>
  <si>
    <t>AAP7302931</t>
  </si>
  <si>
    <t>Departamento 2 ambientes amplio en el corazón de Almagro</t>
  </si>
  <si>
    <t>Bartolomé Mitre  al 4000</t>
  </si>
  <si>
    <t>CLA4698181</t>
  </si>
  <si>
    <t>Terreno - Santa Fe</t>
  </si>
  <si>
    <t>Diagonal aguado 8800</t>
  </si>
  <si>
    <t>CLA7254291</t>
  </si>
  <si>
    <t>Terreno en Antiguo Camino Bariloche</t>
  </si>
  <si>
    <t>Lago Moreno y Caballo Zaino</t>
  </si>
  <si>
    <t>Argentina | Rio Negro | Bariloche | San Carlos De Bariloche | 2 de Agosto</t>
  </si>
  <si>
    <t>Burela 2172 - Javier Lopez - Yamila Lesina</t>
  </si>
  <si>
    <t>Burela 2172</t>
  </si>
  <si>
    <t>CHO6622142</t>
  </si>
  <si>
    <t xml:space="preserve">Casa en Venta 3 dormitorios Haras Santa Maria El Molino- Financia </t>
  </si>
  <si>
    <t>Haras Santa Maria El Molino Escobar</t>
  </si>
  <si>
    <t>Argentina | G.B.A. Zona Norte | Escobar | Countries/B.Cerrado (Escobar) | Haras Santa Maria</t>
  </si>
  <si>
    <t>AMENABAR 2081</t>
  </si>
  <si>
    <t>DCH5811621</t>
  </si>
  <si>
    <t>Venta Chacra - Haras - Cria Caballos Arabes - 10 ha - Capilla del Señor</t>
  </si>
  <si>
    <t>Partido de EXALTACION DE LA CRUZ</t>
  </si>
  <si>
    <t>Argentina | G.B.A. Zona Norte | Exaltacion De La Cruz | Capilla Del Señor</t>
  </si>
  <si>
    <t>Rancho</t>
  </si>
  <si>
    <t>CPH7255069</t>
  </si>
  <si>
    <t xml:space="preserve">VENTA DE PH DE 2 AMBIENTES EN SAN CRISTOBAL </t>
  </si>
  <si>
    <t>Pavon  al 3500</t>
  </si>
  <si>
    <t>CAP7205657</t>
  </si>
  <si>
    <t>Venta Departamento 3 ambientes en  Saavedra al frente de la plaza  Cochera opc. Entrega Enero 2026</t>
  </si>
  <si>
    <t>Machain  al 3500 2 frente</t>
  </si>
  <si>
    <t>Leopardi 152</t>
  </si>
  <si>
    <t>CAP6713879</t>
  </si>
  <si>
    <t>VENTA apto credito Casa de 3 dormitorios  Las Marias Bariloche</t>
  </si>
  <si>
    <t>Las Marias, San Carlos de Bariloche</t>
  </si>
  <si>
    <t>Argentina | Rio Negro | Bariloche | San Carlos De Bariloche | Las Marías</t>
  </si>
  <si>
    <t>CHO6931906</t>
  </si>
  <si>
    <t>Casa lote propio en venta con terraza patio cochera parrilla en Parque Chacabuco</t>
  </si>
  <si>
    <t>Tejedor al 800</t>
  </si>
  <si>
    <t>CAP6234351</t>
  </si>
  <si>
    <t>Venta Departamento 3 ambientes en Tigre Centro</t>
  </si>
  <si>
    <t>Saenz Peña al 900</t>
  </si>
  <si>
    <t>CAP6771879</t>
  </si>
  <si>
    <t>Departamento venta 4 amb</t>
  </si>
  <si>
    <t>Rincón al 100</t>
  </si>
  <si>
    <t>CHO6527642</t>
  </si>
  <si>
    <t>Duplex Pilar</t>
  </si>
  <si>
    <t>CHO6525232</t>
  </si>
  <si>
    <t>Venta Casa  4 ambientes en Club Jardín Náutico Escobar c/amarra Río Paraná</t>
  </si>
  <si>
    <t xml:space="preserve">Club Jardín Nautico </t>
  </si>
  <si>
    <t>Argentina | G.B.A. Zona Norte | Escobar | Countries/B.Cerrado (Escobar) | Jardin Nautico De Escobar</t>
  </si>
  <si>
    <t>CAP6446170</t>
  </si>
  <si>
    <t>VENTA DEPARTAMENTO 3 AMBIENTES CON COCHERA VISTA ABIERTA EN NUÑEZ</t>
  </si>
  <si>
    <t>Cuba al 4600</t>
  </si>
  <si>
    <t>Rosas Castillo 2800</t>
  </si>
  <si>
    <t xml:space="preserve">Argentina | Interior Buenos Aires | Balcarce </t>
  </si>
  <si>
    <t>CAP7269117</t>
  </si>
  <si>
    <t>VENTA DEPARTAMENTO 3 AMB CON BALCON VILLA URQUIZA</t>
  </si>
  <si>
    <t>CAP7269061</t>
  </si>
  <si>
    <t>CAP6813344</t>
  </si>
  <si>
    <t xml:space="preserve">MONOAMBIENTE CON JARDIN - A ESTRENAR - </t>
  </si>
  <si>
    <t>VOLTA al 1800</t>
  </si>
  <si>
    <t>Op. con century. Lote Comahue 948,67 m2, loteo jarama- 162006296860000</t>
  </si>
  <si>
    <t>Av. 7 Lagos 500</t>
  </si>
  <si>
    <t>CHO7087890</t>
  </si>
  <si>
    <t>Casa en VENTA de 3 dormitorios, 111 mts, Barrio Las Victorias -APTA CREDITO- Bariloche</t>
  </si>
  <si>
    <t>Reserva Venta Marianela Nay Casa Melipal II - Sarmiento Sup. 3785</t>
  </si>
  <si>
    <t>Sarmiento Superior 3785</t>
  </si>
  <si>
    <t>CHO7300194</t>
  </si>
  <si>
    <t>Casa en alquiler permanente en Bariloche</t>
  </si>
  <si>
    <t>Argentina | Rio Negro | Bariloche | San Carlos De Bariloche | Nahuel Malal</t>
  </si>
  <si>
    <t>BENJAMIN SAENZ VALIENTE 1472</t>
  </si>
  <si>
    <t>CAP6883338</t>
  </si>
  <si>
    <t>Oportunidad! 2 ambientes super luminoso en zona estratégica! Ideal inversión!</t>
  </si>
  <si>
    <t>Salguero al 1800</t>
  </si>
  <si>
    <t>CAP6886368</t>
  </si>
  <si>
    <t>Austria 2400</t>
  </si>
  <si>
    <t>CFA6928177</t>
  </si>
  <si>
    <t>Finca de 8 has, con casa y galpón, a 18 minutos de San Rafael!</t>
  </si>
  <si>
    <t>Sardini y calle 4 0</t>
  </si>
  <si>
    <t>VAP6950907</t>
  </si>
  <si>
    <t>Monoambiente luminoso - Entre Ríos y Belgrano - vivienda y apto profesional</t>
  </si>
  <si>
    <t>Entre rios al 400 - Piso Alto</t>
  </si>
  <si>
    <t>CAP7044392</t>
  </si>
  <si>
    <t>Venta Departamento 2 Ambientes en Santos Lugares</t>
  </si>
  <si>
    <t>Pablo Giorello  al 1500</t>
  </si>
  <si>
    <t>CAP7212292</t>
  </si>
  <si>
    <t>Venta Departamento 3 Ambientes en Villa Crespo</t>
  </si>
  <si>
    <t>Aguirre  al 500</t>
  </si>
  <si>
    <t>Felipe Vallese 1353</t>
  </si>
  <si>
    <t>Felipe Vallese</t>
  </si>
  <si>
    <t>Cuba 2400</t>
  </si>
  <si>
    <t>CPH7216728</t>
  </si>
  <si>
    <t>Venta PH 3 Ambientes en Caballito</t>
  </si>
  <si>
    <t>Av. Eva Perón al 1300</t>
  </si>
  <si>
    <t>Tejedor</t>
  </si>
  <si>
    <t>tejedor</t>
  </si>
  <si>
    <t>Argentina | Capital Federal | Belgrano | Belgrano Chico</t>
  </si>
  <si>
    <t>CAP7037992</t>
  </si>
  <si>
    <t xml:space="preserve">Departamento en  venta, 2 ambientes en calle 7 e/ 32 y 33 </t>
  </si>
  <si>
    <t>7 e/ 32 y 33 31</t>
  </si>
  <si>
    <t>LOTE LIQUIDAMBAR 27</t>
  </si>
  <si>
    <t>Av. Pueyrredon 2409 - Toribio Achaval - Marina y Guadalupe</t>
  </si>
  <si>
    <t>Av. Pueyrredon 2409</t>
  </si>
  <si>
    <t>CAP7176434</t>
  </si>
  <si>
    <t xml:space="preserve">Venta - Departamento - 1 Amb - Floresta - Apto Credito </t>
  </si>
  <si>
    <t>Juan B Justo 7200</t>
  </si>
  <si>
    <t>Gral Carlos de Alvear 2740 - Leonardo Fodor - Leo Maroni</t>
  </si>
  <si>
    <t>Gral Carlos de Alvear 2740</t>
  </si>
  <si>
    <t>CAP7205540</t>
  </si>
  <si>
    <t>3 Ambientes con cochera en Belgrano. Amplia Cocina</t>
  </si>
  <si>
    <t>vidal  al 1900</t>
  </si>
  <si>
    <t>Marraspin 3442 - Gomez Lama - Leo Maroni</t>
  </si>
  <si>
    <t xml:space="preserve">Marraspin 3442 </t>
  </si>
  <si>
    <t>CPH7050534</t>
  </si>
  <si>
    <t>VENTA PH 2 AMBIENTES Y ENTREPISO, BALCON, LUMINOSO, APTO CREDITO</t>
  </si>
  <si>
    <t>UF 12 Altos Radal II</t>
  </si>
  <si>
    <t>Michay 100</t>
  </si>
  <si>
    <t>Lote UF 18 Manzano Bay View 694,93m2- 162106451620000</t>
  </si>
  <si>
    <t>Av. Arrayanes 10.000</t>
  </si>
  <si>
    <t>Estados Unidos  2154</t>
  </si>
  <si>
    <t>Estados Unidos 2154</t>
  </si>
  <si>
    <t>CAP7225197</t>
  </si>
  <si>
    <t>Venta departamento 2 habitaciones mendoza</t>
  </si>
  <si>
    <t>La plata  41</t>
  </si>
  <si>
    <t>CAP7288480</t>
  </si>
  <si>
    <t>Departamento en venta Ciudad de Mendoza</t>
  </si>
  <si>
    <t>Necochea  40</t>
  </si>
  <si>
    <t>CGA7289163</t>
  </si>
  <si>
    <t>Cochera en Mendoza</t>
  </si>
  <si>
    <t>Garibaldi al 100</t>
  </si>
  <si>
    <t>CAP5937369</t>
  </si>
  <si>
    <t xml:space="preserve">Departamento en Venta - Capital - Mendoza </t>
  </si>
  <si>
    <t>25 de Mayo  al 900</t>
  </si>
  <si>
    <t>CFC7121640</t>
  </si>
  <si>
    <t>Cabañas en Venta - Complejo Turístico Potrerillos</t>
  </si>
  <si>
    <t>Argentina | Mendoza | Lujan De Cuyo | Potrerillos</t>
  </si>
  <si>
    <t>HONDURAS 3740</t>
  </si>
  <si>
    <t>DEPARTAMENTO VENTA HONDURAS 3740</t>
  </si>
  <si>
    <t>Cuenca 4547</t>
  </si>
  <si>
    <t>activa</t>
  </si>
  <si>
    <t>tigre park torre tierra 4to h</t>
  </si>
  <si>
    <t>Caracas Nº 1.525</t>
  </si>
  <si>
    <t>CAP7110804</t>
  </si>
  <si>
    <t>Departamento 2 ambientes con balcón y cochera en VENTA</t>
  </si>
  <si>
    <t>Raquel Español  al 100</t>
  </si>
  <si>
    <t>CAP6950734</t>
  </si>
  <si>
    <t>VENTA DEPARTAMENTO 3 DORMITORIOS CON DEPENDENCIA EN LAS CAÑITAS</t>
  </si>
  <si>
    <t>MIgueletes  al 500</t>
  </si>
  <si>
    <t>CAP6830451</t>
  </si>
  <si>
    <t>Venta Departamento 2 ambientes en Caballito  CON PATIO Y BALCON PISO 3</t>
  </si>
  <si>
    <t>Yerbal  1000        PISO 3</t>
  </si>
  <si>
    <t>CLA6849629</t>
  </si>
  <si>
    <t>Terreno en  TERRAZAS PARK VISTALBA</t>
  </si>
  <si>
    <t>TERRAZAS PARK VISTALBA GUARDIA VIEJA al 1200</t>
  </si>
  <si>
    <t>Arias 3183</t>
  </si>
  <si>
    <t>CPH7097318</t>
  </si>
  <si>
    <t>Venta PH 6 ambientes con patio y terraza en Villa Santa Rita</t>
  </si>
  <si>
    <t>Juan Agustin Garcia  al 3200</t>
  </si>
  <si>
    <t>CGA6385515</t>
  </si>
  <si>
    <t>Venta Cochera en Recoleta</t>
  </si>
  <si>
    <t>Anchorena  al 1700</t>
  </si>
  <si>
    <t>DUPLEX 46 11 Y 12</t>
  </si>
  <si>
    <t>CHO6759304</t>
  </si>
  <si>
    <t>Casa en Gonnet con quincho, parque y pileta - 486 esq. 23</t>
  </si>
  <si>
    <t>CAP7161805</t>
  </si>
  <si>
    <t>Venta de departamento de 2 ambientes en Almagro super luminoso! - Permuta</t>
  </si>
  <si>
    <t xml:space="preserve"> Colombres al 400</t>
  </si>
  <si>
    <t>CAP7331334</t>
  </si>
  <si>
    <t>Departamento 2 AMB en Alquiler - Marinas del Portezuelo</t>
  </si>
  <si>
    <t>JAP6999267</t>
  </si>
  <si>
    <t>Departamento en  venta</t>
  </si>
  <si>
    <t xml:space="preserve">av. juan bautista alberdi 3292 </t>
  </si>
  <si>
    <t>JAP6743042</t>
  </si>
  <si>
    <t>VENTA PISO 4 AMBIENTES DEPENDENCIA COCHERA BAULERA VICENTE LOPEZ</t>
  </si>
  <si>
    <t>José Mármol al 1500</t>
  </si>
  <si>
    <t>CLA7136588</t>
  </si>
  <si>
    <t>Venta Lote 455m² B° Los Manzanos Plottier</t>
  </si>
  <si>
    <t>Lote 10 Mza B, B° Los Manzanos</t>
  </si>
  <si>
    <t>CLA4381315</t>
  </si>
  <si>
    <t>Terreno - Cid Campeador</t>
  </si>
  <si>
    <t>PASAJE MACIEL al 800</t>
  </si>
  <si>
    <t>Irigoyen 717 en venta</t>
  </si>
  <si>
    <t>Irigoyen 717</t>
  </si>
  <si>
    <t>CAP7282199</t>
  </si>
  <si>
    <t>VENTA Departamento Céntrico Monoambiente 22m2 Villa La Angostura</t>
  </si>
  <si>
    <t>Retamas 315</t>
  </si>
  <si>
    <t>CAP7283556</t>
  </si>
  <si>
    <t>VENTA MONOAMBIENTE APTO PROFESIONAL FACULTAD DE MEDICINA APTO CRÉDITO</t>
  </si>
  <si>
    <t>VIAMONTE al 2100</t>
  </si>
  <si>
    <t>CAP6845327</t>
  </si>
  <si>
    <t>Venta Departamento 2 ambientes Almagro Hospital Italiano</t>
  </si>
  <si>
    <t>Peron al 4200</t>
  </si>
  <si>
    <t>CAP7349766</t>
  </si>
  <si>
    <t>CAP7279846</t>
  </si>
  <si>
    <t>VENTA 2 AMBIENTES AMPLIO A RECICLAR - APTO CRÉDITO URQUIZA</t>
  </si>
  <si>
    <t>MONROE al 4100</t>
  </si>
  <si>
    <t>Fraternidad 1769</t>
  </si>
  <si>
    <t>CCS6159341</t>
  </si>
  <si>
    <t>5 Hectareas En Venta Ruta 26 La Isla - Salta</t>
  </si>
  <si>
    <t xml:space="preserve">La Isla Ruta 26 </t>
  </si>
  <si>
    <t>Argentina | Salta | Capital | La Isla</t>
  </si>
  <si>
    <t>VAP6197958</t>
  </si>
  <si>
    <t>Departamento en Villa Los Remeros - 3 Ambientes</t>
  </si>
  <si>
    <t>Departamento en Villa Los Remeros - 3 AMB</t>
  </si>
  <si>
    <t>Monroe 4046 - Remax - Agustin Gaviña</t>
  </si>
  <si>
    <t>Monroe 4046</t>
  </si>
  <si>
    <t>CAP7066076</t>
  </si>
  <si>
    <t>VENTA - DEPTO - 3 AMB - RECOLETA - PARAGUAY Y URUGUAY</t>
  </si>
  <si>
    <t>Paraguay  al 1300</t>
  </si>
  <si>
    <t>Depto Vale-Evelyn</t>
  </si>
  <si>
    <t>CAP7126766</t>
  </si>
  <si>
    <t>Monoambiente Luminoso con Balcón y Vista Abierta. Pileta - Palermo Hollywood - Opción Amoblado</t>
  </si>
  <si>
    <t>Soler al 5900</t>
  </si>
  <si>
    <t>CAP5163314</t>
  </si>
  <si>
    <t>Departamento en venta 4 ambientes en Caballito</t>
  </si>
  <si>
    <t>Miro al 100</t>
  </si>
  <si>
    <t>CAP7145275</t>
  </si>
  <si>
    <t>Departamento en San Isidro</t>
  </si>
  <si>
    <t>CAP7020572</t>
  </si>
  <si>
    <t>Venta Departamento en Villa Urquiza Apto Crédito Apto Profesional</t>
  </si>
  <si>
    <t>Olazabal al 5400</t>
  </si>
  <si>
    <t>CAP7197860</t>
  </si>
  <si>
    <t xml:space="preserve">VENTA DEPARTAMENTO 4 AMBIENTES CABALLITO CON COCHERA Y BAULERA </t>
  </si>
  <si>
    <t>MARTIN DE GAINZA 60</t>
  </si>
  <si>
    <t>MATANZA 3400</t>
  </si>
  <si>
    <t>VENTA DTO CALLE MATANZA 3400 CABA</t>
  </si>
  <si>
    <t>MATANZA 3410</t>
  </si>
  <si>
    <t xml:space="preserve">Argentina | Capital Federal | Pompeya </t>
  </si>
  <si>
    <t>CHO7385133</t>
  </si>
  <si>
    <t>Casa en Los Hornos</t>
  </si>
  <si>
    <t>RICARDO ALDAO al 3576</t>
  </si>
  <si>
    <t>Argentina | Santa Fe | La Capital | Los Hornos</t>
  </si>
  <si>
    <t>Ayacucho 1375 - RBA Inmo - Rodriguez Mañe</t>
  </si>
  <si>
    <t>Ayacucho 1375</t>
  </si>
  <si>
    <t>Peña 2028 3A - RBA inmobiliaria - Rodriquez Mañe</t>
  </si>
  <si>
    <t>Peña 2028</t>
  </si>
  <si>
    <t>Arenales 1876 - Piso 9 - Bs. As. Habitat - Marcela Subiza</t>
  </si>
  <si>
    <t xml:space="preserve">Arenales 1876 </t>
  </si>
  <si>
    <t>CHO7175314</t>
  </si>
  <si>
    <t>Casa Apta Crédito en  Cipolletti</t>
  </si>
  <si>
    <t>B° Los Tilos</t>
  </si>
  <si>
    <t>Argentina | G.B.A. Zona Norte | Pilar | Countries/B.Cerrado (Pilar) | La cañada de Pilar</t>
  </si>
  <si>
    <t>CAP7025062</t>
  </si>
  <si>
    <t>Venta Departamento 4 ambientes con Jardín en Recoleta</t>
  </si>
  <si>
    <t>Laprida al 1700</t>
  </si>
  <si>
    <t xml:space="preserve">Nuñez 3661 piso 19 dto D </t>
  </si>
  <si>
    <t>CHO7101420</t>
  </si>
  <si>
    <t>Casa - Balneario Las Grutas</t>
  </si>
  <si>
    <t>Balnerio Las Grutas , Primer  Bajada, Av San Antonio 448</t>
  </si>
  <si>
    <t>Argentina | Rio Negro | San Antonio | Balneario Las Grutas</t>
  </si>
  <si>
    <t>CBA59141 LA7442517</t>
  </si>
  <si>
    <t>Millaqueo 665</t>
  </si>
  <si>
    <t>CLA7255775</t>
  </si>
  <si>
    <t>Venta Terreno 350 m2. Chacra 30. San Martín de los Andes</t>
  </si>
  <si>
    <t xml:space="preserve"> Chacra 30. San Martin de los Andes</t>
  </si>
  <si>
    <t>CLA7359915</t>
  </si>
  <si>
    <t>Venta Lote/terreno 355 M2 Cordones de Chapelco San Martin de los Andes</t>
  </si>
  <si>
    <t>cordones</t>
  </si>
  <si>
    <t xml:space="preserve">Olazabal 4538 7°4 </t>
  </si>
  <si>
    <t>CAP7144503</t>
  </si>
  <si>
    <t>Venta Departamento 2 ambientes Av. Santa Fe al 800</t>
  </si>
  <si>
    <t>Avenida Santa Fe al 800</t>
  </si>
  <si>
    <t>CPH7360102</t>
  </si>
  <si>
    <t>PH en venta Calle 58 entre 12 y Av. 13, con gran potencial a reciclar. Ubicación estratégica</t>
  </si>
  <si>
    <t>Zelada 5650</t>
  </si>
  <si>
    <t>CAP6803190</t>
  </si>
  <si>
    <t>Departamento en venta en Las Flores 1- Rentabilidad ideal</t>
  </si>
  <si>
    <t>Departartamento de dos dormitorios en venta, en Barrio Las Flores</t>
  </si>
  <si>
    <t>CHO7112738</t>
  </si>
  <si>
    <t>Metan | Casa | 4 habitaciones | terreno 566 m2</t>
  </si>
  <si>
    <t>Calle Salta (este) al 100 - Metan</t>
  </si>
  <si>
    <t>Argentina | Salta | Metan | Metan</t>
  </si>
  <si>
    <t>CLA7341975</t>
  </si>
  <si>
    <t>Terreno en venta en La Celestina, Cerrillos</t>
  </si>
  <si>
    <t xml:space="preserve">La Celestina </t>
  </si>
  <si>
    <t>ORTIZ DE OCAMPO</t>
  </si>
  <si>
    <t xml:space="preserve">ORTIZ DE OCAMPO 2506 </t>
  </si>
  <si>
    <t>ORTIZ DE OCAMPO 3506</t>
  </si>
  <si>
    <t>CAP6514090</t>
  </si>
  <si>
    <t>OPORTUNIDAD!  Apto Crédito  venta departamento 2 amb c/ patio en Palermo</t>
  </si>
  <si>
    <t>Avenida Santa Fe al 5200</t>
  </si>
  <si>
    <t>Charcas al 4700</t>
  </si>
  <si>
    <t>CWE6870466</t>
  </si>
  <si>
    <t>Quinta en  San Patricio del Chañar</t>
  </si>
  <si>
    <t>Casa Quinta, 4.800 m2, ruta 7, S.P. Chañar- Añelo- Neuquén</t>
  </si>
  <si>
    <t>Argentina | Neuquen | Añelo | San Patricio Del Chañar</t>
  </si>
  <si>
    <t>CAP7320612</t>
  </si>
  <si>
    <t>Venta departamento 3 ambientes, cochera, baulera, en Belgrano</t>
  </si>
  <si>
    <t>Amenabar 1800</t>
  </si>
  <si>
    <t>CBA59141 LA7277574</t>
  </si>
  <si>
    <t>French al 3000</t>
  </si>
  <si>
    <t>CAP6172214</t>
  </si>
  <si>
    <t>Venta - Departamento - 2 Ambientes - Reciclado - Belgrano - Permuta - Apto Credito</t>
  </si>
  <si>
    <t>Cramer 2000</t>
  </si>
  <si>
    <t>CAP4420882</t>
  </si>
  <si>
    <t>Venta - Departamento - Colegiales - 2 Ambientes - Luminoso - Oportunidad - Permuta</t>
  </si>
  <si>
    <t>Cramer al 300</t>
  </si>
  <si>
    <t>AMANECERES RESIDENCE</t>
  </si>
  <si>
    <t>FORMOSA 335</t>
  </si>
  <si>
    <t>CAP6867038</t>
  </si>
  <si>
    <t>VENTA DEPARTAMENTO 3 AMBIENTES BALCON COCHERA SAN JUSTO CTRO</t>
  </si>
  <si>
    <t>Juan Domingo Perón al 3100</t>
  </si>
  <si>
    <t>Argentina | G.B.A. Zona Oeste | La Matanza | San Justo | S.Justo (Ctro)</t>
  </si>
  <si>
    <t>CPH7125734</t>
  </si>
  <si>
    <t>PH en Constitución</t>
  </si>
  <si>
    <t xml:space="preserve">Saenz Peña 1854 </t>
  </si>
  <si>
    <t>CAP6979030</t>
  </si>
  <si>
    <t>Departamento en  Caballito</t>
  </si>
  <si>
    <t>Luis Viale  al 1700</t>
  </si>
  <si>
    <t>CAP7174444</t>
  </si>
  <si>
    <t>OPORTUNIDAD! APTO CREDITO - Departamento 2 AMB a Nuevo en Almagro</t>
  </si>
  <si>
    <t>Yatay al 700</t>
  </si>
  <si>
    <t>ECUADOR 8vo UF 13 - Tomas Yanigro</t>
  </si>
  <si>
    <t>Ecuardor 8vo</t>
  </si>
  <si>
    <t>VAP4876171</t>
  </si>
  <si>
    <t>Departamento - Zerena</t>
  </si>
  <si>
    <t>Zerena, El Palmar</t>
  </si>
  <si>
    <t>VPN49872 LA5037497</t>
  </si>
  <si>
    <t>PREVENTA, Barrio El Paso  Del Viso</t>
  </si>
  <si>
    <t>BARRIO EL PASO, LOTE</t>
  </si>
  <si>
    <t>AHO6134334</t>
  </si>
  <si>
    <t>Casa de cuatro ambientes con patio y terraza</t>
  </si>
  <si>
    <t>F. M. Esquiu al 1400</t>
  </si>
  <si>
    <t xml:space="preserve">DEPARTAMENTO BERUTI </t>
  </si>
  <si>
    <t>BERUTI 4642</t>
  </si>
  <si>
    <t>CAP7229740</t>
  </si>
  <si>
    <t>VENTA Departamento 3 ambientes 67m2 centro habilitado alquiler ATT Villa La Angostura</t>
  </si>
  <si>
    <t>Del Chilco</t>
  </si>
  <si>
    <t>CBTCAB00125</t>
  </si>
  <si>
    <t>Departamento Libertador 12950</t>
  </si>
  <si>
    <t>Avenida Libertador 12950</t>
  </si>
  <si>
    <t>CAP6982816</t>
  </si>
  <si>
    <t>Departamento en Caballito 3 ambientes con parque</t>
  </si>
  <si>
    <t>Avellaneda  al 100</t>
  </si>
  <si>
    <t>CLA7150936</t>
  </si>
  <si>
    <t>Terreno en  La Alameda</t>
  </si>
  <si>
    <t>Terreno Loteo La Alameda</t>
  </si>
  <si>
    <t>Argentina | Jujuy | San Antonio | Ceibal</t>
  </si>
  <si>
    <t>CPH7108619</t>
  </si>
  <si>
    <t>Venta PH 4 ambientes terraza balcón Villa Urquiza.</t>
  </si>
  <si>
    <t>Holmberg al 3100</t>
  </si>
  <si>
    <t>CLO7129795</t>
  </si>
  <si>
    <t xml:space="preserve">Local en VENTA- Montevideo al 700 </t>
  </si>
  <si>
    <t>Montevideo  al 700</t>
  </si>
  <si>
    <t>CAP7150569</t>
  </si>
  <si>
    <t>Venta Depto 3 Amb Luminoso Apto Crédito Belgrano</t>
  </si>
  <si>
    <t>O'higgins al 2577</t>
  </si>
  <si>
    <t>CGA7070559</t>
  </si>
  <si>
    <t>Cochera en   pleno candioti</t>
  </si>
  <si>
    <t>Cocheras con local comercial para inversión en pleno candioti</t>
  </si>
  <si>
    <t>CASA DE 6 AMBIENTES LOTE INTERNO Talar del Lago II al 300</t>
  </si>
  <si>
    <t>CAP6502651</t>
  </si>
  <si>
    <t>APTO CREDITO - Departamento  4 AMB -  Venta en Caballito</t>
  </si>
  <si>
    <t>Búsqueda depto tres ambientes por reubicación</t>
  </si>
  <si>
    <t>Desiderio Davel 556, 1° CABA</t>
  </si>
  <si>
    <t>CLA6813712</t>
  </si>
  <si>
    <t>Terreno en Venta en Caballito. USAB2</t>
  </si>
  <si>
    <t>TERRENO EN VENTA José Juan Biedma al 1000</t>
  </si>
  <si>
    <t>Chorroarin 656</t>
  </si>
  <si>
    <t>CPH6897694</t>
  </si>
  <si>
    <t>VENTA 3 AMBIENTES CON BALCON APTO PROFESIONAL Y CREDITO NUEVA POMPEYA</t>
  </si>
  <si>
    <t>Grito de Asencio al 3800</t>
  </si>
  <si>
    <t>CAP6407812</t>
  </si>
  <si>
    <t>Venta exclusiva propiedad de 6 dormitorios en Recoleta</t>
  </si>
  <si>
    <t>Av. Santa Fe al 1500</t>
  </si>
  <si>
    <t>CAP7442606</t>
  </si>
  <si>
    <t>VENTA Depto en pozo , UF 1B Modulo 1  Amenities, Vista al Lago y cordillera, B° Las Balsas, Villa La Angostura</t>
  </si>
  <si>
    <t>Calle Interna Feicuram</t>
  </si>
  <si>
    <t>CAP6824790</t>
  </si>
  <si>
    <t>VENTA Depto 44m2 en P.Baja B Modulo 2, Pozo Amenities, Vista al Lago y cordillera, B° Las Balsas, Villa La Angostura</t>
  </si>
  <si>
    <t>CAP6768489</t>
  </si>
  <si>
    <t>Venta Departamento Monoambiente con Balcón en Florida</t>
  </si>
  <si>
    <t>Av Maipu al 300</t>
  </si>
  <si>
    <t>CAP7079482</t>
  </si>
  <si>
    <t>VENTA 3 AMBIENTES AMPLIO BALCON  VISTA ABIERTA PARQUE CHAS APTO CREDITO</t>
  </si>
  <si>
    <t>Avenida de los Incas al 4700</t>
  </si>
  <si>
    <t>CHO6409349</t>
  </si>
  <si>
    <t>Venta Casa en PH  102m2 Lote 560m2 Barrio Las Nalcas San Martin de los  Andes</t>
  </si>
  <si>
    <t>Cerro La Horqueta 852</t>
  </si>
  <si>
    <t>CPH6379080</t>
  </si>
  <si>
    <t>VENTA PH 3 AMBIENTES C/ PATIO, QUINCHO, PARRILLA  Y TERRAZA EN VALENTIN ALSINA.</t>
  </si>
  <si>
    <t>Alfredo Palacios al 3200</t>
  </si>
  <si>
    <t xml:space="preserve">Reserva Venta Flor Lote Dos Valles A25 </t>
  </si>
  <si>
    <t>CLA7026454</t>
  </si>
  <si>
    <t>TERRENO EN VENTA 337m2, FCO ALVAREZ ZONA DE CASA NUEVAS LOTE DE 12X28</t>
  </si>
  <si>
    <t>DIARIO LA NACION  al 4200</t>
  </si>
  <si>
    <t>Argentina | G.B.A. Zona Oeste | Moreno | Francisco Alvarez</t>
  </si>
  <si>
    <t>CAP6957444</t>
  </si>
  <si>
    <t>Venta de monoambiente con balcón en Devoto</t>
  </si>
  <si>
    <t>Mercedes  al 3200</t>
  </si>
  <si>
    <t>BERMUDEZ 2466</t>
  </si>
  <si>
    <t>CPH7205589</t>
  </si>
  <si>
    <t>Venta de Ph 3 ambientes en San Fernando Centro</t>
  </si>
  <si>
    <t>Avenida Presidente Peron al 1000</t>
  </si>
  <si>
    <t>Argentina | G.B.A. Zona Norte | San Fernando | San Fernando | S.Fer.-Vias/Centro</t>
  </si>
  <si>
    <t>CLA6603234</t>
  </si>
  <si>
    <t>Venta CASA  FACHADA HISTORICA EN PATERNAL</t>
  </si>
  <si>
    <t>Granada al 1600</t>
  </si>
  <si>
    <t>CHO6870424</t>
  </si>
  <si>
    <t>VENTA CASA EN BELGRANO R, 3 DORMITORIOS, GRAN PLAYROOM, GARAGE PARA 2 AUTOS.</t>
  </si>
  <si>
    <t>Carbajal al 3600</t>
  </si>
  <si>
    <t>CLA7062662</t>
  </si>
  <si>
    <t>Terreno esquina en  venta en Via Aurelia</t>
  </si>
  <si>
    <t>Lote 12 MZ E  Barrio Piedras de San  Francisco,NC 1525 051 7962 0000, 1000 m2, 20m x 50, SMA</t>
  </si>
  <si>
    <t>Piedra San Francisco</t>
  </si>
  <si>
    <t xml:space="preserve">DEPARTAMENTO SANCHEZ DE BUSTAMANTE </t>
  </si>
  <si>
    <t>CAP5356061</t>
  </si>
  <si>
    <t>Venta - Departamento - 3 Ambientes - A estrenar - Mataderos - Balcon</t>
  </si>
  <si>
    <t>Escalada 1060</t>
  </si>
  <si>
    <t xml:space="preserve">Argentina | Capital Federal | Mataderos </t>
  </si>
  <si>
    <t>CAP7173966</t>
  </si>
  <si>
    <t>Venta - Departamento - Flores - 2 Amb - Apto Credito - Balcon</t>
  </si>
  <si>
    <t>Directorio 3400</t>
  </si>
  <si>
    <t>CHO7042005</t>
  </si>
  <si>
    <t>Julián Aguirre al 1600 | CASA EN VENTA | HURLINGHAM | UNA PLANTA | 3 DORMITORIOS | JARDIN</t>
  </si>
  <si>
    <t>Argentina | G.B.A. Zona Oeste | Hurlingham | Hurlingham | William Morris</t>
  </si>
  <si>
    <t>CLA7300676</t>
  </si>
  <si>
    <t>Terreno en Centenario</t>
  </si>
  <si>
    <t>Lote apto Comercial- zona casco viejo- Centenario</t>
  </si>
  <si>
    <t>CLA6893264</t>
  </si>
  <si>
    <t>Venta Terreno en  Maschwitz 1.000m2</t>
  </si>
  <si>
    <t>Juana Azurduy y Esteban Echeverria</t>
  </si>
  <si>
    <t>CAP7186871</t>
  </si>
  <si>
    <t>VENTA DEPARTAMENTO DE 3 AMBIENTES EN VENTA EN PALERMO HOLLYWOOD</t>
  </si>
  <si>
    <t>COSTA RICA al 5500</t>
  </si>
  <si>
    <t>OP 192</t>
  </si>
  <si>
    <t>Araoz 2992</t>
  </si>
  <si>
    <t>CAP6738957</t>
  </si>
  <si>
    <t>Venta Monoambiente Divisible a 2 Ambientes con Balcón en Palermo Hollywood</t>
  </si>
  <si>
    <t>Fitz Roy al 2100</t>
  </si>
  <si>
    <t>Venta Moldes</t>
  </si>
  <si>
    <t>Moldes 3089 6G</t>
  </si>
  <si>
    <t>CAP6772107</t>
  </si>
  <si>
    <t>VENTA 3 AMBIENTES GRAN PATIO PLANTA BAJA - APTO CREDITO Y PROFESIONAL PALERMO</t>
  </si>
  <si>
    <t xml:space="preserve">GORRITI al 4000 </t>
  </si>
  <si>
    <t>Montiel 1300</t>
  </si>
  <si>
    <t>Venta Curapaligue  436</t>
  </si>
  <si>
    <t xml:space="preserve">Curapaligue 436 </t>
  </si>
  <si>
    <t>CAP7098407</t>
  </si>
  <si>
    <t>Venta Departamento 2 ambientes FRENTE Villa Luzuriaga San Justo La Matanza</t>
  </si>
  <si>
    <t>Republica de Chile al 700</t>
  </si>
  <si>
    <t>CLA7263283</t>
  </si>
  <si>
    <t>Terreno en los Domingos sauce viejo</t>
  </si>
  <si>
    <t>Lote en los Domingos, sauce Viejo</t>
  </si>
  <si>
    <t>Argentina | Santa Fe | La Capital | Sauce Viejo</t>
  </si>
  <si>
    <t>N/C - CUENCA 4863</t>
  </si>
  <si>
    <t>VENTA DPTO 3 AMBIENTES VILLA PUEYRREDON C BALCON</t>
  </si>
  <si>
    <t>CUENCA 4863</t>
  </si>
  <si>
    <t>N/C - JUNCAL 2151</t>
  </si>
  <si>
    <t>VENTA DPTO MONO IMPECABLE</t>
  </si>
  <si>
    <t>JUNCAL 2151</t>
  </si>
  <si>
    <t>CAP6701451</t>
  </si>
  <si>
    <t>VENTA Departamento, 2 dormitorios con financiación, Bariloche</t>
  </si>
  <si>
    <t>CLA6840403</t>
  </si>
  <si>
    <t>Terreno en VENTA o Alquiler COMERCIAL a 100m de Panamericana - Don Torcuato</t>
  </si>
  <si>
    <t>Belgrano al 2300</t>
  </si>
  <si>
    <t>COF6352366</t>
  </si>
  <si>
    <t>VENTA  3 AMBIENTES  MUY BUENO  VISTA PANORAMICA  SAN MARTIN</t>
  </si>
  <si>
    <t xml:space="preserve">Profesor Agustín Rogelio vidal 4900 </t>
  </si>
  <si>
    <t>AV. MAIPU 1936</t>
  </si>
  <si>
    <t>CHO6013706</t>
  </si>
  <si>
    <t>Venta/Casa/Lote Propio/Jardín/AptoCredito/5Amb/MonteCastro/Permuta</t>
  </si>
  <si>
    <t>Cervantes 2000</t>
  </si>
  <si>
    <t>CPH7031115</t>
  </si>
  <si>
    <t>Venta/PH/3 Amb/Patio/Apto Credito/Devoto/Permuta</t>
  </si>
  <si>
    <t>Bermudez 3200</t>
  </si>
  <si>
    <t>Marcos Sastre 5115</t>
  </si>
  <si>
    <t>JHO6669568</t>
  </si>
  <si>
    <t>VENTA CASA HARAS DEL SUR 2  4 AMBIENTES  BRANDSEN</t>
  </si>
  <si>
    <t>HARAS DEL SUR II</t>
  </si>
  <si>
    <t>Argentina | G.B.A. Zona Sur | La Plata | Countries/B.Cerrado (La Plata) | Haras del Sur II</t>
  </si>
  <si>
    <t>CHO7284319</t>
  </si>
  <si>
    <t>Casa calle Salta 327  San Rafael</t>
  </si>
  <si>
    <t>SALTA  al 300</t>
  </si>
  <si>
    <t>CAP6738448</t>
  </si>
  <si>
    <t>Venta Departamento Loft  2 Ambientes y medio en Las Cañitas</t>
  </si>
  <si>
    <t>Ortega y Gasset al 1700</t>
  </si>
  <si>
    <t>VAP6922986</t>
  </si>
  <si>
    <t>Venta Departamento en  Retiro. Estilo racionalista Dos ambientes</t>
  </si>
  <si>
    <t>Avenida Libertador al 100</t>
  </si>
  <si>
    <t>Departamento de 2 ambientes en Palermo</t>
  </si>
  <si>
    <t>Araoz 2385</t>
  </si>
  <si>
    <t>CPH6350996</t>
  </si>
  <si>
    <t>VENTA PH 3 AMBIENTES  SIN EXPENSAS CON PATIO PARRILLA PROPIA   A ESTRENAR</t>
  </si>
  <si>
    <t>CAP6984374</t>
  </si>
  <si>
    <t>Departamento 2 Ambientes a Estrenar- WE LIVE - Puerto de Olivos</t>
  </si>
  <si>
    <t>Juan Carlos Cruz  al 2200</t>
  </si>
  <si>
    <t>CAP6937628</t>
  </si>
  <si>
    <t>Departamento en  Venta, General Roca</t>
  </si>
  <si>
    <t>Complejo Jujuy  al 700</t>
  </si>
  <si>
    <t>CHO7176940</t>
  </si>
  <si>
    <t>Casa en  Venta Barrio San Francisco</t>
  </si>
  <si>
    <t>22 de Mayo  al 500</t>
  </si>
  <si>
    <t>CHO6655151</t>
  </si>
  <si>
    <t>VENTA-PERMUTA EXCELENTE CASA de 5 AMB. HARAS MALACATE ( COUNTRY CLUB Y GOLF)</t>
  </si>
  <si>
    <t>HARAS EL MALACATE</t>
  </si>
  <si>
    <t>Argentina | G.B.A. Zona Norte | Exaltacion De La Cruz | Countries/B.Cerrado (Exaltación) | Haras el Malacate</t>
  </si>
  <si>
    <t>CAP6840414</t>
  </si>
  <si>
    <t>VENTA DEPARTAMENTO 3 AMBIENTES BALCON PLAZA ARENALES  PERMUTA</t>
  </si>
  <si>
    <t>MARIA DEL CARRIL al 3600</t>
  </si>
  <si>
    <t>VAP7192051</t>
  </si>
  <si>
    <t>Departamento en venta de dos ambientes con balcón y amenities</t>
  </si>
  <si>
    <t>Paraguay al 4800</t>
  </si>
  <si>
    <t>Departamento en venta en coglan</t>
  </si>
  <si>
    <t>Cramer 2562</t>
  </si>
  <si>
    <t>CPH7297272</t>
  </si>
  <si>
    <t>Venta PH2 ambientes en Agronomía- Patio- Sin expensas- Apto crédito</t>
  </si>
  <si>
    <t>Asunción al 2200</t>
  </si>
  <si>
    <t>CAP7288637</t>
  </si>
  <si>
    <t>Venta Departamento con patio en centro de Palermo</t>
  </si>
  <si>
    <t>Thames al 1700</t>
  </si>
  <si>
    <t>CAP6390524</t>
  </si>
  <si>
    <t>CPH7176485</t>
  </si>
  <si>
    <t>Venta PH 3 Amb Sin Expensas Luminoso en San Isidro</t>
  </si>
  <si>
    <t>Cardenal Copello  747</t>
  </si>
  <si>
    <t>CLA7329927</t>
  </si>
  <si>
    <t>Terreno en venta Retoños de Colon - Salta</t>
  </si>
  <si>
    <t>Retoños de Colon</t>
  </si>
  <si>
    <t xml:space="preserve">Reserva Venta Flor D. Innova Lote Terrazas </t>
  </si>
  <si>
    <t>CAP6340789</t>
  </si>
  <si>
    <t xml:space="preserve">Departamento 3 ambientes en Belgrano con Cochera </t>
  </si>
  <si>
    <t>RIO BAMBA</t>
  </si>
  <si>
    <t xml:space="preserve">RIO BAMBA CABA </t>
  </si>
  <si>
    <t xml:space="preserve">RIOBAMBA </t>
  </si>
  <si>
    <t>VAP6718492</t>
  </si>
  <si>
    <t>Departamento en  Venta - 4 AMB en La Balconada, Los Castaños</t>
  </si>
  <si>
    <t>83Stella</t>
  </si>
  <si>
    <t>Departamento de 1 dormitorio</t>
  </si>
  <si>
    <t>Av. Gral Lopez 3234</t>
  </si>
  <si>
    <t>87Eli</t>
  </si>
  <si>
    <t>Casa en Santo tome</t>
  </si>
  <si>
    <t>J J Paso 4203</t>
  </si>
  <si>
    <t>CAP7073730</t>
  </si>
  <si>
    <t>Venta piso de 4 ambientes más dependencia en Villa Crespo</t>
  </si>
  <si>
    <t>Lavalleja al 600</t>
  </si>
  <si>
    <t>Lote 1533 m2 Piedra San Francisco  15-25-050-3372-000</t>
  </si>
  <si>
    <t>CPH5180604</t>
  </si>
  <si>
    <t>Amplio PH al frente de tres dormitorios y patio  119 E/ 35 y 36</t>
  </si>
  <si>
    <t>119 E/ 35 y 36</t>
  </si>
  <si>
    <t>CPH7293621</t>
  </si>
  <si>
    <t>Venta permuta PH Barracas apto credito dos ambientes  sin expensas con patio</t>
  </si>
  <si>
    <t>Santa Magdalena al 783</t>
  </si>
  <si>
    <t>CAP6990490</t>
  </si>
  <si>
    <t>VENTA DEPARTAMENTO 3 AMBIENTES COCHERA VILLA PUEYRREDON</t>
  </si>
  <si>
    <t>Gabriela Mistral al 2800</t>
  </si>
  <si>
    <t xml:space="preserve">Austria 2051 - cochera </t>
  </si>
  <si>
    <t xml:space="preserve">Rivadavia 5411 A-11 </t>
  </si>
  <si>
    <t>CAP7280709</t>
  </si>
  <si>
    <t>VENTA DEPARTAMENTO 2 AMBIENTES con Jardín - Apto crédito - Floresta</t>
  </si>
  <si>
    <t>Coronel Ramón Lorenzo Falcón 3300</t>
  </si>
  <si>
    <t>CGA7165909</t>
  </si>
  <si>
    <t>Cochera 3er piso, en  pleno centro con rampa y ascensor</t>
  </si>
  <si>
    <t>San Jeronimo  al 2600</t>
  </si>
  <si>
    <t>CAP5198530</t>
  </si>
  <si>
    <t>Departamento en  venta en Villa Pueyrredon - urquiza - con balcón a estrenar PERMUTA</t>
  </si>
  <si>
    <t>Mosconi  al 2300</t>
  </si>
  <si>
    <t>CAP7119833</t>
  </si>
  <si>
    <t>Amplio departamento 2 ambientes luminoso cocina grande ubicado en Floresta</t>
  </si>
  <si>
    <t>Segurola al 200</t>
  </si>
  <si>
    <t>CHO6960421</t>
  </si>
  <si>
    <t>Casa en  Venta 3 dormitorios Haras Santa Maria El Atardecer-Financia o Permuta</t>
  </si>
  <si>
    <t>Barrio Haras Santa Maria Escobar-El Atardecer</t>
  </si>
  <si>
    <t>Departamento en venta en Coghlan</t>
  </si>
  <si>
    <t>Conde 2546 4to A</t>
  </si>
  <si>
    <t>VAP7166680</t>
  </si>
  <si>
    <t>Piso a la venta en Belgrano 3 dormitorios con dependencia y cochera fija cubierta baulera SUM</t>
  </si>
  <si>
    <t>Av. Cramer  al 2500</t>
  </si>
  <si>
    <t>CHO7066189</t>
  </si>
  <si>
    <t>Blas Parera  al 900</t>
  </si>
  <si>
    <t>CHO6987858</t>
  </si>
  <si>
    <t>Casa en Venta - 4 AMB en El Ensueño</t>
  </si>
  <si>
    <t>Argentina | G.B.A. Zona Norte | Escobar | Barrio Privado El Ensueño</t>
  </si>
  <si>
    <t>Juan Jose Diaz en venta</t>
  </si>
  <si>
    <t>CPH6714214</t>
  </si>
  <si>
    <t>oportunidad PH en  Villa Ballester 3 ambientes a remodelar</t>
  </si>
  <si>
    <t>Mar del Plata al 4600</t>
  </si>
  <si>
    <t>CPH6403604</t>
  </si>
  <si>
    <t xml:space="preserve">Increible PH con terraza propia reciclado SUPER LUMINOSO </t>
  </si>
  <si>
    <t>Aguirre al 900</t>
  </si>
  <si>
    <t>CAP6811062</t>
  </si>
  <si>
    <t>CLA6531022</t>
  </si>
  <si>
    <t>Terreno en  Praderas de San Lorenzo</t>
  </si>
  <si>
    <t xml:space="preserve">Praderas de San Lorenzo </t>
  </si>
  <si>
    <t>Argentina | Salta | Capital | San Lorenzo Chico | Praderas de San Lorenzo</t>
  </si>
  <si>
    <t>CAP6852994</t>
  </si>
  <si>
    <t xml:space="preserve">Departamento en venta - 2 ambientes -Palermo </t>
  </si>
  <si>
    <t>Departamento - 2 Ambientes  - Palermo</t>
  </si>
  <si>
    <t>CAP6148132</t>
  </si>
  <si>
    <t>Venta Departamento Apto Crédito con Cochera - Concord Pilar</t>
  </si>
  <si>
    <t>Argentina | G.B.A. Zona Norte | Pilar | Countries/B.Cerrado (Pilar) | Concord Pilar</t>
  </si>
  <si>
    <t>General José Gervasio Artigas 3850</t>
  </si>
  <si>
    <t>CAP7025344</t>
  </si>
  <si>
    <t>VENTA MONOAMBIENTES EN VILLA URQUIZA BALCON AL FRENTE AMENITIES</t>
  </si>
  <si>
    <t>Av Olazabal  al 5400</t>
  </si>
  <si>
    <t>CAP7098192</t>
  </si>
  <si>
    <t xml:space="preserve">VENTA Departamento 2 ambientes </t>
  </si>
  <si>
    <t>Avenida Lacroze al 3000</t>
  </si>
  <si>
    <t>UF 57, parte del Edificio Nº 2, conforme croquis adjunto en el ANEXO III, ubicado en calle Las Retamas y Las Mutisias, que será parte del Fideicomiso Retamas, emprendimiento a construir sobre la nomenclatura catastral: 16-20-070-8351-0000</t>
  </si>
  <si>
    <t>Las Retamas y Las Mutisias</t>
  </si>
  <si>
    <t>CAP5136458</t>
  </si>
  <si>
    <t>VENTA Departamento a estrenar, 2 amb 50 m2, Apto ATT m2 céntrico UF 25 centro de Villa la Angostura</t>
  </si>
  <si>
    <t>CHO7044432</t>
  </si>
  <si>
    <t>Casa de 2 dormitorios al frente sobre Avenida (P.H)</t>
  </si>
  <si>
    <t>Casa al frente desarrollada en PB, sobre Av. Fray Cayetano Rodriguez</t>
  </si>
  <si>
    <t>Argentina | Santa Fe | La Capital | Santa Fe | Barranquitas</t>
  </si>
  <si>
    <t>CPH6945507</t>
  </si>
  <si>
    <t>En Venta PH 2 ambientes, con patio Calle 124 e/ 41 y 42</t>
  </si>
  <si>
    <t>PH en Venta IDEAL INVERSOR 2 ambientes  con patio Calle 124 entre 41 y 42, Ensenada</t>
  </si>
  <si>
    <t>CPH6940008</t>
  </si>
  <si>
    <t xml:space="preserve">PH en Venta en 124 e 41 y 42, Ensenada </t>
  </si>
  <si>
    <t>PH en 124 e 41 y 42, Ensenada</t>
  </si>
  <si>
    <t xml:space="preserve">Argentina | G.B.A. Zona Sur | Ensenada </t>
  </si>
  <si>
    <t>CLA6367472</t>
  </si>
  <si>
    <t>VENTA LOTE en PH de 98 mts, Las Victorias San Carlos de Bariloche</t>
  </si>
  <si>
    <t>CHO6920147</t>
  </si>
  <si>
    <t>Casa sólida con vistas panorámicas al lago en Bariloche – Ideal para vivir o invertir</t>
  </si>
  <si>
    <t>Calle Saihueque, Rancho Grande, San Carlos de Bariloche</t>
  </si>
  <si>
    <t xml:space="preserve">Reserva Venta Referido Leti Mati Seniority depto escobar </t>
  </si>
  <si>
    <t>JPH6837867</t>
  </si>
  <si>
    <t>PH - VENTA - 3 AMB - PATIO - VILLA GRAL MITRE - APTO CREDITO</t>
  </si>
  <si>
    <t>Alejandro Magariños Cervantes al 2200</t>
  </si>
  <si>
    <t>CPH6293931</t>
  </si>
  <si>
    <t>VENTA PH 2 amb UF5A en Villa Verde Bariloche</t>
  </si>
  <si>
    <t>CAP4427118</t>
  </si>
  <si>
    <t>Departamento en venta Bariloche</t>
  </si>
  <si>
    <t>Centro, Bariloche</t>
  </si>
  <si>
    <t>VAP6044969</t>
  </si>
  <si>
    <t>Departamento en  venta la Cañada village III pilar</t>
  </si>
  <si>
    <t>la cañada village III</t>
  </si>
  <si>
    <t>CAP6172405</t>
  </si>
  <si>
    <t>Venta de departamento dos ambientes en Boulevard Cerviño - apto credito</t>
  </si>
  <si>
    <t>Departamento 2 ambientes sobre Boulevard Cerviño, entre Lafinur y República de la India</t>
  </si>
  <si>
    <t>Libertad al 800</t>
  </si>
  <si>
    <t>don Bosco al 1400</t>
  </si>
  <si>
    <t>CAP7278456</t>
  </si>
  <si>
    <t>Venta Monoambiente Divisible A ESTRENAR - Caballito</t>
  </si>
  <si>
    <t>Mahatma Gandhi 790</t>
  </si>
  <si>
    <t>CPH6387759</t>
  </si>
  <si>
    <t>VENTA PH 4 AMBIENTES SIN EXPENSAS C/ TERRAZA, QUINCHO Y PARRILLA. BERNAL. APTO CREDITO.</t>
  </si>
  <si>
    <t>Dardo Rocha al 500</t>
  </si>
  <si>
    <t>Argentina | G.B.A. Zona Sur | Quilmes | Bernal Oeste</t>
  </si>
  <si>
    <t>CAP6595875</t>
  </si>
  <si>
    <t>VENTA TRIPLEX TRES AMBIENTES CON TERRAZA Y COCHERA EN NUÑEZ</t>
  </si>
  <si>
    <t>Ramallo al 1700</t>
  </si>
  <si>
    <t>CAP6692850</t>
  </si>
  <si>
    <t>VENTA DEPARTAMENTO MONOAMBIENTE CON BALCON Y COCHERA, PALERMO, PALERMO HOLLYWOOD</t>
  </si>
  <si>
    <t>Zapata  100</t>
  </si>
  <si>
    <t>OP 180</t>
  </si>
  <si>
    <t>Virrey Olaguer y Feliu 3046 6 A uf 18</t>
  </si>
  <si>
    <t>CAP7228146</t>
  </si>
  <si>
    <t>VENTA DEPARTAMENTO 2 AMBIENTES FULL AMENITIES, PISO ALTO, BELGRANO</t>
  </si>
  <si>
    <t>OHiggins al 2400</t>
  </si>
  <si>
    <t>CAP6876516</t>
  </si>
  <si>
    <t>VENTA Departamento Villa La Angostura 50M2 B° El Once</t>
  </si>
  <si>
    <t>Michay  al 200</t>
  </si>
  <si>
    <t>CAP6913134</t>
  </si>
  <si>
    <t>Venta dpto NQN ZONA CENTRO</t>
  </si>
  <si>
    <t>Alberdi al 400</t>
  </si>
  <si>
    <t>Argentina | Neuquen | Capital | Área Centro Este</t>
  </si>
  <si>
    <t>CHO5031458</t>
  </si>
  <si>
    <t>ALQUILER TURÍSTICO - Casa categoria impresionante vista al lago en barrio cerrado Villa la Angostura</t>
  </si>
  <si>
    <t>Barrio cerrado Dos Lagos, Villa La Angostura</t>
  </si>
  <si>
    <t>Argentina | Neuquen | Villa La Angostura | Countries/ B. Cerrado (V. La Angostura)</t>
  </si>
  <si>
    <t>CAP7264600</t>
  </si>
  <si>
    <t>BELGRANO al 500</t>
  </si>
  <si>
    <t>CHO7253261</t>
  </si>
  <si>
    <t xml:space="preserve">Casa club Manuel Belgrano </t>
  </si>
  <si>
    <t>Barrio Manuel Belgrano</t>
  </si>
  <si>
    <t>Op. con century. Depto UF 8 lote 7 Quinta Urbana 7.</t>
  </si>
  <si>
    <t>Tres de Caballería 1034</t>
  </si>
  <si>
    <t>CLA7228437</t>
  </si>
  <si>
    <t>Venta de lote perimetral en Barrio Cerrado Nueva Zelaya, Pilar</t>
  </si>
  <si>
    <t>Barrio Nueva Zelaya</t>
  </si>
  <si>
    <t>Argentina | G.B.A. Zona Norte | Pilar | Zelaya</t>
  </si>
  <si>
    <t>CHO7110062</t>
  </si>
  <si>
    <t>RESERVADO---VENTA casa en San Isidro, 3 dormitorios, jardín y pileta.</t>
  </si>
  <si>
    <t>Carlos Tejedor  al 400</t>
  </si>
  <si>
    <t>89Stella</t>
  </si>
  <si>
    <t>Departamento en el Sur de la ciudad</t>
  </si>
  <si>
    <t>Av. Gral López 2500</t>
  </si>
  <si>
    <t>CHO6702755</t>
  </si>
  <si>
    <t>Casa en B santa rosa</t>
  </si>
  <si>
    <t>Napoleon soto al 200</t>
  </si>
  <si>
    <t>CAP7128288</t>
  </si>
  <si>
    <t>Departamento en  alquiler 2amb con balcón</t>
  </si>
  <si>
    <t>Bonifacini  al 3800</t>
  </si>
  <si>
    <t>CAP7109812</t>
  </si>
  <si>
    <t xml:space="preserve">VENTA MONOAMBIENTE EN COLEGIALES </t>
  </si>
  <si>
    <t xml:space="preserve">MOLDES 850 </t>
  </si>
  <si>
    <t>OP 175</t>
  </si>
  <si>
    <t>Bolivia 2972 4 8</t>
  </si>
  <si>
    <t>CAP6964465</t>
  </si>
  <si>
    <t>Venta Departamento 3 ambientes en Villa del Parque Apto crédito Bajas expensas</t>
  </si>
  <si>
    <t>Pasaje Pernambuco al 2400</t>
  </si>
  <si>
    <t>CAP7240201</t>
  </si>
  <si>
    <t>Departamento en Venta de 2 dormitorios en  51 entre 15 y 16 La Plata</t>
  </si>
  <si>
    <t>CAP7242226</t>
  </si>
  <si>
    <t>Departamento en Venta de 1 dormitorio  51 entre 15 y 16 La Plata</t>
  </si>
  <si>
    <t>DepartaDepartamento en Venta de 1 dormitorios en  51 entre 15 y 16 La Plata</t>
  </si>
  <si>
    <t>CBU59869 AP6871858</t>
  </si>
  <si>
    <t>Departamento en  venta en Villa Urquiza CABA</t>
  </si>
  <si>
    <t>Quesada al 5900 1* B</t>
  </si>
  <si>
    <t>CAP6726420</t>
  </si>
  <si>
    <t>VENTA DEPARTAMENTO 2 AMBIENTES EN RAMOS MEJIA</t>
  </si>
  <si>
    <t>BOLIVAR al 200</t>
  </si>
  <si>
    <t>CPH6915253</t>
  </si>
  <si>
    <t>Venta, PH, 2 ambientes, Escritorio, Terraza, Villa Ortuzar</t>
  </si>
  <si>
    <t>Roseti  al 1500</t>
  </si>
  <si>
    <t>CHO6961982</t>
  </si>
  <si>
    <t>Casa en  venta San Sebastian Area 1</t>
  </si>
  <si>
    <t>Roque Petrochi al 5300</t>
  </si>
  <si>
    <t>BOSQUE PILAR</t>
  </si>
  <si>
    <t>BOSQUE PILAR -DEPARTAMENTO</t>
  </si>
  <si>
    <t>CLA7132330</t>
  </si>
  <si>
    <t>Terreno en El Jarillal Plottier</t>
  </si>
  <si>
    <t xml:space="preserve">Barrio El Jarillal </t>
  </si>
  <si>
    <t>CAP7165924</t>
  </si>
  <si>
    <t>Departamento 3 ambientes en edificio Mirasol I.</t>
  </si>
  <si>
    <t>Santiago del Estero  98</t>
  </si>
  <si>
    <t>CAP6592569</t>
  </si>
  <si>
    <t>VENTA DEPARTAMENTO 3  AMBIENTES EN PALERMO HOLLYWOOD</t>
  </si>
  <si>
    <t>Nicaragua  al 6000</t>
  </si>
  <si>
    <t>CAP7185289</t>
  </si>
  <si>
    <t>Venta 2 ambientes con balcón corrido al frente Palermo</t>
  </si>
  <si>
    <t>CAP7271850</t>
  </si>
  <si>
    <t>Departamento de tres ambientes con dos baños a Estrenar</t>
  </si>
  <si>
    <t>Concepcion Arenal  al 3900</t>
  </si>
  <si>
    <t>Dos terrenos ubicado en Av. Arrayanes y calle Cerro Bayo, nomenclatura catastral: 16-20-070-4383 con una superficie aproximada de 1.167m2 y 16-20-070-4082 con una superficie aproximada de 1372m2, de la ciudad de Villa la Angostura, Pcia. De Neuquén</t>
  </si>
  <si>
    <t>Cerro Bayo y Av. Arrayanes</t>
  </si>
  <si>
    <t>Cerro Bayo esquina Av. Arrayanes</t>
  </si>
  <si>
    <t>CHO6335602</t>
  </si>
  <si>
    <t>Casa en venta en barrio en pleno crecimiento</t>
  </si>
  <si>
    <t>Permuta, a estrenar por casa en B° Roma</t>
  </si>
  <si>
    <t>AHO6988368</t>
  </si>
  <si>
    <t>Casa 4 ambientes en Burzaco</t>
  </si>
  <si>
    <t>Melian al 900</t>
  </si>
  <si>
    <t>Argentina | G.B.A. Zona Sur | Almirante Brown | Burzaco</t>
  </si>
  <si>
    <t>Lote EL CANO 227</t>
  </si>
  <si>
    <t>lote venta el cano 227</t>
  </si>
  <si>
    <t>CLO5387479</t>
  </si>
  <si>
    <t>ALQUILER - LOCAL COMERCIAL</t>
  </si>
  <si>
    <t>Presidente Peron  al 3500</t>
  </si>
  <si>
    <t>CHO6988570</t>
  </si>
  <si>
    <t>Casa tipo Chalet  en  BANFIELD ESTE  ( Barrio Nuevo) con Jardín y Quincho</t>
  </si>
  <si>
    <t>Boulogne Sur Mer  al 2200</t>
  </si>
  <si>
    <t>Vergara 1523 - Busqueda Susan - Banfield</t>
  </si>
  <si>
    <t>Vergara 1523</t>
  </si>
  <si>
    <t>CHO7063530</t>
  </si>
  <si>
    <t>Casa en Venta - a Estrenar en San Matías - Área 3</t>
  </si>
  <si>
    <t>AAP7087411</t>
  </si>
  <si>
    <t>Departamento en  Espacioso 3 Ambientes MUY FUNCIONAL Con generoso jardín AIRE SOL  PLANTAS</t>
  </si>
  <si>
    <t>Candelaria al 50</t>
  </si>
  <si>
    <t>Lote en Venta Ayres Plaza</t>
  </si>
  <si>
    <t>CLA6679923</t>
  </si>
  <si>
    <t>VENTA Lote/Terreno 1 Hectárea uf 55 - Muelle de Piedra Villa La Angostura</t>
  </si>
  <si>
    <t>RN 40 Muelle de Piedra</t>
  </si>
  <si>
    <t>Argentina | Neuquen | Villa La Angostura | Muelle De Piedra</t>
  </si>
  <si>
    <t>CAP7067579</t>
  </si>
  <si>
    <t>VENTA DEPARTAMENTO 3 AMBIENTES CON BALCÓN Y AMENITIES EN URQUIZA</t>
  </si>
  <si>
    <t>Bauness al 2100</t>
  </si>
  <si>
    <t>CAP6937078</t>
  </si>
  <si>
    <t>VENTA DEPARTAMENTO 4 AMBIENTES EN PALERMO</t>
  </si>
  <si>
    <t>Concepción Arenal al 2400</t>
  </si>
  <si>
    <t>EL cano 379</t>
  </si>
  <si>
    <t>lote venta el cano 379</t>
  </si>
  <si>
    <t>CPH6475241</t>
  </si>
  <si>
    <t>PH en Lomas Del Mirador - OPORTUNIDAD - SIN EXPENSAS - PATIO -PARQUE - LAVADERO</t>
  </si>
  <si>
    <t>LAS HERAS al 3500</t>
  </si>
  <si>
    <t>CAP6928480</t>
  </si>
  <si>
    <t>Departamento en venta 3 dormitorios con dependencia, Monserrat, San Telmo, Apto Profesional</t>
  </si>
  <si>
    <t>Tacuarí al 300</t>
  </si>
  <si>
    <t>JAP7131392</t>
  </si>
  <si>
    <t>Oportunidad Venta Apto credito 2 amb con cochera</t>
  </si>
  <si>
    <t>Ricardo Gutiérrez 3300</t>
  </si>
  <si>
    <t>Av 60 e 2 y 3</t>
  </si>
  <si>
    <t>Departamento avenida 60 e 2 y 3</t>
  </si>
  <si>
    <t>60 e 2 y 3</t>
  </si>
  <si>
    <t>VHO5979916</t>
  </si>
  <si>
    <t>Casa con departamento en Munro - APTO CREDITO</t>
  </si>
  <si>
    <t xml:space="preserve">Jujuy  al 2200. APTO CRÉDITO. CASA EN LOTE PROPIO </t>
  </si>
  <si>
    <t>VLA6589913</t>
  </si>
  <si>
    <t>OPORTUNIDAD! Ultimo Lote a la Laguna en Los Lagos - Nordelta</t>
  </si>
  <si>
    <t>CAP6957587</t>
  </si>
  <si>
    <t>Venta de Departamento monoambiente con balcón en Villa Urquiza</t>
  </si>
  <si>
    <t>Holmberg  al 3400</t>
  </si>
  <si>
    <t xml:space="preserve">Ruiz Huidobro 4400, Piso 4 </t>
  </si>
  <si>
    <t>Venta de departamento 2 ambientes en Saavedra</t>
  </si>
  <si>
    <t>Ruiz Huidobro 4400, Piso 4</t>
  </si>
  <si>
    <t>JLA6206756</t>
  </si>
  <si>
    <t>Lote en venta en Villa Ballester APTO DUPLEX</t>
  </si>
  <si>
    <t>Tandil  al 4300</t>
  </si>
  <si>
    <t>CAP7272681</t>
  </si>
  <si>
    <t>VENTA MONOAMBIENTE BALCON ATERRAZADO CABALLITO</t>
  </si>
  <si>
    <t>Acoyte al 100</t>
  </si>
  <si>
    <t>CAP6878363</t>
  </si>
  <si>
    <t xml:space="preserve"> ESPECTACULAR DEPARTAMENTO 3 AMBIENTES PARQUE CHAS!! 77 M2! SUPER AMPLIO Y LUMINOSO.</t>
  </si>
  <si>
    <t>Gamarra  al 1100</t>
  </si>
  <si>
    <t>VPN55315 LA5976242</t>
  </si>
  <si>
    <t xml:space="preserve">Lote Interno en Venta, La Serena, General Rodriguez </t>
  </si>
  <si>
    <t xml:space="preserve">Venta lote La Serena Barrio Cerrado Gral Rodriguez, Ruta 28   </t>
  </si>
  <si>
    <t>Argentina | G.B.A. Zona Oeste | General Rodriguez | Countries/B.Cerrado (G. Rodriguez)</t>
  </si>
  <si>
    <t>CAP7124540</t>
  </si>
  <si>
    <t xml:space="preserve">Espectacular 3 amb con terraza piso alto todo reciclado! </t>
  </si>
  <si>
    <t>Marcelo T de Alvear al 1900</t>
  </si>
  <si>
    <t>CAP6291036</t>
  </si>
  <si>
    <t>Espectacular 4 ambientes reciclado super luminoso!!!! Impecable!!!!</t>
  </si>
  <si>
    <t>Billinghurst al 2400</t>
  </si>
  <si>
    <t>CAP6976542</t>
  </si>
  <si>
    <t>VENTA DEPARTAMENTO ZONA CENTRO NQN</t>
  </si>
  <si>
    <t>Salta  al 400</t>
  </si>
  <si>
    <t>ARISTOBULO DEL VALLE</t>
  </si>
  <si>
    <t>ARISTOBULO DEL VALLE 2642</t>
  </si>
  <si>
    <t>VHO4914816</t>
  </si>
  <si>
    <t>Casa en  Bº San Francisco</t>
  </si>
  <si>
    <t>Aristobulo del Valle al 5100</t>
  </si>
  <si>
    <t>OP 187</t>
  </si>
  <si>
    <t>Castaños - Las Piedras Departamento 701</t>
  </si>
  <si>
    <t>CAP3588211</t>
  </si>
  <si>
    <t>Venta Departamento, Vista al Lago, apto turismo, Bariloche</t>
  </si>
  <si>
    <t>4 ESTACIONES</t>
  </si>
  <si>
    <t xml:space="preserve">VENTA EN 4 ESTACIONES </t>
  </si>
  <si>
    <t>4 ESTACIONES LOMA VERDE</t>
  </si>
  <si>
    <t>Argentina | G.B.A. Zona Oeste | Hurlingham | Villa Santos Tesei</t>
  </si>
  <si>
    <t>Departamento 2 dormitorios 16 39 y 40</t>
  </si>
  <si>
    <t>DPTO 16 E 39 Y 40</t>
  </si>
  <si>
    <t>16 e 39 y 40</t>
  </si>
  <si>
    <t>COF7261666</t>
  </si>
  <si>
    <t>Propiedad con gran potencial cometcial, en San Martin al 3400</t>
  </si>
  <si>
    <t>JAP6739888</t>
  </si>
  <si>
    <t>Departamento - Venta - 3 ambientes - Balcon - Sum - Parrilla - Martin Coronado</t>
  </si>
  <si>
    <t>17 DE AGOSTO al 1600</t>
  </si>
  <si>
    <t>Argentina | G.B.A. Zona Oeste | Tres De Febrero | Martin Coronado</t>
  </si>
  <si>
    <t>CPH6867062</t>
  </si>
  <si>
    <t>VENTA PH 2 AMBIENTES FLORIDA PB - APTO CREDITO</t>
  </si>
  <si>
    <t>CARLOS TEJEDOR  al 1700</t>
  </si>
  <si>
    <t>Argentina | G.B.A. Zona Norte | Vicente López | Florida | Florida Oeste</t>
  </si>
  <si>
    <t>CHO6808167</t>
  </si>
  <si>
    <t>Venta casa Villa la Angostura 60 m2 Barrio Norte</t>
  </si>
  <si>
    <t>Cacique Antriao al 100</t>
  </si>
  <si>
    <t>CHO7003734</t>
  </si>
  <si>
    <t>VENTA CASA 3 AMB barrio privado Haras el Terraplen, General Rodriguez, pileta, quincho, seguridad</t>
  </si>
  <si>
    <t>Lote 107, Haras el Terraplen, General Rodriguez</t>
  </si>
  <si>
    <t xml:space="preserve">Argentina | G.B.A. Zona Oeste | General Rodriguez </t>
  </si>
  <si>
    <t>asuncion 2800</t>
  </si>
  <si>
    <t>depto venta asunción 2800</t>
  </si>
  <si>
    <t>CPH7173875</t>
  </si>
  <si>
    <t>PH 3 AMBIENTES EN ALQUILER MUY LUMINOSO</t>
  </si>
  <si>
    <t xml:space="preserve">Nuñez al 2100 </t>
  </si>
  <si>
    <t>CHO6742742</t>
  </si>
  <si>
    <t>VENTA CASA 4 AMBIENTES CON PILETA EN BARRIO PRIVADO LOS TALAS</t>
  </si>
  <si>
    <t>Barrio Los Talas</t>
  </si>
  <si>
    <t xml:space="preserve">Argentina | G.B.A. Zona Sur | Ezeiza | Canning (Ezeiza) | Los Talas </t>
  </si>
  <si>
    <t>José Cubas 3346 1° "C"</t>
  </si>
  <si>
    <t>CPH6987688</t>
  </si>
  <si>
    <t>PH con Cochera, Terraza y Quincho en  Venta. Barrio San Andres</t>
  </si>
  <si>
    <t>Leandro N Alem  al 3000</t>
  </si>
  <si>
    <t>JPH6795622</t>
  </si>
  <si>
    <t xml:space="preserve">Oportunidad PH 3 ambientes con patio en Olivos  </t>
  </si>
  <si>
    <t>Ayacucho al 4200</t>
  </si>
  <si>
    <t>CLA6772282</t>
  </si>
  <si>
    <t>OPORTUNIDAD VENTA Terreno 1873m2 en Altos del Ñirihuao</t>
  </si>
  <si>
    <t>Altos del Ñirihuau, Dina Huapi</t>
  </si>
  <si>
    <t>CPH7001732</t>
  </si>
  <si>
    <t>VENTA PH CON COCHERA, PARQUE, PARRILLA Y PILETA, CHACARITA</t>
  </si>
  <si>
    <t>Dorrego al 1400</t>
  </si>
  <si>
    <t>CAP6956140</t>
  </si>
  <si>
    <t>Departamento 2 ambientes - Palermo</t>
  </si>
  <si>
    <t>Jose A. Cabrera y Bilinghurst</t>
  </si>
  <si>
    <t>CHO6860314</t>
  </si>
  <si>
    <t>CASA CON PILETA EN MANZANARES CHICO - PILAR</t>
  </si>
  <si>
    <t>BARRIO CERRADO MANZANARES CHICO - PILAR</t>
  </si>
  <si>
    <t>Argentina | G.B.A. Zona Norte | Pilar | Countries/B.Cerrado (Pilar) | Manzanares Chico</t>
  </si>
  <si>
    <t>CAP7047523</t>
  </si>
  <si>
    <t>Departamento - Colegiales</t>
  </si>
  <si>
    <t xml:space="preserve">MT Alvear </t>
  </si>
  <si>
    <t>CAP7165354</t>
  </si>
  <si>
    <t>VENTA DEPARTAMENTO 2 AMBIENTES CON BALCÓN EN TRIBUNALES - EXCELENTE UBICACIÓN- APTO PROFESIONAL</t>
  </si>
  <si>
    <t>Talcahuano  al 800</t>
  </si>
  <si>
    <t>CAP7139459</t>
  </si>
  <si>
    <t>VENTA 4 AMBIENTES A RECICLAR 118 METROS RECOLETA OPORTUNIDAD</t>
  </si>
  <si>
    <t>Marcelo T de Alvear  al 2400</t>
  </si>
  <si>
    <t>CHO7269718</t>
  </si>
  <si>
    <t>Casa en venta ubicada en Av. Delgadillo 918</t>
  </si>
  <si>
    <t>Av. Delgadillo 918</t>
  </si>
  <si>
    <t>Argentina | Salta | Capital | Salta | Va.Constitución</t>
  </si>
  <si>
    <t>CAP7256425</t>
  </si>
  <si>
    <t>Venta Departamento 3 ambientes Saavedra</t>
  </si>
  <si>
    <t>Correa  al 3700 Saavedra - Capital Federal</t>
  </si>
  <si>
    <t>Thames 710</t>
  </si>
  <si>
    <t>DHO2427382</t>
  </si>
  <si>
    <t>VENTA HERMOSA CASA QUINTA EN TORTUGUITAS</t>
  </si>
  <si>
    <t>TORTUGUITAS - parque y pileta</t>
  </si>
  <si>
    <t>Argentina | G.B.A. Zona Norte | Malvinas Argentinas | Tortuguitas | Rincon De Tort.</t>
  </si>
  <si>
    <t>Argentina | G.B.A. Zona Norte | Escobar | Matheu</t>
  </si>
  <si>
    <t>CHO6673477</t>
  </si>
  <si>
    <t>VENTA Casa 2 habitaciones 100m2 Deck vista arroyo B° Altos de Chapelco San Martin de los andes</t>
  </si>
  <si>
    <t>Los fresnos 655 Altos de Chapelco</t>
  </si>
  <si>
    <t>CAP6335414</t>
  </si>
  <si>
    <t>Venta - Departamento - 2 Ambientes - Balcon - Luminoso - Vis</t>
  </si>
  <si>
    <t>Hipolito Irigoyen 585</t>
  </si>
  <si>
    <t>88Stella</t>
  </si>
  <si>
    <t>Casa en Recoleta</t>
  </si>
  <si>
    <t>Santiago del estero 3500</t>
  </si>
  <si>
    <t>Av. del Puerto  al 600</t>
  </si>
  <si>
    <t>JWE6781418</t>
  </si>
  <si>
    <t>Venta Quinta en Centro Agricola El Pato</t>
  </si>
  <si>
    <t>Argentina | G.B.A. Zona Sur | Berazategui | Centro Agricola El Pato</t>
  </si>
  <si>
    <t>CHO6011523</t>
  </si>
  <si>
    <t>VENTA CASA PLANTA ALTA 4 AMBIENTES- SARANDI</t>
  </si>
  <si>
    <t>9 de julio</t>
  </si>
  <si>
    <t xml:space="preserve">DEPARTAMENTO EN VENTA 9 DE JULIO </t>
  </si>
  <si>
    <t xml:space="preserve">9 DE JULIO </t>
  </si>
  <si>
    <t>CAP6791068</t>
  </si>
  <si>
    <t>Departamento impecable 3 AMB  - Almagro, CABA</t>
  </si>
  <si>
    <t>Departamento  APTO CREDITO 3 AMB en Venta  POSIBILIDAD AMOBLADO - Almagro, CABA</t>
  </si>
  <si>
    <t>CAP7128477</t>
  </si>
  <si>
    <t>Departamento en  venta 1amb con balcón en Recoleta</t>
  </si>
  <si>
    <t>Pasaje Bollini  al 2200</t>
  </si>
  <si>
    <t>CAP5394749</t>
  </si>
  <si>
    <t>Venta - Departamento  dos ambientes -  Olivos - a estrenar - cochera - amenities - luminoso</t>
  </si>
  <si>
    <t>Avenida del libertador  al 2800</t>
  </si>
  <si>
    <t>CAP6897675</t>
  </si>
  <si>
    <t xml:space="preserve">Departamento en Zona Aeropuerto </t>
  </si>
  <si>
    <t>Costa Rica  al 5600</t>
  </si>
  <si>
    <t>CHO6216624</t>
  </si>
  <si>
    <t>Casa en  Venta  3 dormitorios Barrio San Ramon Pilar del Este</t>
  </si>
  <si>
    <t>Barrio San Ramon Pilar del Este</t>
  </si>
  <si>
    <t>Argentina | G.B.A. Zona Norte | Pilar | Countries/B.Cerrado (Pilar) | Pilar Del Este | San Ramon</t>
  </si>
  <si>
    <t>CAP7203266</t>
  </si>
  <si>
    <t>Departamento en  venta - Dos ambientes más Escritorio - Recoleta</t>
  </si>
  <si>
    <t>VHO6764519</t>
  </si>
  <si>
    <t>Casa en Venta  - Escritura APTO CREDITO! Maschwitz Privado!</t>
  </si>
  <si>
    <t>maschwitz privado</t>
  </si>
  <si>
    <t>Argentina | G.B.A. Zona Norte | Escobar | Countries/B.Cerrado (Escobar) | Maschwitz Privado</t>
  </si>
  <si>
    <t>Argentina | Santa Fe | La Capital | Santa Fe | Los Hornos</t>
  </si>
  <si>
    <t>CHO6746465</t>
  </si>
  <si>
    <t>Casa en  VENTA</t>
  </si>
  <si>
    <t>ITALIA al 700</t>
  </si>
  <si>
    <t>84Eric</t>
  </si>
  <si>
    <t>Terreno en Santo Tome</t>
  </si>
  <si>
    <t>Diagonal 8 S/N</t>
  </si>
  <si>
    <t>N/C - CHARCAS 5108</t>
  </si>
  <si>
    <t>VENTA DPTO 3 AMBIENTES RECOLETA</t>
  </si>
  <si>
    <t>CHARCAS 5108</t>
  </si>
  <si>
    <t>CAP6859275</t>
  </si>
  <si>
    <t>Departamento en venta centro calle Juramento 1480 - Salta</t>
  </si>
  <si>
    <t>Juramento 1480</t>
  </si>
  <si>
    <t>CAP6373344</t>
  </si>
  <si>
    <t>Venta Departamento dos ambientes en la boca con OPCION COCHERA</t>
  </si>
  <si>
    <t>Pi y Margal  al 480</t>
  </si>
  <si>
    <t>CAP6662178</t>
  </si>
  <si>
    <t>Departamento Monoambiente en Venta de pozo en 50 entre 26 y 27</t>
  </si>
  <si>
    <t xml:space="preserve">Departamento Monoambiente en Venta de pozo en 50 entre 26 y 27  </t>
  </si>
  <si>
    <t>CLA6972931</t>
  </si>
  <si>
    <t xml:space="preserve">Terreno en  La Viña </t>
  </si>
  <si>
    <t>Coronel Moldes</t>
  </si>
  <si>
    <t xml:space="preserve">Argentina | Salta | La Viña </t>
  </si>
  <si>
    <t>CAP7047807</t>
  </si>
  <si>
    <t>Departamento en  HUERGO 475</t>
  </si>
  <si>
    <t>Huergo al 400</t>
  </si>
  <si>
    <t>N/C - MARCELO T DE ALVEAR 1270</t>
  </si>
  <si>
    <t>VENTA 2 AMB RECOLETA</t>
  </si>
  <si>
    <t>MARCELO T DE ALVEAR 1270, CABA</t>
  </si>
  <si>
    <t>Honduras 5111</t>
  </si>
  <si>
    <t>CAP7125539</t>
  </si>
  <si>
    <t>LUMINOSO LOFT DE 2 AMBIENTES</t>
  </si>
  <si>
    <t>CHO6856766</t>
  </si>
  <si>
    <t>Casa esquina Av Granadeos y Buenos Aires</t>
  </si>
  <si>
    <t>Av Granaderos  al 300</t>
  </si>
  <si>
    <t>CAP6939783</t>
  </si>
  <si>
    <t>Venta Departamento 2 Ambientes en Devoto</t>
  </si>
  <si>
    <t>Asuncion  al 3800</t>
  </si>
  <si>
    <t>CAP6747003</t>
  </si>
  <si>
    <t>Departamento en venta 2 ambientes en centro de Pinamar</t>
  </si>
  <si>
    <t>Av. de las Artes  al 200</t>
  </si>
  <si>
    <t xml:space="preserve">Argentina | Costa Atlantica | Pinamar </t>
  </si>
  <si>
    <t>CAP6724401</t>
  </si>
  <si>
    <t>Venta Departamento Triplex 3 ambientes Super Luminoso con 3 cocheras y baulera en Villa Urquiza</t>
  </si>
  <si>
    <t>Andonaegui al 2000</t>
  </si>
  <si>
    <t>CLA7164209</t>
  </si>
  <si>
    <t>Terreno en venta ubicado en Capiasu- San Agustin - Salta</t>
  </si>
  <si>
    <t xml:space="preserve">Capiazu - Ruta Pcial. 86 </t>
  </si>
  <si>
    <t>JAP6136600</t>
  </si>
  <si>
    <t>VENTA TRES AMBIENTES CON COCHERA BARRIO NORTE/ RECOLETA</t>
  </si>
  <si>
    <t>Santa Fe al 1900</t>
  </si>
  <si>
    <t>CAP7193622</t>
  </si>
  <si>
    <t>Venta Departamento 2 ambientes Villa Ortuzar con Cochera, Balcon, Parrilla</t>
  </si>
  <si>
    <t>Mariano Acha al 1200</t>
  </si>
  <si>
    <t>CAP6935848</t>
  </si>
  <si>
    <t>Venta Departamento 3 ambientes con 2 Patios en Flores</t>
  </si>
  <si>
    <t>Av. Rivadavia 7100</t>
  </si>
  <si>
    <t>CAP7261998</t>
  </si>
  <si>
    <t xml:space="preserve">VENTA 3AMB A ESTRENAR - CAÑITAS - PARRILLA </t>
  </si>
  <si>
    <t>CAP6995943</t>
  </si>
  <si>
    <t xml:space="preserve">Departamento en Recoleta 3 AMBIENTES + DEPENDENCIA + COCHERA </t>
  </si>
  <si>
    <t>PARANA  al 1045</t>
  </si>
  <si>
    <t>CLA6947141</t>
  </si>
  <si>
    <t>Terreno en Neuquen</t>
  </si>
  <si>
    <t>TERRENO ESQUINA 467,94 M2 CALPA</t>
  </si>
  <si>
    <t>CAP7118591</t>
  </si>
  <si>
    <t>Departamento en  venta  2 dormitorios con dep. o 3 dormitorios, piso alto</t>
  </si>
  <si>
    <t>Republica de la India al 2700</t>
  </si>
  <si>
    <t>CLA6972631</t>
  </si>
  <si>
    <t>Terreno en  Las Paredes, San Rafael</t>
  </si>
  <si>
    <t>zamarvide al 600</t>
  </si>
  <si>
    <t>CAP6740648</t>
  </si>
  <si>
    <t>Venta Monoambiente con Balcon tipo Terraza - Recoleta</t>
  </si>
  <si>
    <t>Uriburu 1500</t>
  </si>
  <si>
    <t>San Luis 3053</t>
  </si>
  <si>
    <t>CLA7326594</t>
  </si>
  <si>
    <t>Terreno en venta Barrio Santa Laura</t>
  </si>
  <si>
    <t>Barrio Santa Laura</t>
  </si>
  <si>
    <t>JLA7326370</t>
  </si>
  <si>
    <t>Venta Terreno en Nuñez</t>
  </si>
  <si>
    <t>Moldes al 2900</t>
  </si>
  <si>
    <t>CAP6588299</t>
  </si>
  <si>
    <t>Venta Departamento 3 Ambientes  con Balcón en Palermo, Botanico</t>
  </si>
  <si>
    <t>República Árabe Siria al 3200</t>
  </si>
  <si>
    <t>CAP6778776</t>
  </si>
  <si>
    <t>VENTA DEPARTAMENTO 2 AMBIENTES  ALMAGRO</t>
  </si>
  <si>
    <t>Don Bosco al 3400</t>
  </si>
  <si>
    <t>Op. con Brim.  Bibliotecas Populares y calle sin nombre, Barrio Gobernadores Neuquinos, SMA UF 9 (40,64 m2), NC: 15-20-052-7950-0009, denominado Departamento 118 con entrada por el sector G2</t>
  </si>
  <si>
    <t>Bibliotecas Populares y calle sin nombre</t>
  </si>
  <si>
    <t>CAP6948673</t>
  </si>
  <si>
    <t>VENTA DEPARTAMENTO 3 AMBIENTES RECOLETA. APTO CREDITO.</t>
  </si>
  <si>
    <t>Billinghurst al 1600</t>
  </si>
  <si>
    <t>CAP7082046</t>
  </si>
  <si>
    <t>VENTA DEPARATAMENTO 3 AMBIENTES VILLA URQUIZA</t>
  </si>
  <si>
    <t>Nuñez al 5300</t>
  </si>
  <si>
    <t>CHO6411675</t>
  </si>
  <si>
    <t>venta casa  lote propio 5 amb con cochera y patio villa luzuriaga</t>
  </si>
  <si>
    <t>Carabobo al 3700</t>
  </si>
  <si>
    <t>VHO6570463</t>
  </si>
  <si>
    <t>Casa en Venta apto credito! Barrio Cerrado Santa Clara Villanueva  4 amb - Piscina - Jardin</t>
  </si>
  <si>
    <t xml:space="preserve"> -Casa en Venta Barrio Santa Clara Villanueva -B. de todos los santos 5700</t>
  </si>
  <si>
    <t>VLO6900528</t>
  </si>
  <si>
    <t>Local en venta - centro comercial Vila Terra - Villanueva, Benavidez</t>
  </si>
  <si>
    <t>Local en venta - Centro Comercial Vila Terra - Blvd. de Todos los Santos al 100</t>
  </si>
  <si>
    <t>BILLINGHURST 1307</t>
  </si>
  <si>
    <t>CHO7018946</t>
  </si>
  <si>
    <t>CHO7015577</t>
  </si>
  <si>
    <t>VENTA Casa 4 ambientes 90m2 San Martin de Los Andes</t>
  </si>
  <si>
    <t xml:space="preserve">Argentina | Neuquen | Lacar </t>
  </si>
  <si>
    <t>Venta de casa 5 ambientes con pileta en Saavedra</t>
  </si>
  <si>
    <t>Alfonsina Storni 3622</t>
  </si>
  <si>
    <t>JPH6609195</t>
  </si>
  <si>
    <t>venta- ph- 4 ambientes - dos patios- dos baños- garaje</t>
  </si>
  <si>
    <t>Campana al 1400</t>
  </si>
  <si>
    <t>CAP6957412</t>
  </si>
  <si>
    <t>Venta de Departamento a estrenar 3 ambientes con balcón y cochera, Saavedra</t>
  </si>
  <si>
    <t>Larralde  al 3500</t>
  </si>
  <si>
    <t>CPH6635677</t>
  </si>
  <si>
    <t>PH Real Oportunidad En Loma Hermosa</t>
  </si>
  <si>
    <t>Argentina al 800</t>
  </si>
  <si>
    <t>Argentina | G.B.A. Zona Oeste | Tres De Febrero | Loma Hermosa</t>
  </si>
  <si>
    <t>CPN64923 LA7144803</t>
  </si>
  <si>
    <t>Lote en el Sector Isla en el Barrio Privado San Pedro - Villanueva</t>
  </si>
  <si>
    <t>Argentina | G.B.A. Zona Norte | Tigre | Countries/B.Cerrado (Tigre) | Villanueva | San Pedro</t>
  </si>
  <si>
    <t>CLA6519113</t>
  </si>
  <si>
    <t>Venta Terreno en Caballito</t>
  </si>
  <si>
    <t>Senillosa al 800</t>
  </si>
  <si>
    <t xml:space="preserve">Av Cabildo 597 Piso 12 Dto A </t>
  </si>
  <si>
    <t>Local identificado como UNIDAD FUNCIONAL N°1, en planta baja,  en el Complejo Nordic , con nomenclatura catastral 16-20-070-6690</t>
  </si>
  <si>
    <t>Blvd. Pascotto 200</t>
  </si>
  <si>
    <t>CHO6974621</t>
  </si>
  <si>
    <t>Venta Casa céntrica en Bariloche</t>
  </si>
  <si>
    <t>CLA7056731</t>
  </si>
  <si>
    <t>VENTA DE LOTE BARRIO FRONTERAS SAN VICENTE</t>
  </si>
  <si>
    <t>CALLE IBAÑEZ</t>
  </si>
  <si>
    <t>AAP7121236</t>
  </si>
  <si>
    <t>Departamento dos ambientes en Balvanera</t>
  </si>
  <si>
    <t>Riobamba al 100</t>
  </si>
  <si>
    <t>CHO6280683</t>
  </si>
  <si>
    <t>Casa en Banfield, banfield este, jardin, fondo, cochera, qui</t>
  </si>
  <si>
    <t>PINTOS al 1800</t>
  </si>
  <si>
    <t>CAP7112772</t>
  </si>
  <si>
    <t>HERMOSO DEPARTAMENTO 4 AMBIENTES CABALLITO SUR - COCHERA CUBIERTA</t>
  </si>
  <si>
    <t>THOMPSON  al 800</t>
  </si>
  <si>
    <t>CAP6934402</t>
  </si>
  <si>
    <t xml:space="preserve">Venta 2 amb. amplios, contrafrente silencioso, luminoso. </t>
  </si>
  <si>
    <t>Av. Santa Fe  al 2700</t>
  </si>
  <si>
    <t>Corrientes 4709, piso 8°, depto "80" CABA</t>
  </si>
  <si>
    <t>CAP7061693</t>
  </si>
  <si>
    <t>Departamento 2 amb en venta apto credito- Campanillas Park- Pilar</t>
  </si>
  <si>
    <t>Argentina | G.B.A. Zona Norte | Pilar | Las Campanillas</t>
  </si>
  <si>
    <t>18EM-28-06-25</t>
  </si>
  <si>
    <t>Venta PH 2 ambientes | escritorio | sin expensas| terraza | Caballito</t>
  </si>
  <si>
    <t>Querandies al 4400</t>
  </si>
  <si>
    <t>CAP6703711</t>
  </si>
  <si>
    <t>Venta 3 ambientes  APTO CREDITO</t>
  </si>
  <si>
    <t>Roosevelt Franklin D.  al 2400</t>
  </si>
  <si>
    <t>CAP7016646</t>
  </si>
  <si>
    <t>VENTA PH 4 AMBIENTES - TERRAZA, PILETA Y PARRILLA PROPIA EN VILLA URQUIZA - C/COCHERA</t>
  </si>
  <si>
    <t>Galvan al 3100</t>
  </si>
  <si>
    <t>JLO6952320</t>
  </si>
  <si>
    <t>VENTA LOCAL A LA CALLE EN V. PUEYRREDON/AGRONOMIA</t>
  </si>
  <si>
    <t>Nazca al 3800</t>
  </si>
  <si>
    <t>Castillo 1273</t>
  </si>
  <si>
    <t>CHO4879092</t>
  </si>
  <si>
    <t>Casa en venta, 5 ambientes, San Sebastián NO APTO CREDITO</t>
  </si>
  <si>
    <t>Casa en venta- área 13 ,  San Sebastian</t>
  </si>
  <si>
    <t>CWE6390158</t>
  </si>
  <si>
    <t>Casa Quinta en venta en Altos del Sauce, Sauce Viejo</t>
  </si>
  <si>
    <t>Quinta en  Altos del Sauce</t>
  </si>
  <si>
    <t>Argentina | Santa Fe | La Capital | Sauce Viejo | Altos del Sauce</t>
  </si>
  <si>
    <t>thamer 607</t>
  </si>
  <si>
    <t>CPH7051392</t>
  </si>
  <si>
    <t>Venta PH en  Villa Urquiza 4 Ambientes Patio con Parrilla y Cochera</t>
  </si>
  <si>
    <t>Pasaje Talavera  al 5800</t>
  </si>
  <si>
    <t xml:space="preserve">Washington 2569 - Venta </t>
  </si>
  <si>
    <t>Washington 2569</t>
  </si>
  <si>
    <t>CAP6702011</t>
  </si>
  <si>
    <t>VENTA Depto 103m2 Complejo Patagonia Centrico Villa La Angostura</t>
  </si>
  <si>
    <t>Siete Lagos 95</t>
  </si>
  <si>
    <t>CAP7232048</t>
  </si>
  <si>
    <t>Departamento en venta - 1 dormitorio CON COCHERA en 38 e/ 15 y 16, La Plata</t>
  </si>
  <si>
    <t>38 e/ 15 y 16 La Plata</t>
  </si>
  <si>
    <t>Junin 1248 - Marcela Subiza</t>
  </si>
  <si>
    <t>Junin 1248</t>
  </si>
  <si>
    <t>thames 305</t>
  </si>
  <si>
    <t>CHO6857243</t>
  </si>
  <si>
    <t>Espectacular casa en San Sebastián, área 13</t>
  </si>
  <si>
    <t>Barrio San Sebastián, área 13</t>
  </si>
  <si>
    <t>CAP7271324</t>
  </si>
  <si>
    <t>VENTA DPTO 4 AMB RECOLETA</t>
  </si>
  <si>
    <t>Av Santa Fe al 1700</t>
  </si>
  <si>
    <t>CLO7103501</t>
  </si>
  <si>
    <t>Local en el centro de Nueva Pompeya</t>
  </si>
  <si>
    <t>Ventana al 3800</t>
  </si>
  <si>
    <t>CAP7044894</t>
  </si>
  <si>
    <t>Departamento Monoambiente con Gran Patio Moderno y Luminoso en Villa Pueyrredon  -Oportunidad Unica-</t>
  </si>
  <si>
    <t>ARTIGAS al 4600</t>
  </si>
  <si>
    <t>Skyroof living UF 22</t>
  </si>
  <si>
    <t>JAP6726242</t>
  </si>
  <si>
    <t>VENTA DEPARTAMENTO 2 AMBIENTES  C/DEPENDENCIA BALCON APTO CREDITO FLORESTA</t>
  </si>
  <si>
    <t>Venancio Flores al 3400</t>
  </si>
  <si>
    <t>Verona</t>
  </si>
  <si>
    <t xml:space="preserve">Lote  en Verona Pilar </t>
  </si>
  <si>
    <t>Argentina | G.B.A. Zona Norte | Pilar | Countries/B.Cerrado (Pilar) | Verona Pilar</t>
  </si>
  <si>
    <t>Op. con inmo colega Tierras del Sur. Departamento Mariano Moreno 250 UF 1 SMA NC: 15-20-045-5363-0001</t>
  </si>
  <si>
    <t>Mariano Moreno 250</t>
  </si>
  <si>
    <t xml:space="preserve">Reserva Tomy Remax Gangi Damiglia + Ref </t>
  </si>
  <si>
    <t>CHO6331795</t>
  </si>
  <si>
    <t>Casa 3 Amb con Pileta   Departamento 2 Amb en Venta en Ramos</t>
  </si>
  <si>
    <t>General Rodriguez al 300</t>
  </si>
  <si>
    <t>Argentina | G.B.A. Zona Oeste | La Matanza | Ramos Mejia | Ramos Mejia Sur</t>
  </si>
  <si>
    <t>Luciana Ororbia 2</t>
  </si>
  <si>
    <t>Casa en  Gerli</t>
  </si>
  <si>
    <t>Casacuberta al 2000</t>
  </si>
  <si>
    <t>Argentina | G.B.A. Zona Sur | Avellaneda | Gerli</t>
  </si>
  <si>
    <t>APH6868343</t>
  </si>
  <si>
    <t>PH 5 ambientes en Flores</t>
  </si>
  <si>
    <t>Varela al 600</t>
  </si>
  <si>
    <t>Argentina | Capital Federal | Flores | Flores Sur</t>
  </si>
  <si>
    <t>CAP6812675</t>
  </si>
  <si>
    <t>Departamento de 3 amb en Belgrano C - APTO CREDITO</t>
  </si>
  <si>
    <t>3 de Febrero al 2200</t>
  </si>
  <si>
    <t>CLA4859617</t>
  </si>
  <si>
    <t>VENTA  terreno de 237,50 m2  en LOTEO "ANTIGUO CAMINO" Bariloche</t>
  </si>
  <si>
    <t>Antiguo Camino Llao Llao</t>
  </si>
  <si>
    <t>CLA6949249</t>
  </si>
  <si>
    <t>Venta, Terreno, Colegiales, Lote, belgrano</t>
  </si>
  <si>
    <t>Palpa  al 3100</t>
  </si>
  <si>
    <t>CLA6523424</t>
  </si>
  <si>
    <t>LOTE ADROGUE, DOBLE LOTE, CASA A DEMOLER, TERRENO, INVERSION, CONSTRUCCION</t>
  </si>
  <si>
    <t>JORGE al 1300</t>
  </si>
  <si>
    <t>Argentina | G.B.A. Zona Sur | Almirante Brown | Adrogue</t>
  </si>
  <si>
    <t>CAP5356060</t>
  </si>
  <si>
    <t>Venta - Departamento - 2 Ambientes - A estrenar - Mataderos - Balcon</t>
  </si>
  <si>
    <t>CAP6636113</t>
  </si>
  <si>
    <t>Departamento en Monte Castro</t>
  </si>
  <si>
    <t>Sanabria al 1800</t>
  </si>
  <si>
    <t>Acevedo 125</t>
  </si>
  <si>
    <t>Acevedo 125 PB</t>
  </si>
  <si>
    <t>VAP6791195</t>
  </si>
  <si>
    <t>LUMINOSO Departamento 3 ambientes con balcón  ~ THE KIRI Nordelta, Puerto Escondido</t>
  </si>
  <si>
    <t>COF6421901</t>
  </si>
  <si>
    <t>Departamento Monoambiente en  venta en San Martín Centro Apto Profesional</t>
  </si>
  <si>
    <t>Cochabamba al 2200</t>
  </si>
  <si>
    <t>CLA6528978</t>
  </si>
  <si>
    <t>VENTA Lote/Terreno 295,6 m2  Lomas del Correntoso, Villa La Angostura</t>
  </si>
  <si>
    <t>Del Radal  al 600</t>
  </si>
  <si>
    <t>CBU42019 AP6819581</t>
  </si>
  <si>
    <t>Departamento VENTA 2 ambientes vista al lago - Bariloche</t>
  </si>
  <si>
    <t>CHO7117745</t>
  </si>
  <si>
    <t>Casa en venta en Paternal con local independiente</t>
  </si>
  <si>
    <t xml:space="preserve">Terrero </t>
  </si>
  <si>
    <t>N/C - ARENALES 1391</t>
  </si>
  <si>
    <t>ARENALES 1391</t>
  </si>
  <si>
    <t>CCC57608 HO6242587</t>
  </si>
  <si>
    <t>Permuta/Venta - Casa 5 amb a estrenar - 1 Planta - 4 dormitorios - Altos de Campo Grande</t>
  </si>
  <si>
    <t>Argentina | G.B.A. Zona Norte | Pilar | Countries/B.Cerrado (Pilar) | Altos de Campo grande</t>
  </si>
  <si>
    <t>MAIPU 3095 - Tizado Propiedades - Santiago Chiapella</t>
  </si>
  <si>
    <t>MAIPU 3095</t>
  </si>
  <si>
    <t>Duplex RinconLindo</t>
  </si>
  <si>
    <t>CAP7179988</t>
  </si>
  <si>
    <t>CAP7044215</t>
  </si>
  <si>
    <t>VENTA DUPLEX 4 AMBIENTES 150m2, COCHERA, PASO DEL REY</t>
  </si>
  <si>
    <t>SOLDADO DERRICO al 1700</t>
  </si>
  <si>
    <t>VHO6316636</t>
  </si>
  <si>
    <t>Venta Casa APTO CREDITO en San Francisco Manzanares Pilar</t>
  </si>
  <si>
    <t>Club de Campo San Francisco, Manzanares Pilar</t>
  </si>
  <si>
    <t>Argentina | G.B.A. Zona Norte | Pilar | Manzanares | Countries/B.Cerrado (Manzanares) | Club de Campo San Francisco</t>
  </si>
  <si>
    <t>CLA5946478</t>
  </si>
  <si>
    <t>VENTA Lote 1062 m2, Barrio privado Barrancas de Dina Huapi, Río Negro</t>
  </si>
  <si>
    <t>CAP6105958</t>
  </si>
  <si>
    <t>Depto. 2 amb. con cochera en venta en Villa Santa Rita. Apto Credito!</t>
  </si>
  <si>
    <t>Juan Agustin Garcia al 2700</t>
  </si>
  <si>
    <t>CAP7032584</t>
  </si>
  <si>
    <t xml:space="preserve">Departamento 4 ambientes con cochera en Colegiales  </t>
  </si>
  <si>
    <t>Virrey Olaguer y Feliú  al 3100</t>
  </si>
  <si>
    <t>CLA6474213</t>
  </si>
  <si>
    <t>Ruta cinco saltos y Avenida Gral. Belgrano</t>
  </si>
  <si>
    <t>Duplex Geral</t>
  </si>
  <si>
    <t>Duplex Geraldine</t>
  </si>
  <si>
    <t>Charlone 1902</t>
  </si>
  <si>
    <t>CLO7028109</t>
  </si>
  <si>
    <t xml:space="preserve">Dúplex en Venta  </t>
  </si>
  <si>
    <t>Rene Favaloro</t>
  </si>
  <si>
    <t>CAP7093923</t>
  </si>
  <si>
    <t>VENTA DEPARTAMENTO 2 AMBIENTES EN PALERMO, PISO ALTO EN TORRE</t>
  </si>
  <si>
    <t>Charcas  al 4000</t>
  </si>
  <si>
    <t>CHO6642413</t>
  </si>
  <si>
    <t>Casa en  CABO DE HORNOS 2065 VILLA FARRELL</t>
  </si>
  <si>
    <t>CABO DE HORNOS al 2065 VILLA FARRELL</t>
  </si>
  <si>
    <t>CHO7271613</t>
  </si>
  <si>
    <t>DUPLEX EN VENTA  MAR BALTICO 491</t>
  </si>
  <si>
    <t>MAR BALTICO  al 491</t>
  </si>
  <si>
    <t>CHO6929237</t>
  </si>
  <si>
    <t>TEJAS ROJAS, Casa en  Venta</t>
  </si>
  <si>
    <t>Tejas Rojas, Villa Farrel.</t>
  </si>
  <si>
    <t>CLO6651445</t>
  </si>
  <si>
    <t>VENTA Local Comercial 27.5m² UF1 Cordones de Chapelco San Martin de Los Andes</t>
  </si>
  <si>
    <t>Cerro La Virgen -  Cordones de Chapelco</t>
  </si>
  <si>
    <t>CHO6650693</t>
  </si>
  <si>
    <t>VENTA Casa UF4 Planta Alta 60 m² Lote 200m²  B° Cordones de Chapelco San Martín de los Andes</t>
  </si>
  <si>
    <t>Cerro de la Virgen</t>
  </si>
  <si>
    <t>CPH7061640</t>
  </si>
  <si>
    <t>Venta PH 4 Ambientes con terraza en Villa Santa Rita No Apto Credito</t>
  </si>
  <si>
    <t>Alejandro Magariños Cervantes al 3500</t>
  </si>
  <si>
    <t>Alvarez Thomas 875 7 B</t>
  </si>
  <si>
    <t>CAP7064229</t>
  </si>
  <si>
    <t>Venta Departamento 2 ambientes en Villa Crespo</t>
  </si>
  <si>
    <t>Gurruchaga  al 600</t>
  </si>
  <si>
    <t>CAP7064252</t>
  </si>
  <si>
    <t>VENTA DEPARTAMENTO 6 AMBIENTES MAS DEPENDENCIA CON BALCÓN TERRAZA y COCHERA en BELGRANO</t>
  </si>
  <si>
    <t>Av Federico Lacroze al 2300</t>
  </si>
  <si>
    <t>CAP7039916</t>
  </si>
  <si>
    <t>Departamento de 4 ambientes en Venta en Belgrano</t>
  </si>
  <si>
    <t>CCH7136413</t>
  </si>
  <si>
    <t xml:space="preserve">Chacra en  Cinco Saltos. Ruta 151, calle 19 </t>
  </si>
  <si>
    <t>Ruta 151, Cinco Saltos</t>
  </si>
  <si>
    <t>CPH6849585</t>
  </si>
  <si>
    <t>Venta PH en Parque Avellaneda patio y terraza</t>
  </si>
  <si>
    <t>Zuviria al 3900</t>
  </si>
  <si>
    <t>CAP6445275</t>
  </si>
  <si>
    <t>Venta departamento 3 ambientes con parrilla a estrenar apto credito en Munro</t>
  </si>
  <si>
    <t>Rastreador Fournier  al 3600</t>
  </si>
  <si>
    <t>DAP5177138</t>
  </si>
  <si>
    <t>Venta -dos ambientes- balcon aterrazado -  cochera - amenities</t>
  </si>
  <si>
    <t>Av. Libertador  al 400</t>
  </si>
  <si>
    <t>Billinghurst 1645 - Guillermina Pico - Sol Lorenzo</t>
  </si>
  <si>
    <t>Billinghurst 1645</t>
  </si>
  <si>
    <t>CAP7226328</t>
  </si>
  <si>
    <t>Departamento en Venta Monoambiente a estrenar</t>
  </si>
  <si>
    <t>Av Congreso al 4300</t>
  </si>
  <si>
    <t>CAP6234853</t>
  </si>
  <si>
    <t>Alquiler Monoambiente Recoleta</t>
  </si>
  <si>
    <t>Aguero al 1600</t>
  </si>
  <si>
    <t>PH en venta en Núñez</t>
  </si>
  <si>
    <t>Nuñez 4067 "9" CABA</t>
  </si>
  <si>
    <t>CAP7026206</t>
  </si>
  <si>
    <t>VENTA DE DEPARTAMENTO 2 AMBIENTES PADUA CENTRO</t>
  </si>
  <si>
    <t>ITALIA  al 1000</t>
  </si>
  <si>
    <t>CLA7070818</t>
  </si>
  <si>
    <t>Terreno en  Jardines del valle (Cerrillos)</t>
  </si>
  <si>
    <t>RUTA 68 cerrillos</t>
  </si>
  <si>
    <t>CAP6944513</t>
  </si>
  <si>
    <t>VENTA DEPARTAMENTO 3  AMBIENTES - CABALLITO</t>
  </si>
  <si>
    <t>Diaz Velez al 5500</t>
  </si>
  <si>
    <t>CHO6044495</t>
  </si>
  <si>
    <t>Casa 4amb quincho, parrilla, parque y doble cochera.  Actualizamos el Valor!  Apto Crédito.</t>
  </si>
  <si>
    <t>Acevedo 36</t>
  </si>
  <si>
    <t>CAP6967255</t>
  </si>
  <si>
    <t>Venta de Departamento Apto Crédito, tres ambientes en Quartier Nordelta. Tigre</t>
  </si>
  <si>
    <t>Argentina | G.B.A. Zona Norte | Tigre | Countries/B.Cerrado (Tigre) | Nordelta | Quartier</t>
  </si>
  <si>
    <t>CAP6947930</t>
  </si>
  <si>
    <t xml:space="preserve">Departamento en  Venta </t>
  </si>
  <si>
    <t>ENTRE RIOS  DPTO 26 al 1000</t>
  </si>
  <si>
    <t>Fournier 3629 1 E</t>
  </si>
  <si>
    <t>CHO6655282</t>
  </si>
  <si>
    <t>Venta Casa 3 Ambientes en esquina de San Andres</t>
  </si>
  <si>
    <t>Corrientes al 3400</t>
  </si>
  <si>
    <t>CHO7006377</t>
  </si>
  <si>
    <t>VENTA CASA EN VOLCAN</t>
  </si>
  <si>
    <t>Mariano Moreno  al 100</t>
  </si>
  <si>
    <t xml:space="preserve">Argentina | Jujuy | Tumbaya </t>
  </si>
  <si>
    <t>VAP6995840</t>
  </si>
  <si>
    <t>Venta Departamento Mono ambiente amplio con Jardín en Caballito</t>
  </si>
  <si>
    <t>Belaustegui al 900</t>
  </si>
  <si>
    <t>CAP7166074</t>
  </si>
  <si>
    <t>Venta departamento 2 ambientes patio reciclado a nuevo Palermo</t>
  </si>
  <si>
    <t>Godoy Cruz 2800</t>
  </si>
  <si>
    <t>Aquino 5454</t>
  </si>
  <si>
    <t>Departamento en Venta</t>
  </si>
  <si>
    <t>Terreno Confluencia Manu- Monica</t>
  </si>
  <si>
    <t>Terreno Confluencia Manu - Monica</t>
  </si>
  <si>
    <t>CAP6587404</t>
  </si>
  <si>
    <t>Departamento en San Nicolás</t>
  </si>
  <si>
    <t>Parana al 800</t>
  </si>
  <si>
    <t>CAP4449603</t>
  </si>
  <si>
    <t>VENTA Departamento 2 amb 44 m2 céntrico calidad premium Diagonales UF1 El Once Villa la Angostura</t>
  </si>
  <si>
    <t xml:space="preserve">Avellaneda 30 </t>
  </si>
  <si>
    <t>CBU59833 AP7179989</t>
  </si>
  <si>
    <t>VENTA DEPARTAMENTO MONOAMBIENTE EN POZO SAAVEDRA</t>
  </si>
  <si>
    <t>Carlos Calvo</t>
  </si>
  <si>
    <t>CLA7006119</t>
  </si>
  <si>
    <t xml:space="preserve">Lote en venta en El Naudir Escobar Noroeste </t>
  </si>
  <si>
    <t>RP25, Provincia de Buenos Aires</t>
  </si>
  <si>
    <t>JPH7191728</t>
  </si>
  <si>
    <t>RESERVADA!! Oportunidad ph 4 ambientes con patio</t>
  </si>
  <si>
    <t>CAP7027480</t>
  </si>
  <si>
    <t>Venta excelente semi piso 3/4 amb BARRANCAS DE BELGRANO</t>
  </si>
  <si>
    <t>Jose Hernandez  al 1900</t>
  </si>
  <si>
    <t>CAP4196765</t>
  </si>
  <si>
    <t>Monoambiente en Barrio La Plaza con Jardín - en pozo - financiados - Bariloche - Patagonia</t>
  </si>
  <si>
    <t>Rolando y 258</t>
  </si>
  <si>
    <t>3 de febrero</t>
  </si>
  <si>
    <t>CAP6607622</t>
  </si>
  <si>
    <t>Venta Departamento Un Dormitorio Neuquén Capital</t>
  </si>
  <si>
    <t>San Juan al 800</t>
  </si>
  <si>
    <t>CPN60269 AP6756234</t>
  </si>
  <si>
    <t>Departamento en Lagoon Pilar</t>
  </si>
  <si>
    <t xml:space="preserve">Venta-Depto 2 amb Lagoon Pilar </t>
  </si>
  <si>
    <t>82Maricel</t>
  </si>
  <si>
    <t>Casa en colastine Norte</t>
  </si>
  <si>
    <t>Ruta 1 km 4</t>
  </si>
  <si>
    <t>VHO3642457</t>
  </si>
  <si>
    <t>Venta  Muy linda Casa - Bella Vista - APTO CREDITO</t>
  </si>
  <si>
    <t>MISIONES al 900</t>
  </si>
  <si>
    <t>Argentina | G.B.A. Zona Norte | San Miguel | Bella Vista</t>
  </si>
  <si>
    <t>CAP6910178</t>
  </si>
  <si>
    <t>DEPARTAMENTO DUPLEX   EN VENTA  - CENTRO ADROGUE</t>
  </si>
  <si>
    <t>Roca al 500</t>
  </si>
  <si>
    <t>CPH6487462</t>
  </si>
  <si>
    <t>Venta PH en Villa Pueyrredón Frente -Jardin -Cochera - Patio- Terraza -Quincho -Parrilla</t>
  </si>
  <si>
    <t>Gabriela Mistral 3200</t>
  </si>
  <si>
    <t>Virrey Aviles 2985 - Guillermina Pico - Marimo Propiedades</t>
  </si>
  <si>
    <t xml:space="preserve">Virrey Aviles 2985 </t>
  </si>
  <si>
    <t>PH en Venta en Caseros</t>
  </si>
  <si>
    <t>PH de 3 ambientes en Venta en Caseros</t>
  </si>
  <si>
    <t>Mitre 5965</t>
  </si>
  <si>
    <t>AHO5850345</t>
  </si>
  <si>
    <t>Excelente Chalet de Estilo en Banfield</t>
  </si>
  <si>
    <t>Serrano 1257</t>
  </si>
  <si>
    <t>Casa Alsina 1651</t>
  </si>
  <si>
    <t>Alsina 1651</t>
  </si>
  <si>
    <t>Argentina | G.B.A. Zona Sur | Lomas De Zamora (Partido) | Lomas De Zamora</t>
  </si>
  <si>
    <t>CAP6585185</t>
  </si>
  <si>
    <t>VENTA DEPARTAMENTO 2 AMBIENTES - PALERMO HOLLYWOOD</t>
  </si>
  <si>
    <t xml:space="preserve">Paraguay 5200 </t>
  </si>
  <si>
    <t>Belgrano, San Carlos de Bariloche</t>
  </si>
  <si>
    <t>CLA7124193</t>
  </si>
  <si>
    <t>Terreno en VENTA LAS MORAS HIGUERILLA</t>
  </si>
  <si>
    <t>LAS MORAS HIGUERILLA</t>
  </si>
  <si>
    <t>CAP6745526</t>
  </si>
  <si>
    <t>Venta Departamento 2 amb. C/ Patio 52m2 Recoleta Airbnb</t>
  </si>
  <si>
    <t>Las Heras al 2000</t>
  </si>
  <si>
    <t>CAP6642818</t>
  </si>
  <si>
    <t>Dpto. en venta - 2 ambientes en Nuñez con Cochera - Apto Credito</t>
  </si>
  <si>
    <t>Departamento en venta - 2 ambientes en Nuñez con Cochera Apto Credito</t>
  </si>
  <si>
    <t>CAP7016044</t>
  </si>
  <si>
    <t xml:space="preserve">MODERNO  MONOAMBIENTE CON AMENITIES EN CABALLITO </t>
  </si>
  <si>
    <t>Juan B. Alberdi al 1600</t>
  </si>
  <si>
    <t>CAP7020570</t>
  </si>
  <si>
    <t>Venta Departamento en  2 ambientes con balcon Recoleta</t>
  </si>
  <si>
    <t>Las Heras al 1800</t>
  </si>
  <si>
    <t>CAP6740826</t>
  </si>
  <si>
    <t>Departamento en Venta 1 Dormitorio - Urquiza 1330 - Rosario</t>
  </si>
  <si>
    <t>Venta Departamento 1 Dormitorio - Rosario</t>
  </si>
  <si>
    <t>Argentina | Santa Fe | Rosario | Rosario</t>
  </si>
  <si>
    <t>CAP6566341</t>
  </si>
  <si>
    <t>Depto 2 amb con Jardin Venta- Lagoon Pilar</t>
  </si>
  <si>
    <t>CHO7033975</t>
  </si>
  <si>
    <t>Casa en Guadalupe oeste con gran terreno</t>
  </si>
  <si>
    <t>Propiedad con doble vivienda, terreno de grandes dimensiones y todos los servicios, en Guadalupe</t>
  </si>
  <si>
    <t>CAP6252872</t>
  </si>
  <si>
    <t>VENTA DEPARTAMENTO 3 AMBIENTES A ESTRENAR CON COHERA FIJA EN SAAVEDRA</t>
  </si>
  <si>
    <t>Garcia del rio  al 3800</t>
  </si>
  <si>
    <t>CAP6760187</t>
  </si>
  <si>
    <t>Venta Departamento en  Villa Urquiza, 3 ambientes con balcón y cochera</t>
  </si>
  <si>
    <t>Lugones al 2600</t>
  </si>
  <si>
    <t>CLA6668228</t>
  </si>
  <si>
    <t>Venta Lote 4.283 m² C/vista Parcial de Lago, Zona Puerto, Villa La Angostura</t>
  </si>
  <si>
    <t>Virgen de la Asunción</t>
  </si>
  <si>
    <t>Argentina | Neuquen | Villa La Angostura | Puerto</t>
  </si>
  <si>
    <t>CAP4500966</t>
  </si>
  <si>
    <t>Departamento - Candioti Norte</t>
  </si>
  <si>
    <t>Domingo Silva al 1350 Piso 6 Dpto 1</t>
  </si>
  <si>
    <t>VHO6825953</t>
  </si>
  <si>
    <t>Casa en  venta en Colegiales. Esquina</t>
  </si>
  <si>
    <t>Amenabar 1000</t>
  </si>
  <si>
    <t>CAP7179392</t>
  </si>
  <si>
    <t>VENTA DEPARTAMENTO 2 AMB PALERMO HOLLYWOOD AMOBLADO C/ PATIO GRANDE</t>
  </si>
  <si>
    <t>NICARAGUA  al 6000</t>
  </si>
  <si>
    <t>JPH6712888</t>
  </si>
  <si>
    <t>PH - 3 AMBIENTES - TERRAZA - PATERNAL - PATIO</t>
  </si>
  <si>
    <t>Alvarez Jonte  al 2400</t>
  </si>
  <si>
    <t>CLA6894171</t>
  </si>
  <si>
    <t>GALPÓN en 41 e/ 25 y 26</t>
  </si>
  <si>
    <t>CLA7014600</t>
  </si>
  <si>
    <t>Terreno en  venta Grand Bourg</t>
  </si>
  <si>
    <t>Mirador Oeste</t>
  </si>
  <si>
    <t>Argentina | Salta | Capital | San Lorenzo</t>
  </si>
  <si>
    <t>CHO6906264</t>
  </si>
  <si>
    <t>Casa en  enta, Barrio Vista Barda, Av Viterbori, Gral Roca</t>
  </si>
  <si>
    <t>Casa en Venta, Av. Viterbori Barrio Vista Barda, Gral Roca</t>
  </si>
  <si>
    <t xml:space="preserve">Argentina | Rio Negro | General Roca </t>
  </si>
  <si>
    <t>86Nestor</t>
  </si>
  <si>
    <t>Casa en Alberti</t>
  </si>
  <si>
    <t>Alberti2304</t>
  </si>
  <si>
    <t>VAP6047632</t>
  </si>
  <si>
    <t>Venta Monoambiente con Balcón en Palermo Soho, Amenities. A estrenar</t>
  </si>
  <si>
    <t>Fray Justo SM de Oro al 2300</t>
  </si>
  <si>
    <t>CAP7214043</t>
  </si>
  <si>
    <t>Departamento en Venta de 1 dormitorio en 46 entre 13 y 14  en La Plata</t>
  </si>
  <si>
    <t>CAP7047556</t>
  </si>
  <si>
    <t>VENTA DEPARTAMENTO 4 AMBIENTES EN CABALLITO</t>
  </si>
  <si>
    <t>RIVADAVIA al 5900</t>
  </si>
  <si>
    <t>CAP6989208</t>
  </si>
  <si>
    <t>Departamento en  Belgrano. 3 Dormitorios. Reciclado a nuevo</t>
  </si>
  <si>
    <t>Moldes al 1900</t>
  </si>
  <si>
    <t>CAP6849243</t>
  </si>
  <si>
    <t>Venta Departamento 3 ambientes totalmente reciclado en Recoleta</t>
  </si>
  <si>
    <t>Agüero  al 1400</t>
  </si>
  <si>
    <t>CAP7182372</t>
  </si>
  <si>
    <t>OPORTUNIDAD Venta departamento monoambiente Balvanera Once</t>
  </si>
  <si>
    <t>Viamonte  al 2600</t>
  </si>
  <si>
    <t>River View</t>
  </si>
  <si>
    <t>Manuela Saenz 446</t>
  </si>
  <si>
    <t>CHO6718630</t>
  </si>
  <si>
    <t>Casa de dos dormitorios y patio a metros de Av. Galicia.</t>
  </si>
  <si>
    <t>A. Boneo al 1500</t>
  </si>
  <si>
    <t>Argentina | Santa Fe | La Capital | Santa Fe | Guadalupe oeste</t>
  </si>
  <si>
    <t>CLA7090806</t>
  </si>
  <si>
    <t>Terreno en venta ubicado en La Verbena - Salta</t>
  </si>
  <si>
    <t xml:space="preserve">La Verbena Calle 8 </t>
  </si>
  <si>
    <t>85Stella</t>
  </si>
  <si>
    <t>Dpto  tres dormitorios</t>
  </si>
  <si>
    <t>Castelli 2300</t>
  </si>
  <si>
    <t>CPH7104236</t>
  </si>
  <si>
    <t>PH Reciclado a Nuevo con Terraza Propia en pleno Recoleta</t>
  </si>
  <si>
    <t>Juncal  al 2900</t>
  </si>
  <si>
    <t>CAP6857435</t>
  </si>
  <si>
    <t>venta de departamento 4 ambientes en caballito</t>
  </si>
  <si>
    <t>valle al 800</t>
  </si>
  <si>
    <t>CHO6573371</t>
  </si>
  <si>
    <t>Casa  4 ambientes en  Venta en San Sebastian Area 1 con Jardin y Pileta</t>
  </si>
  <si>
    <t xml:space="preserve">San Sebastian Area 1 </t>
  </si>
  <si>
    <t>Argentina | G.B.A. Zona Norte | Escobar | San Sebastian</t>
  </si>
  <si>
    <t>CAP6942708</t>
  </si>
  <si>
    <t>Venta Dpto 2 Ambientes Balcón Villa del Parque Permuta</t>
  </si>
  <si>
    <t>Bolivia 3000</t>
  </si>
  <si>
    <t>CAP7119854</t>
  </si>
  <si>
    <t>Venta Departamento 3 Habitaciones, 5 ambientes con 2 dependencias 3 baños y lavadero en Recoleta</t>
  </si>
  <si>
    <t xml:space="preserve">Posadas 1120 -22A- </t>
  </si>
  <si>
    <t>CHO4004184</t>
  </si>
  <si>
    <t>Casa - La Capital</t>
  </si>
  <si>
    <t>Goyena al 3300</t>
  </si>
  <si>
    <t>CPH6697568</t>
  </si>
  <si>
    <t>Casa tipo PH Gonnet 505 e 19 y Cno Gral Belgrano Apto Banco</t>
  </si>
  <si>
    <t>Casa tipo PH en venta dentro de barrio cerrado en Gonnet calle 505 e/ 19 y Camino General Belgrano  Apto Banco</t>
  </si>
  <si>
    <t>CPH7102365</t>
  </si>
  <si>
    <t>PH en  Urquiza con patio.</t>
  </si>
  <si>
    <t>Lugones  al 3200</t>
  </si>
  <si>
    <t>VHO6800875</t>
  </si>
  <si>
    <t>APTO CREDITO - Casa en Venta  - C.C Los Horneros</t>
  </si>
  <si>
    <t>APTO CREDITO - Casa en Venta 6 Amb en C.C Los Horneros</t>
  </si>
  <si>
    <t>Argentina | G.B.A. Zona Norte | Escobar | Countries/B.Cerrado (Escobar) | Los Horneros</t>
  </si>
  <si>
    <t>CLA7236181</t>
  </si>
  <si>
    <t xml:space="preserve">Gran Lote en Venta - Barrio Santa Ana </t>
  </si>
  <si>
    <t>Barrio Santa Ana - Arribeños  al 1600</t>
  </si>
  <si>
    <t>Argentina | G.B.A. Zona Norte | Tigre | Countries/B.Cerrado (Tigre) | Villanueva | Santa Ana</t>
  </si>
  <si>
    <t>CLA6816423</t>
  </si>
  <si>
    <t>Terreno en  venta en Lomas del Cauquén Bariloche</t>
  </si>
  <si>
    <t>Lomas del Cauquen, San Carlos de Bariloche</t>
  </si>
  <si>
    <t>Argentina | Rio Negro | Bariloche | Lomas del Cauquen</t>
  </si>
  <si>
    <t>CHO7203671</t>
  </si>
  <si>
    <t>Casa en Venta - 3 Ambientes en Santa Isabel</t>
  </si>
  <si>
    <t>Argentina | G.B.A. Zona Norte | Escobar | Countries/B.Cerrado (Escobar) | Santa Isabel</t>
  </si>
  <si>
    <t>CAP6516212</t>
  </si>
  <si>
    <t>Departamento 3 ambientes - A Estrenar con Cochera - Beccar</t>
  </si>
  <si>
    <t>Departamento 3 ambientes a estrenar en Beccar</t>
  </si>
  <si>
    <t>Argentina | G.B.A. Zona Norte | San Isidro | Beccar</t>
  </si>
  <si>
    <t>CAP6786881</t>
  </si>
  <si>
    <t>Departamento en Cuyaya</t>
  </si>
  <si>
    <t>B° CUYAYA</t>
  </si>
  <si>
    <t>Argentina | Jujuy | Dr Manuel Belgrano | San Salvador De Jujuy | Cuyaya</t>
  </si>
  <si>
    <t>CAP6640459</t>
  </si>
  <si>
    <t>Departamento de 4 ambientes en venta con cochera</t>
  </si>
  <si>
    <t>Irigoyen  al 1900</t>
  </si>
  <si>
    <t>CAP6617842</t>
  </si>
  <si>
    <t>Venta Departamento 2 Ambientes con seguridad 24hs en Palermo</t>
  </si>
  <si>
    <t>Mansilla al 2500</t>
  </si>
  <si>
    <t>CAP7099180</t>
  </si>
  <si>
    <t>Venta Departamento 3 Ambientes, Dependencia y Cochera en Bahia Grande Nordelta, Puerto Escondido</t>
  </si>
  <si>
    <t>Av del Puerto  al 600 - Puerto Escondido Nordelta</t>
  </si>
  <si>
    <t>Argentina | G.B.A. Zona Norte | Tigre | Countries/B.Cerrado (Tigre) | Nordelta | Bahia Grande</t>
  </si>
  <si>
    <t>CAP6751879</t>
  </si>
  <si>
    <t>Venta Departamento 4 Ambientes piso alto con imperdible vista en Belgrano C</t>
  </si>
  <si>
    <t>MIGUELETES AL 1600</t>
  </si>
  <si>
    <t>JAP6886546</t>
  </si>
  <si>
    <t>Venta Departamento Tres ambientes Ayres de San Isidro</t>
  </si>
  <si>
    <t>Roque Saenz Peña al 100</t>
  </si>
  <si>
    <t>JAP7037135</t>
  </si>
  <si>
    <t>VENTA Depto 2 amb con balcón en Villa del Parque</t>
  </si>
  <si>
    <t>Baigorria al 2500</t>
  </si>
  <si>
    <t>CAP6827748</t>
  </si>
  <si>
    <t>Venta departamento 2 ambientes balcón aterrazado Almagro</t>
  </si>
  <si>
    <t>Avenida Independencia  al 3700</t>
  </si>
  <si>
    <t>alcaraz</t>
  </si>
  <si>
    <t>VOT59732 LA6522271</t>
  </si>
  <si>
    <t>Terreno en  Barrio Abierto Los Jilgueros El Cazador Escobar</t>
  </si>
  <si>
    <t>Departamento 8 esq 58</t>
  </si>
  <si>
    <t>calle 8 esquina 58</t>
  </si>
  <si>
    <t>CHO6971036</t>
  </si>
  <si>
    <t>Venta  Casa de 7 ambientes Apto crédito en Pacheco Sur</t>
  </si>
  <si>
    <t>Aguado  al 300</t>
  </si>
  <si>
    <t>Argentina | G.B.A. Zona Norte | Tigre | General Pacheco</t>
  </si>
  <si>
    <t>COF6930889</t>
  </si>
  <si>
    <t>VENTA OFICINA NUÑEZ - PREMIUM , PICO Y AV. DEL LIBERTADOR, BARRIO NUÑEZ - CIUDAD DE BUENOS AIRES</t>
  </si>
  <si>
    <t xml:space="preserve">Pico 1600 y Av.  Del Libertador, Nuñez , CABA, Argentina </t>
  </si>
  <si>
    <t>CPH6853381</t>
  </si>
  <si>
    <t>PH tipo Casa en Venta en Versalles</t>
  </si>
  <si>
    <t>Irigoyen  al 1800</t>
  </si>
  <si>
    <t>CHO6893769</t>
  </si>
  <si>
    <t>Casa en venta España Al 2300</t>
  </si>
  <si>
    <t>España al 2300</t>
  </si>
  <si>
    <t>UF 76 y UC 57  asignada como cochera y baulera + inventario Av. 7 Lagos 95 en el COMPLEJO PATAGONIA, nomenclatura catastral lote madre: 16-20-0624-969-0000</t>
  </si>
  <si>
    <t>Av. 7 lagos 95</t>
  </si>
  <si>
    <t>OP 170</t>
  </si>
  <si>
    <t>thames 56 213</t>
  </si>
  <si>
    <t>CLA6695677</t>
  </si>
  <si>
    <t>VENTA Lote/Terreno 630M2 B° El Remanso Lote RC06 San Martin de los Andes</t>
  </si>
  <si>
    <t>Ruta 40</t>
  </si>
  <si>
    <t>CLO7055327</t>
  </si>
  <si>
    <t>¡Gran PH de 4 ambientes en inmejorable ubicación de Olivos - Vicente López!</t>
  </si>
  <si>
    <t>Bouchard al 3200</t>
  </si>
  <si>
    <t>CLO7062908</t>
  </si>
  <si>
    <t>¡Muy buen local en Olivos, para aprovechar!</t>
  </si>
  <si>
    <t>bouchard 3273</t>
  </si>
  <si>
    <t>bouchard 3273 vte lopez</t>
  </si>
  <si>
    <t>bouchard 3273 olivos</t>
  </si>
  <si>
    <t>CAP2653770</t>
  </si>
  <si>
    <t>Depto. en Palermo Chico!  Cochera. Impecable! Oportunidad</t>
  </si>
  <si>
    <t xml:space="preserve">Lafinur 3300 </t>
  </si>
  <si>
    <t>Reserva Gus Mike Fede Ghiglione, Dpto España y Libertad UF207 C. 13</t>
  </si>
  <si>
    <t>CAP7166417</t>
  </si>
  <si>
    <t>Departamento de 1 dormitorio en 45 e/ 19 y 20, La Plata</t>
  </si>
  <si>
    <t>45 e/ 19 y 20</t>
  </si>
  <si>
    <t>CLA7152271</t>
  </si>
  <si>
    <t>VENTA Terreno de 146,3 m² con Proyecto Aprobado – Loteo "Antiguo Camino", Bariloche</t>
  </si>
  <si>
    <t>Antiguo Camino</t>
  </si>
  <si>
    <t>CAP6804669</t>
  </si>
  <si>
    <t>ESPECTACULAR 2 AMBIENTES EN VILLA URQUIZA, EDIFICIO LYNN. PISO ALTO, BALCÓN ATERRAZADO, DORMITORIO EN SUITE CON VESTIDOR Y BAÑO CON BAÑADERA   TOILLETE   SUM   PILETA.</t>
  </si>
  <si>
    <t xml:space="preserve">Juramento  al 5000 - </t>
  </si>
  <si>
    <t>Venta monoambiente en Monserrat</t>
  </si>
  <si>
    <t>Av. Belgrano 1256 3° "F" CABA</t>
  </si>
  <si>
    <t>CAP6829249</t>
  </si>
  <si>
    <t xml:space="preserve">Venta Dpto 2 ambientes a Estrenar </t>
  </si>
  <si>
    <t>Paraguay al 2800</t>
  </si>
  <si>
    <t>CAP6906335</t>
  </si>
  <si>
    <t>Venta departamento 2 amb, cochera y amenities CABALLITO</t>
  </si>
  <si>
    <t>Juan Bautista Alberdi  al 1500</t>
  </si>
  <si>
    <t>CHO6750277</t>
  </si>
  <si>
    <t>DUPLEX MAR BALTICO 495 RINCON DE EMILIO</t>
  </si>
  <si>
    <t>MAR BALTICO 495 RINCON DE EM ILIO</t>
  </si>
  <si>
    <t>CASA LOTE 333 CRUZ DEL SUR</t>
  </si>
  <si>
    <t>Casa Venta Cruz del Sur 333</t>
  </si>
  <si>
    <t>VAP6594622</t>
  </si>
  <si>
    <t>Venta departamento 3 ambientes Colegiales.  Bajas expensas</t>
  </si>
  <si>
    <t>Av. Elcano  al 3600</t>
  </si>
  <si>
    <t>CAP6197353</t>
  </si>
  <si>
    <t>DEPARTAMENTO, ESTRENAR, 3, AMBIENTES, BALCON, TERRAZA, FLORES, CABALLITO, PATIO</t>
  </si>
  <si>
    <t>Jose Bonifacio  al 1900</t>
  </si>
  <si>
    <t>CAP7303870</t>
  </si>
  <si>
    <t>Monoambiente en venta calle Constitución 1950 B San Cristóbal</t>
  </si>
  <si>
    <t>COB62330 OF7095791</t>
  </si>
  <si>
    <t>Oficina en  Meet Pilar</t>
  </si>
  <si>
    <t>Oficina en Meet Pilar</t>
  </si>
  <si>
    <t>Las Amapolas 455</t>
  </si>
  <si>
    <t>Departamaneto en venta Vilahaus 4 ambientes</t>
  </si>
  <si>
    <t>CAP5982566</t>
  </si>
  <si>
    <t>Departamento céntrico 2 ambientes con cochera Bariloche</t>
  </si>
  <si>
    <t>CAP5098578</t>
  </si>
  <si>
    <t>Depto en Venta 3 ambientes c/ dependencia !! OPORTUNIDAD</t>
  </si>
  <si>
    <t>Sarmiento al 2600</t>
  </si>
  <si>
    <t>CCS7118993</t>
  </si>
  <si>
    <t>EXCELENTE CAMPO AGRICOLA EN BUSTINZA-SANTA FE</t>
  </si>
  <si>
    <t>BUSTINZA-DEPTO IRIONDO-SANTA FE</t>
  </si>
  <si>
    <t>Argentina | Santa Fe | Iriondo | Bustinza</t>
  </si>
  <si>
    <t>CHO6901670</t>
  </si>
  <si>
    <t>Casa en Las Paredes</t>
  </si>
  <si>
    <t>Bentos y Sarmiento</t>
  </si>
  <si>
    <t>CLA6808262</t>
  </si>
  <si>
    <t>TERRENO EN PRADERAS 3</t>
  </si>
  <si>
    <t>Argentina | Santa Fe | La Capital | Angel Gallardo</t>
  </si>
  <si>
    <t>KHO3877339</t>
  </si>
  <si>
    <t>Casa en Venta de 3 dormitorios con quincho y pile  Gorina</t>
  </si>
  <si>
    <t>Calle 135 bis e/ Diag. 9 y 482, Gonnet - CASA EN VENTA</t>
  </si>
  <si>
    <t>Argentina | G.B.A. Zona Sur | La Plata | Joaquin Gorina</t>
  </si>
  <si>
    <t>CLA7026444</t>
  </si>
  <si>
    <t>VENTA DE TERRENO 326m2, MORENO CENTRO</t>
  </si>
  <si>
    <t>LUZURIAGA  al 2200</t>
  </si>
  <si>
    <t>CHO6772380</t>
  </si>
  <si>
    <t>Casa en Caballito Norte</t>
  </si>
  <si>
    <t>Belaustegui al 1600</t>
  </si>
  <si>
    <t>CPH4257624</t>
  </si>
  <si>
    <t>PH - Candioti Norte</t>
  </si>
  <si>
    <t>CASA AL FRENTE  en venta 4 dormitorios y terraza, zona Candiotti Norte</t>
  </si>
  <si>
    <t>81Stella</t>
  </si>
  <si>
    <t>Hectarea en Ruta 1</t>
  </si>
  <si>
    <t>Corondaes 5600</t>
  </si>
  <si>
    <t>Argentina | Santa Fe | La Capital | San Jose Del Rincon | Ubajay</t>
  </si>
  <si>
    <t>Azcuenaga 1064 7A</t>
  </si>
  <si>
    <t>CAP7060605</t>
  </si>
  <si>
    <t>Departamento de dos dormitorios y balcón al frente en Av. Vicente López | QUILMES</t>
  </si>
  <si>
    <t>Av. Vicente López E/ Tucumán y José María Sánchez</t>
  </si>
  <si>
    <t>Argentina | G.B.A. Zona Sur | Quilmes | Quilmes Oeste</t>
  </si>
  <si>
    <t>beiro</t>
  </si>
  <si>
    <t xml:space="preserve">Reserva Venta casa Lago Mascardi 251 </t>
  </si>
  <si>
    <t>CAP7025603</t>
  </si>
  <si>
    <t>Venta monoambiente a estrenar amenities de categoria (Belgrano)</t>
  </si>
  <si>
    <t>Cramer  al 2500 9°</t>
  </si>
  <si>
    <t>CAP3743973</t>
  </si>
  <si>
    <t>Venta Depto Premium UF102 en Pozo "Casa Grande" Bv. Quetrihue 338 Villa La Angostura - Costa de Lago</t>
  </si>
  <si>
    <t>Bv.  Quetrihue 338, Villa La Angostura</t>
  </si>
  <si>
    <t>Bernardo Yrigoyen 573</t>
  </si>
  <si>
    <t>UF 1 Loteo C Quetrihue</t>
  </si>
  <si>
    <t>UF 2 Loteo C Quetrihue</t>
  </si>
  <si>
    <t>UF 3 Loteo C Quetrihue</t>
  </si>
  <si>
    <t>UF 5 Loteo C Quetrihue</t>
  </si>
  <si>
    <t>UF 6 Loteo C Quetrihue</t>
  </si>
  <si>
    <t>UF 7 Loteo C Quetrihue</t>
  </si>
  <si>
    <t>UF 8 Loteo C Quetrihue</t>
  </si>
  <si>
    <t>UF 9 Loteo C Quetrihue</t>
  </si>
  <si>
    <t>UF 10 Loteo C Quetrihue</t>
  </si>
  <si>
    <t>UF 12 Loteo C Quetrihue</t>
  </si>
  <si>
    <t>CAP7024624</t>
  </si>
  <si>
    <t>Venta PH 3 Ambientes en Lanus</t>
  </si>
  <si>
    <t>Del Valle Iberlucea  al 3300</t>
  </si>
  <si>
    <t>Reserva Mirko Trato Directo Dpto vicealmirante O'Conno3 651</t>
  </si>
  <si>
    <t>CLA5612385</t>
  </si>
  <si>
    <t>Terreno en  venta 628 m2 Barrio Don Orione Bariloche</t>
  </si>
  <si>
    <t>Don Orione, San Carlos de Bariloche</t>
  </si>
  <si>
    <t>Argentina | Rio Negro | Bariloche | San Carlos De Bariloche | Villa Don Orione</t>
  </si>
  <si>
    <t>JAP5069265</t>
  </si>
  <si>
    <t>Venta Departamento  3 ambientes Saavedra Vista Panorámica</t>
  </si>
  <si>
    <t>Av. Ricardo Balbin  al 4500</t>
  </si>
  <si>
    <t>CAP6660554</t>
  </si>
  <si>
    <t>ALQUILER depto 3 amb REMODELADO A NUEVO balcón hermosa vista Recoleta</t>
  </si>
  <si>
    <t>Quintana  al 500</t>
  </si>
  <si>
    <t>Depto Castelli 256</t>
  </si>
  <si>
    <t>Castelli 256</t>
  </si>
  <si>
    <t>CAP7024408</t>
  </si>
  <si>
    <t>Venta Departamento 2 ambientes en Florida</t>
  </si>
  <si>
    <t>Vergara  al 2200</t>
  </si>
  <si>
    <t>CAP6516567</t>
  </si>
  <si>
    <t>Venta departamento 4 ambientes en  Belgrano 2 cocheras Parrilla Triplex Dependencia OPORTUNIDAD</t>
  </si>
  <si>
    <t>Montañeses al 2300</t>
  </si>
  <si>
    <t>CHO6780971</t>
  </si>
  <si>
    <t>Casa en San Sebastian</t>
  </si>
  <si>
    <t>Oportunidad! Casa San Sebastian Área 13</t>
  </si>
  <si>
    <t>CAP6708757</t>
  </si>
  <si>
    <t>Venta Departamento 3 Ambientes con Terraza y Balcón en Caballito</t>
  </si>
  <si>
    <t>Nicasio Oroño al 50</t>
  </si>
  <si>
    <t>op 156</t>
  </si>
  <si>
    <t>Parera 68</t>
  </si>
  <si>
    <t>parera 65</t>
  </si>
  <si>
    <t>CAP7046566</t>
  </si>
  <si>
    <t>VENTA DEPARTAMENTO 2 AMBIENTES - APTO CREDITO EN PALERMO</t>
  </si>
  <si>
    <t>Pasaje San Benito de Palermo al 1600</t>
  </si>
  <si>
    <t>CPH6701257</t>
  </si>
  <si>
    <t>VENTA PH TIPO CASA 3 AMBIENTES 2 BAÑOS MORON CENTRO</t>
  </si>
  <si>
    <t>Luis María Campos al 600</t>
  </si>
  <si>
    <t>CHO6812702</t>
  </si>
  <si>
    <t>casa, venta, temperley, lomas de zamora, patio, jardin, fondo, 3 ambientes</t>
  </si>
  <si>
    <t>JACINTO ROSSO al 500</t>
  </si>
  <si>
    <t>CLA6950692</t>
  </si>
  <si>
    <t>Terreno en Barrio Norte</t>
  </si>
  <si>
    <t>BARRIO NORTE</t>
  </si>
  <si>
    <t xml:space="preserve">Casa en venta Ayes Plaza 6 ambientes </t>
  </si>
  <si>
    <t>Sitio de Montevideo 1742 - Leo Maroni - Remax Power</t>
  </si>
  <si>
    <t>Sitio de Montevideo 1742</t>
  </si>
  <si>
    <t>CHO6734847</t>
  </si>
  <si>
    <t>Casa en  Zabala 342</t>
  </si>
  <si>
    <t>Zabala al 300</t>
  </si>
  <si>
    <t>VAP6893024</t>
  </si>
  <si>
    <t>APTO CREDITO Departamento 2 ambientes, Pilar</t>
  </si>
  <si>
    <t>La Candela, Champangnat  al 1600</t>
  </si>
  <si>
    <t>Argentina | G.B.A. Zona Norte | Pilar | Countries/B.Cerrado (Pilar) | La Candela</t>
  </si>
  <si>
    <t>Impactante departamento reciclado de 2 ambientes en Recoleta</t>
  </si>
  <si>
    <t>Av. Callao 2075</t>
  </si>
  <si>
    <t>N/C - PERON 1671</t>
  </si>
  <si>
    <t>VENTA DPTO 3 AMB SAN NICOLAS</t>
  </si>
  <si>
    <t>Tte. Gral. Juan Domingo Perón 1671</t>
  </si>
  <si>
    <t>CAP6799833</t>
  </si>
  <si>
    <t>VENTA Muy luminoso departamento de 3 ambientes en Monserrat</t>
  </si>
  <si>
    <t>Virrey Cevallos  al 400</t>
  </si>
  <si>
    <t>CAP6653096</t>
  </si>
  <si>
    <t>Departamento 4 amb en Venta en Villa Adelina</t>
  </si>
  <si>
    <t>Venezuela  al 3100</t>
  </si>
  <si>
    <t>CCH7037710</t>
  </si>
  <si>
    <t>Chacra en Cinco Saltos</t>
  </si>
  <si>
    <t>CHO6867752</t>
  </si>
  <si>
    <t>Casa en  Ciudad Del Milagro</t>
  </si>
  <si>
    <t>Ciudad Del Milagro</t>
  </si>
  <si>
    <t>CPH7038072</t>
  </si>
  <si>
    <t>PH en  VILLA URQUIZA A RECICLAR en Venta</t>
  </si>
  <si>
    <t>CULLEN  al 5500</t>
  </si>
  <si>
    <t>CAP6962967</t>
  </si>
  <si>
    <t>Departamento en Villa Pueyrredon 3 Amb. al Frente con Balcon - "RETASADO"</t>
  </si>
  <si>
    <t>GABRIELA MISTRAL  al 3100</t>
  </si>
  <si>
    <t>Bruselas 511</t>
  </si>
  <si>
    <t>CAP6612463</t>
  </si>
  <si>
    <t>Departamento 3 Ambientes Muy luminoso  en Paternal</t>
  </si>
  <si>
    <t>Magariños Cervantes  al 1800</t>
  </si>
  <si>
    <t>CHO6730568</t>
  </si>
  <si>
    <t>Casa en Villa Crespo  LOTE  OPORTUNIDAD PATERNAL 7 PISOS 2 RETIROS CANJE POR METROS</t>
  </si>
  <si>
    <t>ROJAS al 1800</t>
  </si>
  <si>
    <t>VAP6158713</t>
  </si>
  <si>
    <t>Departamento venta 1 dormitorio - Nuñez - bajas expensas</t>
  </si>
  <si>
    <t>Vuelta de Obligado al 4000</t>
  </si>
  <si>
    <t>CHO6956087</t>
  </si>
  <si>
    <t>Casa en  Via Aurelia</t>
  </si>
  <si>
    <t>mza 16  18</t>
  </si>
  <si>
    <t>CAP7089014</t>
  </si>
  <si>
    <t>Departamento en  VENTA 2 AMB en Barrancas Belgrano</t>
  </si>
  <si>
    <t>3 de Febrero Belgrano</t>
  </si>
  <si>
    <t>Reserva Marianela Dpto Campichuelo 690 Abres</t>
  </si>
  <si>
    <t>CHO5798626</t>
  </si>
  <si>
    <t xml:space="preserve">Casa en  Venta . Villa Regina </t>
  </si>
  <si>
    <t>Los olmos  al 1400</t>
  </si>
  <si>
    <t>Argentina | Rio Negro | General Roca | Villa Regina</t>
  </si>
  <si>
    <t>CLA6942928</t>
  </si>
  <si>
    <t>TERRENO EN LA MESETA CENTENARIO</t>
  </si>
  <si>
    <t>ALBERDI Y SANTA FE-LA MESETA CENTENARIO</t>
  </si>
  <si>
    <t>CAP6380790</t>
  </si>
  <si>
    <t>VENTA DEPARTAMENTO 3 AMBIENTES EN MONSERRAT CAPITAL FEDERAL</t>
  </si>
  <si>
    <t>Avenida Belgrano al 1600</t>
  </si>
  <si>
    <t>JPH6987635</t>
  </si>
  <si>
    <t>PH 3 ambientes en venta SIN EXPENSAS SAN TELMO</t>
  </si>
  <si>
    <t>CAP6957306</t>
  </si>
  <si>
    <t>Venta de Departamento 3 ambientes con terraza Villa Urquiza</t>
  </si>
  <si>
    <t>Altolaguirre  al 2700</t>
  </si>
  <si>
    <t>leiva</t>
  </si>
  <si>
    <t>Ceraso al 700</t>
  </si>
  <si>
    <t>Argentina | G.B.A. Zona Oeste | Tres De Febrero | Villa Saenz Peña</t>
  </si>
  <si>
    <t>CHO6915422</t>
  </si>
  <si>
    <t>Venta/Casa/5- Amb/Soldati/Terraza/Patio/Cochera/Permuta</t>
  </si>
  <si>
    <t>Beron de Astrada 2100</t>
  </si>
  <si>
    <t xml:space="preserve">Argentina | Capital Federal | Villa Soldati </t>
  </si>
  <si>
    <t>CAP7031056</t>
  </si>
  <si>
    <t>VENTA Monoambiente 22m2 Baulera y Amenities, Álamos del Río Centro San Martin de los Andes</t>
  </si>
  <si>
    <t>Sarmiento al 300</t>
  </si>
  <si>
    <t>CPH6307049</t>
  </si>
  <si>
    <t>Venta Casa 3 ambientes 48m2 amoblada Cordones de Chapelco, San Martin de Los andes</t>
  </si>
  <si>
    <t>Cerro de la Virgen al 1600</t>
  </si>
  <si>
    <t>VAP6531767</t>
  </si>
  <si>
    <t>Departamento en  Venta 3 amb en Vicente López</t>
  </si>
  <si>
    <t>San Martin al 848</t>
  </si>
  <si>
    <t>Argentina | G.B.A. Zona Norte | Vicente López | Barrio Vicente López | V.Lopez-Vias/Rio</t>
  </si>
  <si>
    <t>VAP7056675</t>
  </si>
  <si>
    <t>Departamento en venta de 3 dormitorios con cochera fija en Belgrano</t>
  </si>
  <si>
    <t>Aguilar  al 2400</t>
  </si>
  <si>
    <t>CPH6781658</t>
  </si>
  <si>
    <t>PH en Tablada Oportunidad 3 ambientes  Cochera  Cubierta Sin Expensas</t>
  </si>
  <si>
    <t>ALMIRANTE BROWN al 4500</t>
  </si>
  <si>
    <t>Argentina | G.B.A. Zona Oeste | La Matanza | Tablada</t>
  </si>
  <si>
    <t>CPH5599179</t>
  </si>
  <si>
    <t>PH - Venta - 2 Ambientes - Luminoso - Patio - Monte Castro - Permuta - Apto Credito</t>
  </si>
  <si>
    <t>Calderon de la Barca 1400</t>
  </si>
  <si>
    <t>CAP6935298</t>
  </si>
  <si>
    <t>Departamento Monoambiente a ESTRENAR en 47 e/ 18 y 19 La Plata</t>
  </si>
  <si>
    <t>Departamento Monoambiente a ESTRENAR en 47 entre 18 y 19</t>
  </si>
  <si>
    <t>Departamento en venta edificio Cristaline Pilar</t>
  </si>
  <si>
    <t>Los crisantemos 400</t>
  </si>
  <si>
    <t>CAP6898647</t>
  </si>
  <si>
    <t>Departamento en  REMEDIOS DE ESCALADA- LANUS</t>
  </si>
  <si>
    <t>Doctor Melo  al 5000</t>
  </si>
  <si>
    <t>Argentina | G.B.A. Zona Sur | Lanús | Remedios De Escalada</t>
  </si>
  <si>
    <t>CAP6859449</t>
  </si>
  <si>
    <t>VENTA departamento dos ambientes apto crédito</t>
  </si>
  <si>
    <t>Gambaro al 200</t>
  </si>
  <si>
    <t>CLO6605064</t>
  </si>
  <si>
    <t xml:space="preserve">Venta Local Saavedra Coghlan esquina </t>
  </si>
  <si>
    <t>Washington al 3400</t>
  </si>
  <si>
    <t>CHO6577875</t>
  </si>
  <si>
    <t>CASA EN VENTA BARRIO PRIVADO PASEO DI FIORE</t>
  </si>
  <si>
    <t xml:space="preserve">ZAPIOLA ENTRE AV SAN MARTIN Y ACCESO SUR </t>
  </si>
  <si>
    <t>CHO6919348</t>
  </si>
  <si>
    <t xml:space="preserve">Casa en  Venta Los Perales </t>
  </si>
  <si>
    <t>Luis Agote  al 1000</t>
  </si>
  <si>
    <t xml:space="preserve">thames </t>
  </si>
  <si>
    <t>CAP6694024</t>
  </si>
  <si>
    <t>Venta Departamento en Las Victorias Bariloche</t>
  </si>
  <si>
    <t xml:space="preserve">libertador </t>
  </si>
  <si>
    <t>CAP6910971</t>
  </si>
  <si>
    <t>Departamento en venta 2 ambientes en Almagro Balcón</t>
  </si>
  <si>
    <t>Humahuaca al 4200</t>
  </si>
  <si>
    <t>CHO6911420</t>
  </si>
  <si>
    <t>Casa en  Venta en Puertos del Lago.</t>
  </si>
  <si>
    <t>Barrio Puertos del lago - Vistas</t>
  </si>
  <si>
    <t>Argentina | G.B.A. Zona Norte | Escobar | Countries/B.Cerrado (Escobar) | Puertos del Lago | Vistas</t>
  </si>
  <si>
    <t>CHO6858321</t>
  </si>
  <si>
    <t>Casa en  venta ubicada en el Mollar I - Salta</t>
  </si>
  <si>
    <t>Mollar I</t>
  </si>
  <si>
    <t>CLA6973418</t>
  </si>
  <si>
    <t>Venta de Lote Interno en EL NAUDIR   Etapa 3 , Escobar</t>
  </si>
  <si>
    <t xml:space="preserve"> Venta de Lote Interno en EL NAUDIR   Etapa 3 , Escobar</t>
  </si>
  <si>
    <t>Argentina | G.B.A. Zona Norte | Escobar | Belen De Escobar | Naudir Delta</t>
  </si>
  <si>
    <t>VHO4938180</t>
  </si>
  <si>
    <t>Casa o Lote en Liniers 4 ambientes Terreno Propio</t>
  </si>
  <si>
    <t>Tonelero  al 7400</t>
  </si>
  <si>
    <t>CPH6320069</t>
  </si>
  <si>
    <t>VENTA PH - Ramos Mejia-Don Bosco  - 3 ambientes - Cochera - Planta Baja -Permuta</t>
  </si>
  <si>
    <t>ACHALA al 1300</t>
  </si>
  <si>
    <t>Argentina | G.B.A. Zona Oeste | La Matanza | Ramos Mejia | B.Don Bosco</t>
  </si>
  <si>
    <t>CPH7063101</t>
  </si>
  <si>
    <t>Venta PH en Monserrat – Ideal Vivienda o Renta</t>
  </si>
  <si>
    <t>Tacuari al 600</t>
  </si>
  <si>
    <t>80Stella</t>
  </si>
  <si>
    <t>Departamento dos dormitorios en venta</t>
  </si>
  <si>
    <t xml:space="preserve">Saavedra 2032 </t>
  </si>
  <si>
    <t>CAP6939570</t>
  </si>
  <si>
    <t>Venta monoambiente ideal Apto Profesional</t>
  </si>
  <si>
    <t>Zapata  al 200</t>
  </si>
  <si>
    <t>VAP4859355</t>
  </si>
  <si>
    <t>Departamento en Venta - Calle Italia 1111 1C - Escobar</t>
  </si>
  <si>
    <t>Departamento en Venta - Calle Italia 1111 1C - Escobar APTO CREDITO, CON RENTA</t>
  </si>
  <si>
    <t>CAP7085907</t>
  </si>
  <si>
    <t>Venta - Departamento - Saavedra - Apto Crédito - Capital Federal - Nuñez - Amoblado</t>
  </si>
  <si>
    <t>Av Cramer al 4300</t>
  </si>
  <si>
    <t>79Emi</t>
  </si>
  <si>
    <t>Departamento venta</t>
  </si>
  <si>
    <t xml:space="preserve">1 de Mayo 1602 </t>
  </si>
  <si>
    <t>CHO7098112</t>
  </si>
  <si>
    <t>Casa en venta Zona Norte - Salta</t>
  </si>
  <si>
    <t>Av. 17 de Junio -  Zona Norte</t>
  </si>
  <si>
    <t>CAP6400410</t>
  </si>
  <si>
    <t>Departamento en venta ubicado en Barrio El Bosque</t>
  </si>
  <si>
    <t xml:space="preserve">El Bosque </t>
  </si>
  <si>
    <t>CHO6739572</t>
  </si>
  <si>
    <t>Casa en venta en barrio San José</t>
  </si>
  <si>
    <t>Alberti al 3300</t>
  </si>
  <si>
    <t>VHO6177041</t>
  </si>
  <si>
    <t>Casa en  barrio santa isabel 2 de 4 ambientes</t>
  </si>
  <si>
    <t>rene favaloro al 1500</t>
  </si>
  <si>
    <t>CHO4565523</t>
  </si>
  <si>
    <t>Casa - Guadalupe oeste</t>
  </si>
  <si>
    <t>OPORTUNIDAD !! CASA CON PATIO  SECO Y COCHERA!! GUADALUPE "O"</t>
  </si>
  <si>
    <t>CAP6707989</t>
  </si>
  <si>
    <t>Venta departamento dúplex 2 ambientes a estrenar en Palermo</t>
  </si>
  <si>
    <t>CAP6592313</t>
  </si>
  <si>
    <t>VENTA DEPARTAMENTO 4 AMBIENTES EN PALERMO, LAS CAÑITAS</t>
  </si>
  <si>
    <t>VHO6638008</t>
  </si>
  <si>
    <t>Venta Casa - Club de Campo San Francisco, Manzanares - Apto Credito</t>
  </si>
  <si>
    <t>Rio Hondo al 500</t>
  </si>
  <si>
    <t>Argentina | G.B.A. Zona Norte | Pilar | Manzanares | Countries/B.Cerrado (Manzanares)</t>
  </si>
  <si>
    <t>CLA6840569</t>
  </si>
  <si>
    <t>Terreno en  Lomas del Cauquén Bariloche</t>
  </si>
  <si>
    <t>Madero 571</t>
  </si>
  <si>
    <t>CAP6931856</t>
  </si>
  <si>
    <t>Venta, departamento a estrenar con Amenities PISO ALTO</t>
  </si>
  <si>
    <t>Ruiz Huidobro al 4600 8°</t>
  </si>
  <si>
    <t>CAP6871584</t>
  </si>
  <si>
    <t>Departamento 3 Ambientes con escritorio en Palermo</t>
  </si>
  <si>
    <t>Paraguay al 4100</t>
  </si>
  <si>
    <t>CAP6937766</t>
  </si>
  <si>
    <t xml:space="preserve">Departamento tipo Loft en Via Aurelia </t>
  </si>
  <si>
    <t>Via Aurelia lote n7 mza 1 loft 1c</t>
  </si>
  <si>
    <t>CHO6699817</t>
  </si>
  <si>
    <t>Gran Casa de 4 Ambientes con Patio - Parrilla -Balcón Terraza en Barrio Municipal Floresta</t>
  </si>
  <si>
    <t>Tacuara  al 1300</t>
  </si>
  <si>
    <t>CHO6703504</t>
  </si>
  <si>
    <t>Casa 4 dorm. con pileta climatizada - Neuquén</t>
  </si>
  <si>
    <t>Villaguay al 3400</t>
  </si>
  <si>
    <t>Argentina | Neuquen | Capital | Huilliches</t>
  </si>
  <si>
    <t>Dpto Belgrano 97 2I + Refuerzo</t>
  </si>
  <si>
    <t>CHO6391748</t>
  </si>
  <si>
    <t>Venta Casa céntrica 4 dormitorios en Bariloche</t>
  </si>
  <si>
    <t>CBU42019 AP6893978</t>
  </si>
  <si>
    <t>Departamento 1 ambiente vista al lago - Bariloche</t>
  </si>
  <si>
    <t>Jardin Botanico, San Carlos de Bariloche</t>
  </si>
  <si>
    <t>Reserva Cele Bernasconi Dpto 20 de Febrero 775, Piso 4 Trans + IVA</t>
  </si>
  <si>
    <t>CAP6686803</t>
  </si>
  <si>
    <t>VENTA Departamento 2 AMBIENTES con COCHERA  en Villa Urquiza con Amenities</t>
  </si>
  <si>
    <t>Pacheco al 2400</t>
  </si>
  <si>
    <t>Argentina | G.B.A. Zona Norte | San Isidro | Martinez | Mart.-Fleming/Panam.</t>
  </si>
  <si>
    <t>UF 10, de 78 m2, Las Retamas  315  NC: 16-20-70-7868-0000</t>
  </si>
  <si>
    <t>Las Retamas 315</t>
  </si>
  <si>
    <t>CLA6876247</t>
  </si>
  <si>
    <t>Terreno en  Venta 400m2 en Nahuel Malal,  Bariloche</t>
  </si>
  <si>
    <t>VHO3646798</t>
  </si>
  <si>
    <t>VENTA Casa - Beccar San Isidro - APTO CREDITO</t>
  </si>
  <si>
    <t>SUIPACHA al 1600</t>
  </si>
  <si>
    <t>Argentina | G.B.A. Zona Norte | San Isidro | Beccar | Beccar-Vias/Libert.</t>
  </si>
  <si>
    <t>Uriburu 1284 - AYELEN COSTAS</t>
  </si>
  <si>
    <t>Uriburu 1284</t>
  </si>
  <si>
    <t>COF6984206</t>
  </si>
  <si>
    <t>Oficina en  venta san isidro sobre Av. Marquez</t>
  </si>
  <si>
    <t>Oportunidad! oficina san isidro, Av.Marquez 3000</t>
  </si>
  <si>
    <t>local comercial 49 e 19 y 20</t>
  </si>
  <si>
    <t>49 e 19 y 20</t>
  </si>
  <si>
    <t>CHO7070056</t>
  </si>
  <si>
    <t>Casa en  San Sebastián</t>
  </si>
  <si>
    <t xml:space="preserve">Hermosa casa en Área 13, San Sebastián </t>
  </si>
  <si>
    <t>Arcos 3395 2A</t>
  </si>
  <si>
    <t>CAP6817213</t>
  </si>
  <si>
    <t>VENTA SEMIPISO 3 DORMITORIOS MAS DEPENDENCIA, BALCÓN CORRIDO</t>
  </si>
  <si>
    <t>MENDOZA  al 1500</t>
  </si>
  <si>
    <t xml:space="preserve">Reserva Mirko PH los coihues </t>
  </si>
  <si>
    <t>PH Ramos Mejía</t>
  </si>
  <si>
    <t>PH 3 Ambientes en venta en Ramos Mejía</t>
  </si>
  <si>
    <t>Alvear 1050</t>
  </si>
  <si>
    <t>Reserva Nayla y Roma Tizado 3 Departamentos Mitre 1447</t>
  </si>
  <si>
    <t>EL CANO 200</t>
  </si>
  <si>
    <t>LOTE VENTA EL CANO 200</t>
  </si>
  <si>
    <t>JPH6798523</t>
  </si>
  <si>
    <t>PH APTO CREDITO VILLA URQUIZA IMPECABLE ESTADO SIN EXPENSAS  LUMINOSO Y SILENCIOSO</t>
  </si>
  <si>
    <t>TALAVERA  al 5800</t>
  </si>
  <si>
    <t>CHO7039343</t>
  </si>
  <si>
    <t>Casa en venta ubicada en calle España 1893 - Salta</t>
  </si>
  <si>
    <t>España 1893</t>
  </si>
  <si>
    <t>DHO6451689</t>
  </si>
  <si>
    <t>Venta Casa en  la Lucila -  3 dormitorios - 2 baños - Cochera - Jardin - Excelente ubicacion</t>
  </si>
  <si>
    <t>Rioja al 3400 la Lucila</t>
  </si>
  <si>
    <t>Argentina | G.B.A. Zona Norte | Vicente López | La Lucila | La Lucila-Vias/Maipu</t>
  </si>
  <si>
    <t>DHO6628954</t>
  </si>
  <si>
    <t>Venta Casa en  Martinez - 4 dormitorios - Lavadero - Dependencia de servicio - Pileta - Cochera</t>
  </si>
  <si>
    <t>Juncal  100</t>
  </si>
  <si>
    <t>UF 12 Loteo A Quetrihue</t>
  </si>
  <si>
    <t>UF 13 Loteo A Quetrihue 387,55</t>
  </si>
  <si>
    <t>Dpto colon</t>
  </si>
  <si>
    <t>Departamento en venta en calle colon</t>
  </si>
  <si>
    <t>Martina Cespedes 1620 - Caro Valls - Barrozo y Villa Prop</t>
  </si>
  <si>
    <t>Martina Cespedes 1620</t>
  </si>
  <si>
    <t>Argentina | G.B.A. Zona Sur | Lomas De Zamora (Partido) | Banfield</t>
  </si>
  <si>
    <t>AAP5079981</t>
  </si>
  <si>
    <t>Excelente Departamento en San Nicolás</t>
  </si>
  <si>
    <t>Bartolome Mitre al 1676</t>
  </si>
  <si>
    <t>CHO6949603</t>
  </si>
  <si>
    <t>Espectacular Casa Quinta en Matheu</t>
  </si>
  <si>
    <t>Espectacular Casa Quinta en Matheu, Escobar</t>
  </si>
  <si>
    <t>Departamento - Palermo</t>
  </si>
  <si>
    <t>CAP6471578</t>
  </si>
  <si>
    <t>Monoambiente en Venta en Las Cañitas.</t>
  </si>
  <si>
    <t>Chenaut al 1900</t>
  </si>
  <si>
    <t>CAP6796724</t>
  </si>
  <si>
    <t>Departamento en almagro</t>
  </si>
  <si>
    <t>Quintino Bocayuva  al 400</t>
  </si>
  <si>
    <t>Av. Callao 715 - Guillermina - CB Señority</t>
  </si>
  <si>
    <t>CPN60269 AP7194829</t>
  </si>
  <si>
    <t>Alquiler Departamento 3 ambientes a estrenar - Lagoon Pilar</t>
  </si>
  <si>
    <t>Lote identificado como UF 4 – LOTE 9 – Manzana L Lote Pastoril 15 ubicado en Península Manzano, Villa La Angostura, Neuquén, nomenclatura catastral: 16-21-065-4914-0004, con superficie aproximada de 894,65</t>
  </si>
  <si>
    <t>Los Robles</t>
  </si>
  <si>
    <t>Argentina | Neuquen | Villa La Angostura | Peninsulas Del Pto.Manzano</t>
  </si>
  <si>
    <t>CAP7002770</t>
  </si>
  <si>
    <t>Venta Departamento 2 Ambientes Balcón Terraza, Barrio Norte</t>
  </si>
  <si>
    <t>Callao al 700</t>
  </si>
  <si>
    <t>CBU64387 AP7063868</t>
  </si>
  <si>
    <t>Departamento - Caballito</t>
  </si>
  <si>
    <t>José Bonifacio 1919</t>
  </si>
  <si>
    <t>Presidente Arturo Illia 1539</t>
  </si>
  <si>
    <t>76edu</t>
  </si>
  <si>
    <t>Oficina Hermes</t>
  </si>
  <si>
    <t>Primera Junta 2507</t>
  </si>
  <si>
    <t>2479 m2</t>
  </si>
  <si>
    <t>CPH6338130</t>
  </si>
  <si>
    <t>VENTA de PH de 2 dormitorios - Dina Huapi</t>
  </si>
  <si>
    <t>CAP7131860</t>
  </si>
  <si>
    <t>Departamento 3 Ambientes en Venta APTO CREDITO - Quartier Buena Vista, San Fernando</t>
  </si>
  <si>
    <t>Dr. Rene Favaloro  al 3300, Quartier La Horqueta, Victoria</t>
  </si>
  <si>
    <t>CAP6930372</t>
  </si>
  <si>
    <t>MONOAMBIENTE Y ½ EN BARRACAS. OPORTUNIDAD INVERSOR</t>
  </si>
  <si>
    <t>Finochietto al 400</t>
  </si>
  <si>
    <t>LAPRIDA 1920</t>
  </si>
  <si>
    <t xml:space="preserve">LAPRIDA 1920 PISO 8 </t>
  </si>
  <si>
    <t xml:space="preserve">LAPRIDA 1920, BUENOS AIRES </t>
  </si>
  <si>
    <t>VHO6783169</t>
  </si>
  <si>
    <t>CASA EN LOS CASTAÑOS - NORDELTA - OPORTUNIDAD</t>
  </si>
  <si>
    <t>Venta Dpto en Tigre</t>
  </si>
  <si>
    <t>VPN49872 LA5038767</t>
  </si>
  <si>
    <t>JAP7051064</t>
  </si>
  <si>
    <t>Venta - Departamento - 2 ambientes - Parque Chacabuco - Boedo</t>
  </si>
  <si>
    <t>Av La Plata 1400</t>
  </si>
  <si>
    <t>CHO6684036</t>
  </si>
  <si>
    <t>Casa en venta Zona Shopping Alto Noa</t>
  </si>
  <si>
    <t>Pje. Ministro Alvarado 160 - Zona Shopping Alto Noa</t>
  </si>
  <si>
    <t>VHO4956012</t>
  </si>
  <si>
    <t>Casa a la venta al Rio 3 Dorm en Barrio El Canal Villanueva</t>
  </si>
  <si>
    <t>Barrio Canal  al 100</t>
  </si>
  <si>
    <t>Argentina | G.B.A. Zona Norte | Tigre | Countries/B.Cerrado (Tigre) | Villanueva | El Canal</t>
  </si>
  <si>
    <t>VPH6637665</t>
  </si>
  <si>
    <t>PH 3 Ambientes con patio, lavadero cubierto y cuarto exterior</t>
  </si>
  <si>
    <t>Francisco Raffo al 3200</t>
  </si>
  <si>
    <t>CAP6812030</t>
  </si>
  <si>
    <t>VENTA Departamento 3 ambientes APTO CREDITO</t>
  </si>
  <si>
    <t>Av. Comodoro Martin Rivadavia al 1600</t>
  </si>
  <si>
    <t>79Agustin</t>
  </si>
  <si>
    <t>General Lopez 2966</t>
  </si>
  <si>
    <t>VAP6930398</t>
  </si>
  <si>
    <t>Departamento 3 ambientes a la venta en Nuñez</t>
  </si>
  <si>
    <t>Moldes al 3500</t>
  </si>
  <si>
    <t>CAP6694996</t>
  </si>
  <si>
    <t>VENTA - Departamento 3 Ambientes con balcón -  Palermo - Las Cañitas</t>
  </si>
  <si>
    <t>Teodoro Garcia  al 1900</t>
  </si>
  <si>
    <t>CAP6990382</t>
  </si>
  <si>
    <t>VENTA MONOAMBIENTE RECOLETA</t>
  </si>
  <si>
    <t>ARENALES al 2000</t>
  </si>
  <si>
    <t>COF6673231</t>
  </si>
  <si>
    <t>Venta Oficina 2 Despachos, Baño y Cocina en San Nicolás, Tribunales</t>
  </si>
  <si>
    <t>Parana al 400</t>
  </si>
  <si>
    <t>CLA6939233</t>
  </si>
  <si>
    <t>Lotes en Venta - Jardines de La Falda</t>
  </si>
  <si>
    <t>Venezuela y Quilmebai</t>
  </si>
  <si>
    <t>Argentina | Rio Negro | General Roca | Cipolletti | Distrito Noreste</t>
  </si>
  <si>
    <t>VBU61369 AP7141315</t>
  </si>
  <si>
    <t>Venta Departamento en la mejor zona de Chacarita en Pozo Piso 3</t>
  </si>
  <si>
    <t>Charlone  409</t>
  </si>
  <si>
    <t>Varela 682</t>
  </si>
  <si>
    <t>Av San Juan 4250</t>
  </si>
  <si>
    <t>CAP6856324</t>
  </si>
  <si>
    <t xml:space="preserve"> Departamento 3 ambientes en Colegiales POZO</t>
  </si>
  <si>
    <t>CESPEDES al 3300</t>
  </si>
  <si>
    <t>CAP6648100</t>
  </si>
  <si>
    <t>VENTA 3 AMBIENTES BALCON APTO CREDITO</t>
  </si>
  <si>
    <t>Margarita Weild al 1400</t>
  </si>
  <si>
    <t>CAP6633030</t>
  </si>
  <si>
    <t>VENTA DEPARTAMENTO 2 AMBIENTES PALERMO</t>
  </si>
  <si>
    <t>Pringles al 1300</t>
  </si>
  <si>
    <t>11 de septiembre</t>
  </si>
  <si>
    <t>CAP6710262</t>
  </si>
  <si>
    <t>Venta Departamento 2 ambientes en Recoleta!</t>
  </si>
  <si>
    <t>Jean Jaures al 1100</t>
  </si>
  <si>
    <t>DEPARTAMENTO 59 Y 10</t>
  </si>
  <si>
    <t>59 y 10</t>
  </si>
  <si>
    <t>CAP6894585</t>
  </si>
  <si>
    <t>VENTA MONOAMBIENTE SAN CRISTOBAL -APTO CREDITO- OPORTUNIDAD</t>
  </si>
  <si>
    <t>Constitucion al 1900</t>
  </si>
  <si>
    <t>CAP6923268</t>
  </si>
  <si>
    <t>VENTA DPTO. 2 AMBIENTES EN RECOLETA</t>
  </si>
  <si>
    <t>Av. Santa Fe  al 2000</t>
  </si>
  <si>
    <t>CHO6516313</t>
  </si>
  <si>
    <t>Chacra de 1.1has, 3 dormitorios en Match Point</t>
  </si>
  <si>
    <t>Argentina | G.B.A. Zona Oeste | Lujan | Countries/B.Cerrado (Lujan) | Match Point</t>
  </si>
  <si>
    <t>CHO5643267</t>
  </si>
  <si>
    <t>Venta de casaquinta en Barrio Los Viejos Ombues  Florencio Varela. OPORTUNIDAD</t>
  </si>
  <si>
    <t>CASA QUINTA EN VENTA EN FLORENCIO VARELA Bº CERRADO LOS VIEJOS OMBUES 1455</t>
  </si>
  <si>
    <t>Argentina | G.B.A. Zona Sur | Florencio Varela | Villa Brown</t>
  </si>
  <si>
    <t>CLA7060269</t>
  </si>
  <si>
    <t>TERRENO EN " QUEBRADA DE LOS PÁJAROS " A 5 MINUTOS DEL CENTRO EN ENTORNO NATURAL</t>
  </si>
  <si>
    <t>QUEBRADA DE LOS PÁJAROS</t>
  </si>
  <si>
    <t>VHO5263230</t>
  </si>
  <si>
    <t>venta Casa - Apto crédito Talar Chico - GRAL PACHECO</t>
  </si>
  <si>
    <t>TALAR CHICO</t>
  </si>
  <si>
    <t>Argentina | G.B.A. Zona Norte | Tigre | Countries/B.Cerrado (Tigre) | Talar Chico</t>
  </si>
  <si>
    <t>520 HORIZONTES AL SUR</t>
  </si>
  <si>
    <t>Argentina | G.B.A. Zona Sur | Presidente Peron | Guernica</t>
  </si>
  <si>
    <t>Tres cerritos los juncos 177</t>
  </si>
  <si>
    <t>los juncos 177 tres cerritos</t>
  </si>
  <si>
    <t>CLA6848178</t>
  </si>
  <si>
    <t>Terreno En Venta Vaqueros</t>
  </si>
  <si>
    <t xml:space="preserve">Cerros de Buena Vista </t>
  </si>
  <si>
    <t>ayacucho</t>
  </si>
  <si>
    <t>VHO6864687</t>
  </si>
  <si>
    <t>APTO CREDITO - Casa en venta - 9 ambientes - piscina - Los Olmos, Los Naranjos, Ingeniero Maschwitz</t>
  </si>
  <si>
    <t>CAP6716550</t>
  </si>
  <si>
    <t>VENTA DEPARTAMENTO 2 AMBIENTES, COCHERA, BAULERA,FULL AMENITIES, ASTOR NUÑEZ</t>
  </si>
  <si>
    <t>Pico al 2300</t>
  </si>
  <si>
    <t>CAP6817503</t>
  </si>
  <si>
    <t>Venta Departamento 2 ambientes en Villa Urquiza</t>
  </si>
  <si>
    <t>Alvarez Thomas  al 3200</t>
  </si>
  <si>
    <t>CAP6917340</t>
  </si>
  <si>
    <t>VENTA DEPTO 4 AMBIENTES CON COCHERA Y BAULERA - PALERMO HOLLYWOOD</t>
  </si>
  <si>
    <t>Avenida Santa Fe al 5000</t>
  </si>
  <si>
    <t>CARRANZA 2100 PALERMO</t>
  </si>
  <si>
    <t>DEPTO VENTA CARRANZA 2100</t>
  </si>
  <si>
    <t>CAP6946438</t>
  </si>
  <si>
    <t>VENTA Departamento en  RETIRO, PB con patio y piletita,</t>
  </si>
  <si>
    <t>Maipú  al 800</t>
  </si>
  <si>
    <t>09EM-13-02-25 - Tinogasta 2</t>
  </si>
  <si>
    <t>Venta depto 3 ambientes | patio | balcon | luz | cochera fija | como nuevo. Villa del Parque</t>
  </si>
  <si>
    <t>Tinogasta al 2800</t>
  </si>
  <si>
    <t>CHO6839661</t>
  </si>
  <si>
    <t>Casa en  venta -4 ambientes-Mayling CC</t>
  </si>
  <si>
    <t>chubut  al 400</t>
  </si>
  <si>
    <t>CLA6758657</t>
  </si>
  <si>
    <t>Terreno en  venta en Valle Alegre</t>
  </si>
  <si>
    <t>VALLE ALEGRE</t>
  </si>
  <si>
    <t xml:space="preserve">Argentina | Salta | La Caldera </t>
  </si>
  <si>
    <t>CAP6828161</t>
  </si>
  <si>
    <t>Departamento 2 ambientes en venta V. del Parque APTO CREDITO</t>
  </si>
  <si>
    <t>Baigorria  al 2900</t>
  </si>
  <si>
    <t>CAP4216692</t>
  </si>
  <si>
    <t>Venta Depto 3 amb. amplios - El Talar</t>
  </si>
  <si>
    <t>Lavalleja al 2900</t>
  </si>
  <si>
    <t>Argentina | G.B.A. Zona Norte | Tigre | El Talar</t>
  </si>
  <si>
    <t>CAP6279410</t>
  </si>
  <si>
    <t>Venta Departamento monoambiente con cochera y amenities en Las Cañitas ideal inversión</t>
  </si>
  <si>
    <t>ARCE al 500</t>
  </si>
  <si>
    <t>Depto venta Almagro</t>
  </si>
  <si>
    <t>Depto venta Almagro Querandies</t>
  </si>
  <si>
    <t>CLO6864210</t>
  </si>
  <si>
    <t>Locales en Venta en Calle Azcuénaga - Guaymallén - Mendoza</t>
  </si>
  <si>
    <t>Calle Azcuénaga al 1300</t>
  </si>
  <si>
    <t>CAP7051075</t>
  </si>
  <si>
    <t>Departamento en  venta 4amb más dep con balcón 2coch y 2 baul</t>
  </si>
  <si>
    <t>Arcos al 1600</t>
  </si>
  <si>
    <t>CAP6877937</t>
  </si>
  <si>
    <t>DEPARTAMENTO EN VENTA BELGRANO 3 AMBIENTES BALCON CORRIDO PERMUTA</t>
  </si>
  <si>
    <t>MELIAN  al 2300</t>
  </si>
  <si>
    <t>Ortega y Gasset 1898</t>
  </si>
  <si>
    <t xml:space="preserve">Depto 3amb </t>
  </si>
  <si>
    <t>CHO7151732</t>
  </si>
  <si>
    <t>Casa a la laguna  en  Barrio San Francisco, Villanueva</t>
  </si>
  <si>
    <t>San Francisco, Villanueva, Tigre</t>
  </si>
  <si>
    <t>CAP6386116</t>
  </si>
  <si>
    <t>DEPTO DOS AMB LUMINOSO DESTACABLE ZONA BELGRANO</t>
  </si>
  <si>
    <t>Moldes al 2030</t>
  </si>
  <si>
    <t>Laprida</t>
  </si>
  <si>
    <t>CLA6975098</t>
  </si>
  <si>
    <t>Terreno en  venta San lorenzo finca catellanos ) ruta 28 Km 11</t>
  </si>
  <si>
    <t>San Lorenzo Lesser, finca castellanos</t>
  </si>
  <si>
    <t>CGA6796082</t>
  </si>
  <si>
    <t>Cochera frente plaza Almagro RESERVADA!</t>
  </si>
  <si>
    <t>Bulnes al 300</t>
  </si>
  <si>
    <t>CHO6391546</t>
  </si>
  <si>
    <t>Venta Casa 4 Ambientes con Cochera, Patio con Parrilla en Lomas del Mirador</t>
  </si>
  <si>
    <t>ROQUE SAENZ PEÑA al 3000</t>
  </si>
  <si>
    <t>CLA7109819</t>
  </si>
  <si>
    <t>Terreno en Rio Blanco</t>
  </si>
  <si>
    <t>San Juan al 200</t>
  </si>
  <si>
    <t>Argentina | Jujuy | Dr Manuel Belgrano | Rio Blanco</t>
  </si>
  <si>
    <t>Torrent 1315</t>
  </si>
  <si>
    <t>CHO6363074</t>
  </si>
  <si>
    <t>Casa en  VENTA Lago Moreno 21</t>
  </si>
  <si>
    <t>Barrio Tres Lagos, San Carlos de Bariloche</t>
  </si>
  <si>
    <t>Argentina | Rio Negro | Bariloche | San Carlos De Bariloche | Tres Lagos</t>
  </si>
  <si>
    <t>CAP7125750</t>
  </si>
  <si>
    <t>DEPARTAMENTO 3 AMBIENTES EN VENTA EN PARQUE AVELLANEDA</t>
  </si>
  <si>
    <t>Juan B, Alberdi  al 4800</t>
  </si>
  <si>
    <t>CHO5074138</t>
  </si>
  <si>
    <t>VENTA Casa 165.30m2, terreno/lote 965.60 m2, San Ignacio del Cerro, Bariloche</t>
  </si>
  <si>
    <t>Sivori 500, San Ignacio del Cerro, San Carlos de Bariloche</t>
  </si>
  <si>
    <t>Argentina | Rio Negro | Bariloche | San Carlos De Bariloche | San Ignacio del Cerro</t>
  </si>
  <si>
    <t>CHO6993299</t>
  </si>
  <si>
    <t>Casa en Venta - Santa Clara, Villanueva</t>
  </si>
  <si>
    <t>CLA6435961</t>
  </si>
  <si>
    <t>Terreno de 990 m² en calle 98 e/ 11 y 12 con casa de una habitación</t>
  </si>
  <si>
    <t xml:space="preserve">Terreno de 990 m² en calle 98 e/ 11 y 12 con casa de una habitación </t>
  </si>
  <si>
    <t>Argentina | G.B.A. Zona Sur | La Plata | Villa Elvira</t>
  </si>
  <si>
    <t>CAP6813882</t>
  </si>
  <si>
    <t>Departamento en  Venta en Recoleta</t>
  </si>
  <si>
    <t>Presidente Ortiz al 1800</t>
  </si>
  <si>
    <t>CHO6661813</t>
  </si>
  <si>
    <t>Casa a Estrenar en VENTA 4 DORMITORIOS - MIRALAGOS  1 LOTE 68</t>
  </si>
  <si>
    <t>Casa A ESTRENAR / MIRALAGOS /  VENTA / APTO BANCO</t>
  </si>
  <si>
    <t>Argentina | G.B.A. Zona Sur | La Plata | Countries/B.Cerrado (La Plata) | Club Miralagos</t>
  </si>
  <si>
    <t>CBU59332 AP6854405</t>
  </si>
  <si>
    <t>Departamento en  venta de 3 ambientes con patio en Villa Urquiza CABA</t>
  </si>
  <si>
    <t>Zado  al 3500 - PB -  Villa Urquiza</t>
  </si>
  <si>
    <t>CAP7080138</t>
  </si>
  <si>
    <t>Monoambiente en venta.</t>
  </si>
  <si>
    <t>La Rioja al 1180</t>
  </si>
  <si>
    <t>Area 13 Lote 140</t>
  </si>
  <si>
    <t>San Sebastian A13 L140</t>
  </si>
  <si>
    <t>Torres del Yacht  venta departamento</t>
  </si>
  <si>
    <t>Juana Manso 501</t>
  </si>
  <si>
    <t>80Lily</t>
  </si>
  <si>
    <t>Casa en Venta</t>
  </si>
  <si>
    <t>Laprida y Belgrano</t>
  </si>
  <si>
    <t>CHO6582161</t>
  </si>
  <si>
    <t>Blas Parera al 135</t>
  </si>
  <si>
    <t>CAP6954897</t>
  </si>
  <si>
    <t xml:space="preserve">Departamento en venta 2 habitaciones Godoy cruz </t>
  </si>
  <si>
    <t>Sargenti Cabral  al 800</t>
  </si>
  <si>
    <t>CPN61101 LA6673384</t>
  </si>
  <si>
    <t xml:space="preserve"> Lotes en Venta en Chacras De Coria</t>
  </si>
  <si>
    <t>Viamonte al 1000</t>
  </si>
  <si>
    <t>CCO55382 AP5983612</t>
  </si>
  <si>
    <t>Venta Departamento c/ Renta 3 ambientes PB c/jardín y cochera - Vilahaus</t>
  </si>
  <si>
    <t>CAP6162631</t>
  </si>
  <si>
    <t>Departamento en Venta en San Cristóbal</t>
  </si>
  <si>
    <t>Chile al 2100</t>
  </si>
  <si>
    <t>AAP6732195</t>
  </si>
  <si>
    <t xml:space="preserve">Departamento dos ambientes en Recoleta  </t>
  </si>
  <si>
    <t>Juncal 2900</t>
  </si>
  <si>
    <t>CAP6849216</t>
  </si>
  <si>
    <t>Estado de Israel 4700</t>
  </si>
  <si>
    <t>CAP6106756</t>
  </si>
  <si>
    <t>Venta Espectacular Duplex 3 ambientes en complejo MOCA Barracas</t>
  </si>
  <si>
    <t>Av. Montes de Oca al 200</t>
  </si>
  <si>
    <t>CAP6793998</t>
  </si>
  <si>
    <t xml:space="preserve">Departamento en  </t>
  </si>
  <si>
    <t>SAN PEDRITO  al 1500</t>
  </si>
  <si>
    <t>CHO6850596</t>
  </si>
  <si>
    <t>Casa en venta Las Moras Higuerrillas</t>
  </si>
  <si>
    <t>Las Moras - higuerillas</t>
  </si>
  <si>
    <t>CHO7042878</t>
  </si>
  <si>
    <t>Venta casa 6 ambientes parque pileta cocheras San Isidro Casco Historico Libertador al Rio</t>
  </si>
  <si>
    <t>Roque Saenz Peña al 700</t>
  </si>
  <si>
    <t>CHO6908951</t>
  </si>
  <si>
    <t>Venta casa triplex 5 ambientes cocheras pileta Caballito</t>
  </si>
  <si>
    <t>Viel al 800</t>
  </si>
  <si>
    <t>77Stella</t>
  </si>
  <si>
    <t>San Lorenzo 2200</t>
  </si>
  <si>
    <t>CAP6174641</t>
  </si>
  <si>
    <t>VENTA DPTO 2 AMBIENTES EN LANUSITA</t>
  </si>
  <si>
    <t>2 de Mayo al 2800</t>
  </si>
  <si>
    <t>VOT59732 LA6522425</t>
  </si>
  <si>
    <t>Lote en venta Barrio Los Jilgueros El Cazador</t>
  </si>
  <si>
    <t>CHO6697101</t>
  </si>
  <si>
    <t>Casa en venta ubicada en Ciudad Valdivia - Salta Capital</t>
  </si>
  <si>
    <t xml:space="preserve">Ciudad Valdivia </t>
  </si>
  <si>
    <t>CHO4524845</t>
  </si>
  <si>
    <t>Casa en venta Barrio Cielos del Valle</t>
  </si>
  <si>
    <t xml:space="preserve">Barrio Cielos del Valle  </t>
  </si>
  <si>
    <t>Altos Radal 2 “UF Nº 6, planta baja, vivienda familiar, de dos ambientes de 48 m2 aproximadamente, con parque privado de aproximadamente 25 m2 y espacio guardacoche descubierto a designar</t>
  </si>
  <si>
    <t>Michay  y Millaqueo</t>
  </si>
  <si>
    <t>CAP6728882</t>
  </si>
  <si>
    <t>Venta Departamento 2 Ambientes Con Jardin Privado y Cochera Cubierta en Bahia Grande Nordelta</t>
  </si>
  <si>
    <t>1090 Santa Clara al sur</t>
  </si>
  <si>
    <t>lote 1090 Santa Clara al sur</t>
  </si>
  <si>
    <t>VHO5998658</t>
  </si>
  <si>
    <t>Casa en  venta - LOTE PROPIO - APTO CREDITO</t>
  </si>
  <si>
    <t>Italia  al 3400</t>
  </si>
  <si>
    <t>Pinto 4425</t>
  </si>
  <si>
    <t>CPH6511899</t>
  </si>
  <si>
    <t>PH, BOEDO, ALMAGRO, TERRAZA, BALCON, LUMINOSO, RECICLADO, EXCELENTE UBICACION</t>
  </si>
  <si>
    <t>QUINTINO BOCAYUVA al 800</t>
  </si>
  <si>
    <t>Stcheden 1299</t>
  </si>
  <si>
    <t>Departamento de 2 ambientes en Moreno</t>
  </si>
  <si>
    <t>Bordieu 772 1 y 2 mas baulera</t>
  </si>
  <si>
    <t>CLO7008092</t>
  </si>
  <si>
    <t>Venta Local en Balvanera</t>
  </si>
  <si>
    <t>24 de noviembre al 400</t>
  </si>
  <si>
    <t>CAP2287554</t>
  </si>
  <si>
    <t>Venta departamento de 2 ambientes en Saavedra con amenities  A ESTRENAR</t>
  </si>
  <si>
    <t>CHO6677269</t>
  </si>
  <si>
    <t>VENTA CASA 5 AMBIENTES IMPECABLE TRIPLEX APTO CRÉDITO - JARDIN COCHERA EN COGHLAN</t>
  </si>
  <si>
    <t>Conde  al 3000</t>
  </si>
  <si>
    <t>CST6957534</t>
  </si>
  <si>
    <t xml:space="preserve"> Venta Depósito en   zona Villa Pueyrredon </t>
  </si>
  <si>
    <t>Argerich al 4700</t>
  </si>
  <si>
    <t>CFA6977404</t>
  </si>
  <si>
    <t>Finca 60 has</t>
  </si>
  <si>
    <t>Calle 3 y Resolana - Cuadro Nacional</t>
  </si>
  <si>
    <t>Argentina | Mendoza | San Rafael | Cuadro Nacional</t>
  </si>
  <si>
    <t>CAP6640984</t>
  </si>
  <si>
    <t>Venta Departamento 2 Ambientes Monserrat piso alto</t>
  </si>
  <si>
    <t>Salta 600</t>
  </si>
  <si>
    <t>OP 148</t>
  </si>
  <si>
    <t>OP 148 Crámer 1682 5 A</t>
  </si>
  <si>
    <t>Crámer 1682 5 A</t>
  </si>
  <si>
    <t>VAP6932663</t>
  </si>
  <si>
    <t>Departamento Luminoso en Venta 2 Ambientes - Saavedra</t>
  </si>
  <si>
    <t>Crisologo Larralde  al 4300</t>
  </si>
  <si>
    <t>Islandia 5418</t>
  </si>
  <si>
    <t>España y Libertad</t>
  </si>
  <si>
    <t>San Carlos de Bariloche</t>
  </si>
  <si>
    <t>Tigre</t>
  </si>
  <si>
    <t>Departamento en venta 2 ambientes</t>
  </si>
  <si>
    <t>Bordieu 772</t>
  </si>
  <si>
    <t>CPH7084055</t>
  </si>
  <si>
    <t>PH en Neuquen</t>
  </si>
  <si>
    <t>Rio Agrio al 300</t>
  </si>
  <si>
    <t>Casa Romina Blanquez</t>
  </si>
  <si>
    <t>Casa Nati Valerio</t>
  </si>
  <si>
    <t>CAP5189503</t>
  </si>
  <si>
    <t>Venta Departamento 4 ambientes cochera doble Balcón Palermo Hollywood Colegiales Palermo Permuta</t>
  </si>
  <si>
    <t>Dorrego al 1900</t>
  </si>
  <si>
    <t>NC - AUSTRIA 2272</t>
  </si>
  <si>
    <t>AUSTRIA 2272</t>
  </si>
  <si>
    <t>JAP6804236</t>
  </si>
  <si>
    <t>Venta Departamento  4 ambientes  en Palermo/ Belgrano /Colegiales</t>
  </si>
  <si>
    <t xml:space="preserve">Concepcion Arenal  al 2400 </t>
  </si>
  <si>
    <t>JHO6958984</t>
  </si>
  <si>
    <t>VENTA Casa en DEVOTO</t>
  </si>
  <si>
    <t>RICARDO GUTIERREZ al 3700</t>
  </si>
  <si>
    <t>Argentina | Capital Federal | Villa Devoto | B.San Pedro</t>
  </si>
  <si>
    <t xml:space="preserve">LLAVALLOL 4616 </t>
  </si>
  <si>
    <t>LLAVALLOL 4616</t>
  </si>
  <si>
    <t>CAP6835693</t>
  </si>
  <si>
    <t>Departamento Venta a estrenar Constructora Sauce Grande 47 18 y 19 La Plata</t>
  </si>
  <si>
    <t xml:space="preserve">Departamento Venta A Estrenar 47 18 y 19 La Plata </t>
  </si>
  <si>
    <t>Argentina | G.B.A. Zona Sur | La Plata | La Plata | Microcentro</t>
  </si>
  <si>
    <t>CLA6354054</t>
  </si>
  <si>
    <t>LOTES en Barrio Estancia Kingsbroock - 122 y 612</t>
  </si>
  <si>
    <t>CBU59332 AP6468034</t>
  </si>
  <si>
    <t>Departamento en  venta en Villa Urquiza</t>
  </si>
  <si>
    <t>Zado  al 3500 1°</t>
  </si>
  <si>
    <t>JAP6843394</t>
  </si>
  <si>
    <t>VENTA DEPARTAMENTO 3 AMBIENTES C/BALCON LUMINOSO RECICLADO</t>
  </si>
  <si>
    <t>Manzanares al 2900</t>
  </si>
  <si>
    <t>JAP6669609</t>
  </si>
  <si>
    <t>VENTA DEPARTAMENTO 4/5 AMBIENTES COCHERA CUBIERA LUMINOSO NUÑEZ</t>
  </si>
  <si>
    <t>Manzanares  al 2000</t>
  </si>
  <si>
    <t>CAP6865014</t>
  </si>
  <si>
    <t>VENTA DEPARTAMENTO 3 AMBIENTES EN VICENTE LOPEZ LUMINOSO</t>
  </si>
  <si>
    <t>Av Maipu  al 800</t>
  </si>
  <si>
    <t>CWE6765267</t>
  </si>
  <si>
    <t>Hermosa casa a minutos de la ciudad!</t>
  </si>
  <si>
    <t>Los sauces  al 6600</t>
  </si>
  <si>
    <t>CAP6939577</t>
  </si>
  <si>
    <t>Departamento - 5 ambientes con dependencia -Recoleta</t>
  </si>
  <si>
    <t xml:space="preserve">Departamento de 5 ambientes en venta </t>
  </si>
  <si>
    <t>Selvana UF 16 Lote 561 m2</t>
  </si>
  <si>
    <t>Argentina | Neuquen | Villa La Angostura | Selvana</t>
  </si>
  <si>
    <t>COF6931250</t>
  </si>
  <si>
    <t>Oficina Barrio Civico Capital</t>
  </si>
  <si>
    <t>Pedro Molina  al 200</t>
  </si>
  <si>
    <t>CGA6814291</t>
  </si>
  <si>
    <t>Venta Cochera céntrica Bariloche OPORTUNIDAD Permuta</t>
  </si>
  <si>
    <t>CAP6807552</t>
  </si>
  <si>
    <t>Departamento en Villa Urquiza</t>
  </si>
  <si>
    <t>Fernández Blanco  al 2300</t>
  </si>
  <si>
    <t>santa Clara al sur 231</t>
  </si>
  <si>
    <t>lote venta Santa Clara 231</t>
  </si>
  <si>
    <t>JAP6305063</t>
  </si>
  <si>
    <t>VENTA DEPARTAMENTO 2 AMBIENTES BALVANERA ZONA FACULTADES</t>
  </si>
  <si>
    <t>VIAMONTE 2500</t>
  </si>
  <si>
    <t>CPH6697451</t>
  </si>
  <si>
    <t>PH en  Duplex al frente - Entrada independiente - cochera cubierta y patio</t>
  </si>
  <si>
    <t>Ramon Castro 4300</t>
  </si>
  <si>
    <t>CAP6896916</t>
  </si>
  <si>
    <t>Departamento en Villa Luzuriaga</t>
  </si>
  <si>
    <t>ZAPIOLA al 200</t>
  </si>
  <si>
    <t>CAP6702977</t>
  </si>
  <si>
    <t>VENTA - DPTO - 3 AMB - PERMUTA - V. PUEYRREDON</t>
  </si>
  <si>
    <t>Carlos Antonio Lopez  al 2400</t>
  </si>
  <si>
    <t>CAP6606832</t>
  </si>
  <si>
    <t>Departamento en  Villa Tesei 3 amb. con patio propio</t>
  </si>
  <si>
    <t>Jufre al 400</t>
  </si>
  <si>
    <t>CAP6984267</t>
  </si>
  <si>
    <t>Departamento en  Villa Urquiza</t>
  </si>
  <si>
    <t>Mendoza al 5300</t>
  </si>
  <si>
    <t>CHO7083796</t>
  </si>
  <si>
    <t>Casa en Barrio Unimev</t>
  </si>
  <si>
    <t xml:space="preserve">Florentino Ameghino </t>
  </si>
  <si>
    <t>CPH6336562</t>
  </si>
  <si>
    <t>Venta en Block de Dos Departamentos de 2 Ambientes Sobre Lote 350 m2 en General Rodriguez</t>
  </si>
  <si>
    <t>pueyrredon al 100</t>
  </si>
  <si>
    <t>Argentina | G.B.A. Zona Oeste | General Rodriguez | Las Malvinas</t>
  </si>
  <si>
    <t>JAP6684503</t>
  </si>
  <si>
    <t>VENTA EXCELENTE DEPARTAMENTO TRIPLEX TERRAZA PROPIA  PARRILLA COCHERA SAN MARTIN</t>
  </si>
  <si>
    <t>Ayacucho al 2200</t>
  </si>
  <si>
    <t>CLA6933046</t>
  </si>
  <si>
    <t>TERRENO EN VENTA EN LUJAN DE CUYO (SE ESCUCHAN OFERTAS)</t>
  </si>
  <si>
    <t>Los aromos  al 400</t>
  </si>
  <si>
    <t>CAP6848011</t>
  </si>
  <si>
    <t>DEPARTAMENTO MONOAMBIENTE EN VENTA EN LIBERTADOR 5700, BELGRNO. APTO CREDITO</t>
  </si>
  <si>
    <t>Av.Libertador 5700 RESERVADO</t>
  </si>
  <si>
    <t>CLA7003996</t>
  </si>
  <si>
    <t>Terreno en Chacra 28</t>
  </si>
  <si>
    <t>Lote 17, Mza B, B° Los Manzanos, San Martín de los Andes</t>
  </si>
  <si>
    <t>CAP3927524</t>
  </si>
  <si>
    <t>Departamento  de 3 dormitorios con ascensor piso alto Barrio  7 jefes</t>
  </si>
  <si>
    <t>DEPARTAMENTO DE 3 DORMITORIOS  PISO 11 EXCELENTE VISTA A LA COSTANERA!!!Laprida al 5000</t>
  </si>
  <si>
    <t>Argentina | Santa Fe | La Capital | Santa Fe | 7 jefes</t>
  </si>
  <si>
    <t>CPH5052489</t>
  </si>
  <si>
    <t>Departamento  en Venta         Rivadavia y Alvear Quilmes NUEVO VALOR</t>
  </si>
  <si>
    <t>Departamento en venta  Rivadavia y Alvear Quilmes</t>
  </si>
  <si>
    <t>Argentina | G.B.A. Zona Sur | Quilmes | Quilmes</t>
  </si>
  <si>
    <t>CAP6283381</t>
  </si>
  <si>
    <t>Departamento en  dúplex de 2 amb</t>
  </si>
  <si>
    <t>Cordoba al 6000</t>
  </si>
  <si>
    <t>CHO5123163</t>
  </si>
  <si>
    <t>VENTA CASA 4 AMBIENTES CON JARDíN Y PILETA EN ADROGUÉ</t>
  </si>
  <si>
    <t>La Rosa 400</t>
  </si>
  <si>
    <t>ZP-ZP-M-44197908</t>
  </si>
  <si>
    <t>Venta departamento 3 amb en Tigre (R. de Milberg) c/ cochera</t>
  </si>
  <si>
    <t xml:space="preserve">jose marti 600   Jardines del Reconquista    </t>
  </si>
  <si>
    <t>CHO3925981</t>
  </si>
  <si>
    <t>Casa en venta en Escobar con jardín y pileta</t>
  </si>
  <si>
    <t>Cervantes 45 Escobar</t>
  </si>
  <si>
    <t>CAP6671607</t>
  </si>
  <si>
    <t>Venta Departamento 2 Ambientes Full Amenities y Cochera, Palermo. Palermo Hollyood</t>
  </si>
  <si>
    <t>Humboldt al 2400</t>
  </si>
  <si>
    <t>CHO6782984</t>
  </si>
  <si>
    <t>Venta Casa San Martin de los Andes 72m2 Construidos a Terminar barrio Kaleuche alto</t>
  </si>
  <si>
    <t>Paseo de los Músicos</t>
  </si>
  <si>
    <t>CAP6892421</t>
  </si>
  <si>
    <t>VENTA Departamento 3 ambientes luminoso piso alto BALVANERA</t>
  </si>
  <si>
    <t>Matheu 100</t>
  </si>
  <si>
    <t>CAP6886848</t>
  </si>
  <si>
    <t>Departamento 2 ambientes con Patio en Constitución</t>
  </si>
  <si>
    <t>Humberto Primo al 1600</t>
  </si>
  <si>
    <t>CAP6292169</t>
  </si>
  <si>
    <t>Bulnes al 1800</t>
  </si>
  <si>
    <t xml:space="preserve">moldes 850 </t>
  </si>
  <si>
    <t>CAP6578947</t>
  </si>
  <si>
    <t>VENTA Departamento 2 Ambientes Recoleta</t>
  </si>
  <si>
    <t>Av. Santa Fe  al 3000</t>
  </si>
  <si>
    <t>CHO6726295</t>
  </si>
  <si>
    <t>Venta de Casa 4 ambientes en Country Club Medal, Pilar</t>
  </si>
  <si>
    <t>Country Club Medal al 200</t>
  </si>
  <si>
    <t>CPH6948638</t>
  </si>
  <si>
    <t>PH en VENTA 2 dormitorios, patio, cochera calle 55 142 y 143</t>
  </si>
  <si>
    <t>PH en Venta 2 dormi y patio calle  55 entre 142 y 143, Los Hornos</t>
  </si>
  <si>
    <t>CHO6945872</t>
  </si>
  <si>
    <t>Casa en  BANFIELD</t>
  </si>
  <si>
    <t>Av La Plata y Granaderos</t>
  </si>
  <si>
    <t>CAP6909565</t>
  </si>
  <si>
    <t>Departamento en  venta en calle  Buenos Aires al 200</t>
  </si>
  <si>
    <t>Buenos Aires  al 200</t>
  </si>
  <si>
    <t>CHO6758916</t>
  </si>
  <si>
    <t>Venta Casa 4 Ambientes en  Barrio Hípico Altos de Manzanares - Pilar</t>
  </si>
  <si>
    <t>Barrio Altos de Manzanares</t>
  </si>
  <si>
    <t>CHO6601400</t>
  </si>
  <si>
    <t>Duplex en Neuquen Capital</t>
  </si>
  <si>
    <t>Gendarme Treppo al 1700</t>
  </si>
  <si>
    <t>CBA47695 LA6353622</t>
  </si>
  <si>
    <t>VENTA terreno de 337m2 en LOTEO "ANTIGUO CAMINO" Bariloche</t>
  </si>
  <si>
    <t>Argentina | Rio Negro | Bariloche | San Carlos De Bariloche | Lago Moreno</t>
  </si>
  <si>
    <t>Mirko30062025</t>
  </si>
  <si>
    <t>Balvanera Mirko Referido</t>
  </si>
  <si>
    <t>Altos de alberdi</t>
  </si>
  <si>
    <t>Lote Altos de Alberdi Miri</t>
  </si>
  <si>
    <t>CAP6445423</t>
  </si>
  <si>
    <t xml:space="preserve">Departamento 2 Ambientes, en venta, con terraza propia.  </t>
  </si>
  <si>
    <t>Las Campanillas al 1500</t>
  </si>
  <si>
    <t>Argentina | G.B.A. Zona Norte | Pilar | Manuel Alberti</t>
  </si>
  <si>
    <t>CLA6947748</t>
  </si>
  <si>
    <t>TERRENO APTO 4 UF ZONA CONFLUENCIA - BUTACO</t>
  </si>
  <si>
    <t>Lamarque y S/N</t>
  </si>
  <si>
    <t>Argentina | Neuquen | Capital | Confluencia Rural</t>
  </si>
  <si>
    <t>Lote 159 de 8426,41 m2, Vallescondido SMA NC:15-RR-023-4620-0159</t>
  </si>
  <si>
    <t>Argentina | Neuquen | Lacar | San Martin De Los Andes | Valle escondido – Club de campo</t>
  </si>
  <si>
    <t>CLA6681287</t>
  </si>
  <si>
    <t>VENTA  Lote/Terreno 4918 M2 Barrio Vallescondido San Martín de los Andes</t>
  </si>
  <si>
    <t>Barrio Vallescondido al 100</t>
  </si>
  <si>
    <t>CLA7065234</t>
  </si>
  <si>
    <t>Lote en Venta Barrio Laguna Grande - Oportunidad</t>
  </si>
  <si>
    <t>Laguna Grande</t>
  </si>
  <si>
    <t>Argentina | G.B.A. Zona Norte | Tigre | Countries/B.Cerrado (Tigre) | Villanueva | Laguna Grande</t>
  </si>
  <si>
    <t>CHO7055784</t>
  </si>
  <si>
    <t>APTO CREDITO Casa en Venta, La Candela, Pilar.</t>
  </si>
  <si>
    <t>Champagnat al 1600</t>
  </si>
  <si>
    <t>VHO5679651</t>
  </si>
  <si>
    <t xml:space="preserve">Casa en VENTA, Barrio Nuevo Maschwitz </t>
  </si>
  <si>
    <t>Barrio Nuevo Maschwitz</t>
  </si>
  <si>
    <t>CLA5742225</t>
  </si>
  <si>
    <t>Terreno en General Fernandez Oro</t>
  </si>
  <si>
    <t>loteo el sol</t>
  </si>
  <si>
    <t>Unidad funcional en trámite de modificación del PH pendiente, designada actualmente como UF 4, de aproximadamente 73m2 sobre lote de 260,63 m2, ubicada en la calle Roberto Ávila 620 y J.L Barbagelata, nomenclatura catastral: 16-20-061-6672-0004 (UF 00-04)</t>
  </si>
  <si>
    <t>Roberto Avila 620</t>
  </si>
  <si>
    <t>CAP7027136</t>
  </si>
  <si>
    <t>Departamento, Temperley, sum, parrilla, balcón, a estrenar, apto credito, PERMUTA</t>
  </si>
  <si>
    <t>Cangallo  al 400</t>
  </si>
  <si>
    <t>LLAVALLOL 4616 1° A</t>
  </si>
  <si>
    <t>CAP7097865</t>
  </si>
  <si>
    <t>Departamento en Alquiler 2 ambientes calle 9 e/ 47 y diagonal 74 N° 731 3 C | La Plata</t>
  </si>
  <si>
    <t xml:space="preserve">Alquiler Dpto 2 ambientes calle 9 e/ 47 y diagonal 74 N° 731 Piso 3 C | La Plata </t>
  </si>
  <si>
    <t>CHO6619643</t>
  </si>
  <si>
    <t>Casa de 4amb a Refaccionar en Venta excelente Ubicacion con Jardin</t>
  </si>
  <si>
    <t>Potosi  al 2900</t>
  </si>
  <si>
    <t>VAP5023706</t>
  </si>
  <si>
    <t>Departamento en Remeros Beach</t>
  </si>
  <si>
    <t>camino de los remeros  al 1600</t>
  </si>
  <si>
    <t>CFA6674841</t>
  </si>
  <si>
    <t>Finca en Venta en Bowen, General Alvear, Mendoza</t>
  </si>
  <si>
    <t>Calle 19 Y Calle F</t>
  </si>
  <si>
    <t>Argentina | Mendoza | General Alvear | Bowen</t>
  </si>
  <si>
    <t>Departamento Torres Agostinas</t>
  </si>
  <si>
    <t>CHO6789468</t>
  </si>
  <si>
    <t>Venta casa 5 habitaciones Mendoza</t>
  </si>
  <si>
    <t>CHO6709913</t>
  </si>
  <si>
    <t>Venta Casa 7 Ambientes en  OLIVOS GOLF CLUB</t>
  </si>
  <si>
    <t>OLIVOS GOLF CLUB</t>
  </si>
  <si>
    <t>Argentina | G.B.A. Zona Norte | Malvinas Argentinas | Countries/B.Cerrado (Malvinas) | Olivos Golf Club</t>
  </si>
  <si>
    <t>CAP6735937</t>
  </si>
  <si>
    <t>VENTA DEPARTAMENTO 3 AMBIENTES CON BALCÓN Y COCHERA - SAN NICOLÁS</t>
  </si>
  <si>
    <t>Uruguay al 700</t>
  </si>
  <si>
    <t xml:space="preserve">quintana 40 </t>
  </si>
  <si>
    <t>CLA6808071</t>
  </si>
  <si>
    <t>Terreno en Canales de Plottier</t>
  </si>
  <si>
    <t>JAP6740947</t>
  </si>
  <si>
    <t>Departamento en  venta 3 amb. Villa Santa Rita APTO CREDITO</t>
  </si>
  <si>
    <t>Doctor Luis Belaustegui al 3400</t>
  </si>
  <si>
    <t>CAP6777661</t>
  </si>
  <si>
    <t>Venta Departamento 4 ambientes en Belgrano cochera Dependencia refaccionado Apto Crédito</t>
  </si>
  <si>
    <t>Teodoro García al 2200</t>
  </si>
  <si>
    <t>CBU33361 AP3445554</t>
  </si>
  <si>
    <t>VENTA DEPARTAMENTO -  3 AMBIENTES A ESTRENAR- FULL AMENITIES</t>
  </si>
  <si>
    <t>Carlos Calvo al 1500</t>
  </si>
  <si>
    <t>CAP6913963</t>
  </si>
  <si>
    <t>VENTA DEPARTAMENTO 4 AMBIENTES EN RECOLETA</t>
  </si>
  <si>
    <t>Av. Presidente Manuel Quintana  50</t>
  </si>
  <si>
    <t>CPH4756207</t>
  </si>
  <si>
    <t>VENTA 3 AMBIENTES TERRAZA PROPIA APTO CREDITO POMPEYA</t>
  </si>
  <si>
    <t>CHO6954088</t>
  </si>
  <si>
    <t>VENTA Casa 4 ambientes 135m2 Villa La Angostura B° Norte</t>
  </si>
  <si>
    <t xml:space="preserve">Mudon </t>
  </si>
  <si>
    <t>CLA6381182</t>
  </si>
  <si>
    <t>Terreno en Alihuen Alto y Bajo</t>
  </si>
  <si>
    <t xml:space="preserve">Alihuen Alto </t>
  </si>
  <si>
    <t>Argentina | Neuquen | Lacar | San Martin De Los Andes | Alihuen Alto y Bajo</t>
  </si>
  <si>
    <t>78Stella</t>
  </si>
  <si>
    <t>Departamento en General Paz</t>
  </si>
  <si>
    <t>General Paz 7100</t>
  </si>
  <si>
    <t>CGA6773079</t>
  </si>
  <si>
    <t>Cochera en  VENTA RECOLETA</t>
  </si>
  <si>
    <t>Ayacucho al 1000</t>
  </si>
  <si>
    <t>CAP6702626</t>
  </si>
  <si>
    <t>Ph Villa Luro 3 ambientes</t>
  </si>
  <si>
    <t>Moreto al 300</t>
  </si>
  <si>
    <t>San Luis 3463</t>
  </si>
  <si>
    <t>N/C - URUGUAY 847</t>
  </si>
  <si>
    <t>VENTA DPTO MONOAMBIENTE RECOLETA</t>
  </si>
  <si>
    <t>URUGUAY 847</t>
  </si>
  <si>
    <t>CHO4484609</t>
  </si>
  <si>
    <t>Venta Casa en esquina const. sobre 2 lotes amplio fondo libre - Llavallol</t>
  </si>
  <si>
    <t>Aragón 198</t>
  </si>
  <si>
    <t>Argentina | G.B.A. Zona Sur | Lomas De Zamora (Partido) | Llavallol</t>
  </si>
  <si>
    <t>AAP6765289</t>
  </si>
  <si>
    <t>Departamento de dos ambientes monserrat</t>
  </si>
  <si>
    <t>VIRREY CEBALLOS al 790</t>
  </si>
  <si>
    <t>CAP6520904</t>
  </si>
  <si>
    <t>Departamento en  venta apto Profesional  en Palermo</t>
  </si>
  <si>
    <t>CAP6868486</t>
  </si>
  <si>
    <t>Departamento en VENTA, dos ambiente con vista al lago, APTO TURISMO</t>
  </si>
  <si>
    <t>Barrio Las Victorias, San Carlos de Bariloche</t>
  </si>
  <si>
    <t>SAN RAMIRO</t>
  </si>
  <si>
    <t>Lote en San Ramiro</t>
  </si>
  <si>
    <t>CCH6736125</t>
  </si>
  <si>
    <t>Chacra en  El Chañar</t>
  </si>
  <si>
    <t>Ruta 7</t>
  </si>
  <si>
    <t>CHO7031625</t>
  </si>
  <si>
    <t>Casa en  Villa California</t>
  </si>
  <si>
    <t>Calle del Sol al 2100</t>
  </si>
  <si>
    <t>VAP6700248</t>
  </si>
  <si>
    <t>Departamento en Jardines de Saravi 2 Ambientes APTO CREDITO</t>
  </si>
  <si>
    <t>saravi  al 1400</t>
  </si>
  <si>
    <t>Argentina | G.B.A. Zona Norte | Pilar | Jardines de Saravi</t>
  </si>
  <si>
    <t>CAP6963153</t>
  </si>
  <si>
    <t>Departamento 3 ambientes - Bolivar al 400, Monserrat. TODO SOL, VISTA ABIERTA!!!</t>
  </si>
  <si>
    <t>Bolivar al 400, esquina Venezuela</t>
  </si>
  <si>
    <t>CAP6789695</t>
  </si>
  <si>
    <t>Departamento en  PALERMO CHICO</t>
  </si>
  <si>
    <t>SEGUI al 3500</t>
  </si>
  <si>
    <t>CAP6910102</t>
  </si>
  <si>
    <t>Departamento 2 ambientes en venta – Palermo Soho</t>
  </si>
  <si>
    <t>Malabia  al 2100</t>
  </si>
  <si>
    <t>UF Nº 18 de 510 m2 Selvana VLA</t>
  </si>
  <si>
    <t>Av. Nahuel Huapi y Caviahue</t>
  </si>
  <si>
    <t>CAP6401336</t>
  </si>
  <si>
    <t>VENTA 3 AMB CON PARRILLA Y VISTA AL RIO</t>
  </si>
  <si>
    <t>San Martin 2803 8 D</t>
  </si>
  <si>
    <t>Av san martin 2803</t>
  </si>
  <si>
    <t>CAP6769972</t>
  </si>
  <si>
    <t>Departamento en venta 3 ambientes Balvanera</t>
  </si>
  <si>
    <t>Entre Rios al 500</t>
  </si>
  <si>
    <t>CHO6739247</t>
  </si>
  <si>
    <t>Casa en Venta de 3 dormitorios con garage en 51 e/ 30 y 31</t>
  </si>
  <si>
    <t>Casa en Venta de 3 dormitorios con garage en 51 entre 30 y 31</t>
  </si>
  <si>
    <t>Argentina | G.B.A. Zona Sur | La Plata | La Plata | Barrio Norte</t>
  </si>
  <si>
    <t>Juncal 2985 - Sol Lorenzo con Davaro Propiedades</t>
  </si>
  <si>
    <t>juncal 2985</t>
  </si>
  <si>
    <t>CPH6799043</t>
  </si>
  <si>
    <t xml:space="preserve">Espectacular PH 3 Ambientes con Patio y Terraza en Palemo </t>
  </si>
  <si>
    <t>Gascon  al 1300</t>
  </si>
  <si>
    <t>CAP6659334</t>
  </si>
  <si>
    <t>Departamento en Zona Centro Neuquén</t>
  </si>
  <si>
    <t>Islas Malvinas al 100</t>
  </si>
  <si>
    <t>CAP6464057</t>
  </si>
  <si>
    <t>Mansilla al 4000</t>
  </si>
  <si>
    <t xml:space="preserve">thames 56 - dto 209 </t>
  </si>
  <si>
    <t>CHO6247466</t>
  </si>
  <si>
    <t>Casa en Tablada - 4 AMBIENTES - PARRILLA- GALERIA- COCHERA - LIVING COMEDOR- COCINA - PARQUE</t>
  </si>
  <si>
    <t>LIMAY al 200</t>
  </si>
  <si>
    <t>thames 56 - dto 204</t>
  </si>
  <si>
    <t>CLA5808814</t>
  </si>
  <si>
    <t>VENTA TERRENO DOBLE FRENTE EN COGHLAN</t>
  </si>
  <si>
    <t>Nahuel Huapi al 4300</t>
  </si>
  <si>
    <t>UF 49, parte del Edificio Nº 1, conforme croquis adjunto en el ANEXO III, ubicado en calle Las Retamas y Las Mutisias, que será parte del Fideicomiso Retamas, emprendimiento a construir sobre la nomenclatura catastral: 16-20-070-8351-0000, matrícula 4766,</t>
  </si>
  <si>
    <t>Las Retamas 50</t>
  </si>
  <si>
    <t>CHO6752139</t>
  </si>
  <si>
    <t>VENTA Casa 320m2 Lote 1875m2 B° Las Balsas Villa La Angostura</t>
  </si>
  <si>
    <t>Osa Mayor  al 400</t>
  </si>
  <si>
    <t>CHO6185867</t>
  </si>
  <si>
    <t>Casa en Oportunidad Villa Tesei</t>
  </si>
  <si>
    <t>Las Provincias al 100</t>
  </si>
  <si>
    <t>CAP6924238</t>
  </si>
  <si>
    <t>Venta, Departamento, 2 ambientes, balcon, cochera, Duplex</t>
  </si>
  <si>
    <t>ALBERTI  al 300</t>
  </si>
  <si>
    <t>CLO6046500</t>
  </si>
  <si>
    <t>GALPON SIN EXPENSAS EN VENTA DE 180 M2 LIBRES EN BARRACAS</t>
  </si>
  <si>
    <t>LOS PATOS al 1800</t>
  </si>
  <si>
    <t>VCO59064 AP6619653</t>
  </si>
  <si>
    <t>Departamento en Altos de Maschwitz - 2 AMB con Jardín</t>
  </si>
  <si>
    <t>Argentina | G.B.A. Zona Norte | Escobar | Ingeniero Maschwitz | Altos de Maschwitz</t>
  </si>
  <si>
    <t>O'higgins 1622 - Leo Maroni - Bilcic Propiedades</t>
  </si>
  <si>
    <t xml:space="preserve">O'higgins 1622 </t>
  </si>
  <si>
    <t>CAP6746032</t>
  </si>
  <si>
    <t>Departamento en  venta  salta centro. Zorrilla 100</t>
  </si>
  <si>
    <t>PJE ZORRILLA al 100</t>
  </si>
  <si>
    <t>CBA47695 LA6263100</t>
  </si>
  <si>
    <t>VENTA terreno de 146,30 m2 en LOTEO "ANTIGUO CAMINO" Bariloche</t>
  </si>
  <si>
    <t>CAP6871493</t>
  </si>
  <si>
    <t>Departamento en  VENTA 2 DORMITORIOS COSTA TERRA</t>
  </si>
  <si>
    <t>OBRERO ARGENTINO al 300</t>
  </si>
  <si>
    <t>CAP6968039</t>
  </si>
  <si>
    <t>VENTA Departamento 2 ambientes  BELGRANO</t>
  </si>
  <si>
    <t>Vuelta de Obligado  al 3000</t>
  </si>
  <si>
    <t>CAP6917891</t>
  </si>
  <si>
    <t>Departamento en ALQUILER de 1 dormitorio en 18 e/ 49 y 50 esta desocupado</t>
  </si>
  <si>
    <t>Departamento en ALQUILER de 1 dormitorio en 18 e/ 49 y 50</t>
  </si>
  <si>
    <t>CAP6760869</t>
  </si>
  <si>
    <t>Venta departamento 3 ambientes con balcón Parque Avellaneda</t>
  </si>
  <si>
    <t>Av. Directorio  al 3900</t>
  </si>
  <si>
    <t>CHO6840523</t>
  </si>
  <si>
    <t>Venta Casa 4 Ambientes Apto Crédito en BILLINGHURST</t>
  </si>
  <si>
    <t>25 DE MAYO 4900</t>
  </si>
  <si>
    <t>Argentina | G.B.A. Zona Norte | General San Martin | General San Martin | Billinghurst</t>
  </si>
  <si>
    <t>LETIOCONNOR</t>
  </si>
  <si>
    <t>DEPARTAMENTO con una superficie aproximada de 32,65m2., piso 6 UF NRO 3</t>
  </si>
  <si>
    <t>CLA6630574</t>
  </si>
  <si>
    <t>VENTA terreno/lote, 600 m2, San Carlos de Bariloche</t>
  </si>
  <si>
    <t>Venta Lote de 600 m2 en barrio privado Solares del este, San Carlos de Bariloche</t>
  </si>
  <si>
    <t>CAP6916550</t>
  </si>
  <si>
    <t>Departamento en  Juan Pablo</t>
  </si>
  <si>
    <t xml:space="preserve">Juan Pablo </t>
  </si>
  <si>
    <t>CLA6925280</t>
  </si>
  <si>
    <t>Terreno en Santa María de los Cerrillos</t>
  </si>
  <si>
    <t>Terreno Santa María de los Cerrillos</t>
  </si>
  <si>
    <t>CAP6080321</t>
  </si>
  <si>
    <t>Departamento en venta, 2 ambientes, San Carlos de Bariloche</t>
  </si>
  <si>
    <t>CLA6367239</t>
  </si>
  <si>
    <t>BARRIO GARCIA BAYON - NEUQUEN CAPITAL</t>
  </si>
  <si>
    <t xml:space="preserve">TERRENO GARCIA BAYON </t>
  </si>
  <si>
    <t>CAP6635826</t>
  </si>
  <si>
    <t>Venta - Departamento - 3 Ambientes - Balcon - Frente - San Telmo - Apto Credito - Permuta</t>
  </si>
  <si>
    <t>Peru 600</t>
  </si>
  <si>
    <t>CAP6626222</t>
  </si>
  <si>
    <t>Departamento en  venta Dean Funes al 1300</t>
  </si>
  <si>
    <t>Dean Funes  al 1300</t>
  </si>
  <si>
    <t>COF3541818</t>
  </si>
  <si>
    <t>Venta y/o alquiler de oficina en el centro/retiro.</t>
  </si>
  <si>
    <t>AV CORDOBA al 600</t>
  </si>
  <si>
    <t>Mono Geral</t>
  </si>
  <si>
    <t>Bouquet Pilar</t>
  </si>
  <si>
    <t>Departamento 2 ambientes - Vista Central - Bouquet Pilar</t>
  </si>
  <si>
    <t>Villalobos lote 606</t>
  </si>
  <si>
    <t>casa venta villalobos</t>
  </si>
  <si>
    <t>UF 11 Loteo A Loteo Quetrihue</t>
  </si>
  <si>
    <t>Argentina | G.B.A. Zona Norte | Pilar | Manzanares</t>
  </si>
  <si>
    <t>CAP6937191</t>
  </si>
  <si>
    <t xml:space="preserve">Departamento 1 dormi APTO CREDITO en Neuquen  </t>
  </si>
  <si>
    <t>La Rioja  al 1100</t>
  </si>
  <si>
    <t>Magdalena1706</t>
  </si>
  <si>
    <t>Casa km 13900</t>
  </si>
  <si>
    <t>CBA47695 LA6353553</t>
  </si>
  <si>
    <t>VENTA terreno de 655 m2 en LOTEO "ANTIGUO CAMINO" Bariloche</t>
  </si>
  <si>
    <t>CAP6742712</t>
  </si>
  <si>
    <t xml:space="preserve">Departamento en  venta de 3 amb con balcon </t>
  </si>
  <si>
    <t>Ciudad de la Paz  al 1000</t>
  </si>
  <si>
    <t>CAP6891477</t>
  </si>
  <si>
    <t>Departamento en  venta Saenz Peña 1amb con balcón</t>
  </si>
  <si>
    <t>CAP6677638</t>
  </si>
  <si>
    <t>Departamento en  venta Saenz Peña 1amb</t>
  </si>
  <si>
    <t>Op con inmo colega Patricia Cortez. Lote en meliquina</t>
  </si>
  <si>
    <t>15-35-078-8825-0000</t>
  </si>
  <si>
    <t>Lote ubicado en Villa Lago Meliquina, Manzana J - Lote 8 con superficie aproximada de 1000 m2, Pcia. De Neuquén, nomenclatura catastral: 15-35-078-8825-0000,</t>
  </si>
  <si>
    <t>CHO6783996</t>
  </si>
  <si>
    <t>Casa en venta ubicada en La Caldera - Zona Norte - Apta a credito hipotecario</t>
  </si>
  <si>
    <t xml:space="preserve">La Caldera </t>
  </si>
  <si>
    <t>Argentina | Salta | La Caldera | Caldera</t>
  </si>
  <si>
    <t>CAP6770132</t>
  </si>
  <si>
    <t>Departamento en venta 2 ambientes Retiro</t>
  </si>
  <si>
    <t>Cordoba al 800</t>
  </si>
  <si>
    <t>CAP6844339</t>
  </si>
  <si>
    <t>Venta, Depto, 2 amb, patio, Colegiales, belgrano</t>
  </si>
  <si>
    <t>Zapiola al 400</t>
  </si>
  <si>
    <t>Vicente López 239</t>
  </si>
  <si>
    <t>OP 143</t>
  </si>
  <si>
    <t>Libertador 1080 cochera</t>
  </si>
  <si>
    <t>Libertador 1080</t>
  </si>
  <si>
    <t>CAP6320407</t>
  </si>
  <si>
    <t>Venta Departamento 2 ambientes con cochera, baulera y Seg 24hs en Recoleta</t>
  </si>
  <si>
    <t>Av Libertador  al 1000</t>
  </si>
  <si>
    <t>CPN56595 HO6462842</t>
  </si>
  <si>
    <t>Venta Casa 3 suites- El Aljibe Manzanares Pilar</t>
  </si>
  <si>
    <t>Casa en Venta con 3 suite en El Aljibe</t>
  </si>
  <si>
    <t>Blanco encalada 2975</t>
  </si>
  <si>
    <t>CAP6251600</t>
  </si>
  <si>
    <t>Gran Monoambiente Divisible en Palermo Hollywood</t>
  </si>
  <si>
    <t>Nicaragua al 5600</t>
  </si>
  <si>
    <t>CAP6781867</t>
  </si>
  <si>
    <t>Departamento 2 dormitorios - Vista al lago -apto turistico, Barrio Belgrano, Bariloche</t>
  </si>
  <si>
    <t>Av. Pueyrredón  al 800</t>
  </si>
  <si>
    <t>CHO6877990</t>
  </si>
  <si>
    <t>VENTA DE CASA LOTE 520 E/9 Y 10 TOLOSA LA PLATA</t>
  </si>
  <si>
    <t>CASA EN VENTA TOLOSA AV. 520</t>
  </si>
  <si>
    <t>CLO6494069</t>
  </si>
  <si>
    <t>LOCAL COMERCIAL - COWORKING- PALERMO HOLLYWOOD</t>
  </si>
  <si>
    <t>Nicaragua  al 5800</t>
  </si>
  <si>
    <t>CHO6406941</t>
  </si>
  <si>
    <t>Venta de Casa en San Sebastián – Área 13 | 3 Habitaciones, Pileta y Parrilla</t>
  </si>
  <si>
    <t>San sebastian</t>
  </si>
  <si>
    <t>UF 19 Loteo Quetrihue Loteo A</t>
  </si>
  <si>
    <t>UF N° 7 de 407,00m2, Loteo A, Loteo Quetrihue</t>
  </si>
  <si>
    <t>CAP6311183</t>
  </si>
  <si>
    <t>Venta Departamento monoambiente a estrenar San Cristobal</t>
  </si>
  <si>
    <t>Av. Chiclana  al 3000</t>
  </si>
  <si>
    <t>APH6941282</t>
  </si>
  <si>
    <t>PH en Boedo</t>
  </si>
  <si>
    <t>VIRREY LINIERS al 1800</t>
  </si>
  <si>
    <t>CAP6959623</t>
  </si>
  <si>
    <t>En Venta Departamento 2 Ambientes calle 33 3 y 4, La Plata</t>
  </si>
  <si>
    <t>En Venta Departamento 2 Ambientes calle 33 al 400 3 y 4, La Plata</t>
  </si>
  <si>
    <t>CAP6846665</t>
  </si>
  <si>
    <t xml:space="preserve">Excelente Depto . en venta </t>
  </si>
  <si>
    <t>Gabriela Mistral al  al 800</t>
  </si>
  <si>
    <t>CLO6758717</t>
  </si>
  <si>
    <t>Local en  Venta</t>
  </si>
  <si>
    <t>Montevideo al 700</t>
  </si>
  <si>
    <t>CLA6700666</t>
  </si>
  <si>
    <t>Venta Terreno 200m2 en Valle Azul Bariloche</t>
  </si>
  <si>
    <t>Valle Azul, San Carlos de Bariloche</t>
  </si>
  <si>
    <t>Argentina | Rio Negro | Bariloche | San Carlos De Bariloche | Valle Azul</t>
  </si>
  <si>
    <t>04EM-13-02-25 - Tinogasta Piso 3</t>
  </si>
  <si>
    <t>Venta depto piso 3 amb | 2 balcones | Villa del parque</t>
  </si>
  <si>
    <t>Tinogasta 3200</t>
  </si>
  <si>
    <t>VAP6770775</t>
  </si>
  <si>
    <t>Departamento en Venta/Alquiler - 3 ambientes, Portezuelo, Nordelta</t>
  </si>
  <si>
    <t>VHO6804601</t>
  </si>
  <si>
    <t>ACEPTA FINANCIACION - Casa al agua en Carpinchos - Nordelta</t>
  </si>
  <si>
    <t>Casa a la laguna</t>
  </si>
  <si>
    <t>Argentina | G.B.A. Zona Norte | Tigre | Countries/B.Cerrado (Tigre) | Nordelta | Carpinchos</t>
  </si>
  <si>
    <t>CAP6498409</t>
  </si>
  <si>
    <t>Departamento en venta en Recoleta - Bajas expensas!!!</t>
  </si>
  <si>
    <t>CALLAO Y GUIDO</t>
  </si>
  <si>
    <t>IAP1176434</t>
  </si>
  <si>
    <t>Montevideo 1950 Piso 5 Contrafrente muy Luminoso</t>
  </si>
  <si>
    <t>Montevideo al 1900</t>
  </si>
  <si>
    <t>CHO6383362</t>
  </si>
  <si>
    <t>Venta Casa a Refaccionar 5 Ambientes Paternal Cochera Patio Parrilla - Multifamiliar Lote Propio</t>
  </si>
  <si>
    <t>GAVILAN al 2600</t>
  </si>
  <si>
    <t>CAP6619946</t>
  </si>
  <si>
    <t>Departamento en  venta Balvanera 2amb</t>
  </si>
  <si>
    <t>Misiones al 200</t>
  </si>
  <si>
    <t>Salguero 2687 - Sol Lorenzo - Lj Ramos</t>
  </si>
  <si>
    <t xml:space="preserve">Salguero 2687 </t>
  </si>
  <si>
    <t>CAP6645964</t>
  </si>
  <si>
    <t>Venta Departamento 2 ambientes en Recoleta</t>
  </si>
  <si>
    <t>CHO6780447</t>
  </si>
  <si>
    <t>Casa en venta 5 dormitorios mas play mas estudio Haras Santa Maria El Molino Norte</t>
  </si>
  <si>
    <t>Barrio Haras Santa Maria Loma Verde Escobar</t>
  </si>
  <si>
    <t>CAP6848233</t>
  </si>
  <si>
    <t xml:space="preserve">Oportunidad ! Excelente monoambiente en venta </t>
  </si>
  <si>
    <t>Uruguay  al 300</t>
  </si>
  <si>
    <t>JAP6807420</t>
  </si>
  <si>
    <t>Departamento piso en venta 4 ambientes   dependencia RECOLETA</t>
  </si>
  <si>
    <t>Mansilla al 2400</t>
  </si>
  <si>
    <t>CHO6599347</t>
  </si>
  <si>
    <t>Venta Casa 5 ambientes en Caseros</t>
  </si>
  <si>
    <t>Constitución al 2700</t>
  </si>
  <si>
    <t>Casa 3 dormitorios en suite una planta</t>
  </si>
  <si>
    <t>CAP7091909</t>
  </si>
  <si>
    <t xml:space="preserve">Departamento en  56 E 3 Y 4 </t>
  </si>
  <si>
    <t>DPTO 56 E 3 Y 4</t>
  </si>
  <si>
    <t>UF 10 Loteo A Loteo Quetrihue</t>
  </si>
  <si>
    <t>CAP6780588</t>
  </si>
  <si>
    <t>Departamento  2 ambientes balcón, patio cubierto y descubierto</t>
  </si>
  <si>
    <t>Mexico al 2700</t>
  </si>
  <si>
    <t>Venta Lumiere</t>
  </si>
  <si>
    <t xml:space="preserve">Juana manso 1551  </t>
  </si>
  <si>
    <t>CAP6763112</t>
  </si>
  <si>
    <t>VENTA RECOLETA 5 AMB TERRAZA VISTA A JARDINES JOCKEY CLUB</t>
  </si>
  <si>
    <t>Libertad  al 1500</t>
  </si>
  <si>
    <t>VAP6776441</t>
  </si>
  <si>
    <t xml:space="preserve">Departamento en Belgrano 3 ambientes con cochera y amenities </t>
  </si>
  <si>
    <t>Av. Congreso  al 1900</t>
  </si>
  <si>
    <t>CLA7061135</t>
  </si>
  <si>
    <t>Terreno en San Carlos De Bariloche</t>
  </si>
  <si>
    <t>Barrio Frutillar Calle Prayel</t>
  </si>
  <si>
    <t>CAP6667678</t>
  </si>
  <si>
    <t>Venta Departamento Monoambiente en Palermo, Palermo Hollywood</t>
  </si>
  <si>
    <t>Soler al 5700</t>
  </si>
  <si>
    <t>CHO6963350</t>
  </si>
  <si>
    <t>VENTA Casa de dos dormitorios amueblada y equipada con patio seco y terraza</t>
  </si>
  <si>
    <t>Casa en Barrio Escalante - Milenio de Polonia 3000</t>
  </si>
  <si>
    <t>CPH6421863</t>
  </si>
  <si>
    <t>PH 3 AMBIENTES EN VENTA/ FLORIDA CON PATIO, TERRAZA/ PERMUTA</t>
  </si>
  <si>
    <t>Francia  al 4300</t>
  </si>
  <si>
    <t>CAP6682303</t>
  </si>
  <si>
    <t>Departamento en venta  DUPLEX EN VENTA  3 AMBIENTES EN NUÑEZ - PERMUTA</t>
  </si>
  <si>
    <t>Nicolas de Vedia 1650 5</t>
  </si>
  <si>
    <t>CHO6772220</t>
  </si>
  <si>
    <t>Casa en Cinco Saltos</t>
  </si>
  <si>
    <t>j.m.barry y tehuelches</t>
  </si>
  <si>
    <t>UF 8 Loteo Quetrihue Loteo A</t>
  </si>
  <si>
    <t>CPH6884116</t>
  </si>
  <si>
    <t>Venta PH 3 Ambientes c/ terraza refaccionado en Villa Crespo</t>
  </si>
  <si>
    <t>Av Cordoba  al 4200</t>
  </si>
  <si>
    <t>op 134</t>
  </si>
  <si>
    <t>Velasco 967</t>
  </si>
  <si>
    <t>CLA6687636</t>
  </si>
  <si>
    <t>Terreno en  venta Pucara</t>
  </si>
  <si>
    <t>PUCARA</t>
  </si>
  <si>
    <t>CAP6670417</t>
  </si>
  <si>
    <t>VENTA DEPARTAMENTO 2 AMBIENTES VILLA LUZURIAGA AL FRENTE Y CONTRAFRENTE</t>
  </si>
  <si>
    <t>Ombu  al 1100</t>
  </si>
  <si>
    <t>CHO6606969</t>
  </si>
  <si>
    <t>Casa en  Oportunidad Centro de Castelar sur</t>
  </si>
  <si>
    <t>Luis Maria Drago al 2800</t>
  </si>
  <si>
    <t>Argentina | G.B.A. Zona Oeste | Moron | Castelar | Castelar Sur</t>
  </si>
  <si>
    <t>CAP6606963</t>
  </si>
  <si>
    <t>Departamento en  Oportunidad Moron centro</t>
  </si>
  <si>
    <t>Boatti al 200</t>
  </si>
  <si>
    <t>CHO6797788</t>
  </si>
  <si>
    <t>Casa en venta en Bariloche</t>
  </si>
  <si>
    <t>Barrio El Progreso, San Carlos de Bariloche</t>
  </si>
  <si>
    <t>Argentina | Rio Negro | Bariloche | San Carlos De Bariloche | El Progreso</t>
  </si>
  <si>
    <t>CAP6974906</t>
  </si>
  <si>
    <t>Departamento en  Chijra</t>
  </si>
  <si>
    <t>Calle El Pensamiento al 700</t>
  </si>
  <si>
    <t>CHO6854123</t>
  </si>
  <si>
    <t>Casa en Venta 3 dormitorios Barrio Santa Guadalupe Pilar del Este</t>
  </si>
  <si>
    <t>Barrio Santa Guadalupe Pilar del Este</t>
  </si>
  <si>
    <t>Argentina | G.B.A. Zona Norte | Pilar | Countries/B.Cerrado (Pilar) | Pilar Del Este | Santa Guadalupe</t>
  </si>
  <si>
    <t>CHO6190343</t>
  </si>
  <si>
    <t>Casa 5 Dormitorios - Haras La Pradera - Pilar</t>
  </si>
  <si>
    <t xml:space="preserve">Casa 5 Dormitorios - La Pradera Barrio Privado - Pilar </t>
  </si>
  <si>
    <t>Argentina | G.B.A. Zona Norte | Pilar | Countries/B.Cerrado (Pilar) | La Pradera I</t>
  </si>
  <si>
    <t>CHO6724397</t>
  </si>
  <si>
    <t>Venta de PH Duplex de 3 ambientes en Palmas del Sol, Pilar</t>
  </si>
  <si>
    <t>Caamaño Palmas del Sol</t>
  </si>
  <si>
    <t>Argentina | G.B.A. Zona Norte | Pilar | Countries/B.Cerrado (Pilar) | Palmas del Sol</t>
  </si>
  <si>
    <t>JPH6596761</t>
  </si>
  <si>
    <t>PH EN VENTA EN PALERMO HOLLIWOOD FITZ ROY 1900 RECICLADO PLANTA BAJA LUMINOSO</t>
  </si>
  <si>
    <t>FITZ ROY al 1900</t>
  </si>
  <si>
    <t>CAP6775601</t>
  </si>
  <si>
    <t>Venta Departamento 4 ambientes en Art Tower, con cochera y baulera zona Alto Palermo</t>
  </si>
  <si>
    <t>Coronel Diaz  al 2100</t>
  </si>
  <si>
    <t>JPH6721643</t>
  </si>
  <si>
    <t>VENTA PH 4 AMBIENTES TERRAZA PROPIA PARRILLA P. CHACABUCO</t>
  </si>
  <si>
    <t>Dávila  al 800</t>
  </si>
  <si>
    <t>CAP6872045</t>
  </si>
  <si>
    <t>Venta Departamento 3 Ambientes en Nuñez</t>
  </si>
  <si>
    <t>Moldes al 3300</t>
  </si>
  <si>
    <t>76Agu</t>
  </si>
  <si>
    <t>1ro de Mayo 1590</t>
  </si>
  <si>
    <t>CAP6984153</t>
  </si>
  <si>
    <t>Departamento en  Rivadavia al 700</t>
  </si>
  <si>
    <t>Rivadavia  al 700</t>
  </si>
  <si>
    <t>CAP6909212</t>
  </si>
  <si>
    <t>Departamento en calle San Lorenzo esq. Av. España</t>
  </si>
  <si>
    <t>San Lorenzo esq Av. España  al 700</t>
  </si>
  <si>
    <t>CHO6911826</t>
  </si>
  <si>
    <t>Casa en Venta en Barrio Bombal Mendoza</t>
  </si>
  <si>
    <t>hipolito yrigoyen al 600</t>
  </si>
  <si>
    <t>CAP6988339</t>
  </si>
  <si>
    <t xml:space="preserve">Departamento en venta en Barrio Raiz II </t>
  </si>
  <si>
    <t>Dr Lemos  al 600</t>
  </si>
  <si>
    <t>CLA6818717</t>
  </si>
  <si>
    <t>Terreno en Barrio Qvattro Vistalba</t>
  </si>
  <si>
    <t>calle Pública sin número</t>
  </si>
  <si>
    <t>CHO6634561</t>
  </si>
  <si>
    <t>Casa en venta en Lujan de Cuyo</t>
  </si>
  <si>
    <t>Argentina | Mendoza | Lujan De Cuyo | Lujan De Cuyo | Lujan De Cuyo</t>
  </si>
  <si>
    <t>CLO6809312</t>
  </si>
  <si>
    <t xml:space="preserve">Venta Local centro de Mendoza . Excelente inversión </t>
  </si>
  <si>
    <t>Alem 17</t>
  </si>
  <si>
    <t>COF6961416</t>
  </si>
  <si>
    <t>Oficina en Venta Chacras de Coria</t>
  </si>
  <si>
    <t>Ruta Panamericana  al 7000</t>
  </si>
  <si>
    <t>CLA6843733</t>
  </si>
  <si>
    <t>Terreno  en Venta Barrio Milcayac II Maipú</t>
  </si>
  <si>
    <t>AR Inmoclick</t>
  </si>
  <si>
    <t>Barrio privado Milcayac II, Russel, Maipú</t>
  </si>
  <si>
    <t>club acohaj</t>
  </si>
  <si>
    <t>Venta ph Balbastro 970</t>
  </si>
  <si>
    <t>Balbastro 970</t>
  </si>
  <si>
    <t>CAP6535494</t>
  </si>
  <si>
    <t>VENTA Departamento 3 ambientes 78m2 Centrico Villa La Angostura</t>
  </si>
  <si>
    <t>CHO6717019</t>
  </si>
  <si>
    <t>DUPLEX EN VENTA EN LOS PERALES</t>
  </si>
  <si>
    <t>Mza Pa8 L1 Uf2</t>
  </si>
  <si>
    <t>AAP6354894</t>
  </si>
  <si>
    <t>Departamento 2 amb en  Lanus!</t>
  </si>
  <si>
    <t>Santiago del Estero al 2400</t>
  </si>
  <si>
    <t>CPH6623128</t>
  </si>
  <si>
    <t>Departamento en PH en 16 e/ 46 y 49</t>
  </si>
  <si>
    <t>16 e/ 48 y 49</t>
  </si>
  <si>
    <t>CAP7016675</t>
  </si>
  <si>
    <t>Venta de departamento en Flores</t>
  </si>
  <si>
    <t>CARABOBO 345</t>
  </si>
  <si>
    <t>Virasoro</t>
  </si>
  <si>
    <t>CAP6634195</t>
  </si>
  <si>
    <t>Venta Departamento 3 ambientes en Almagro</t>
  </si>
  <si>
    <t>Sanchez de Bustamante 24</t>
  </si>
  <si>
    <t>4AMBCCOCHERA</t>
  </si>
  <si>
    <t>VENTA DEPARTAMENTO 4 AMBIENTES 3 DORMITORIOS  -  BELGRANO</t>
  </si>
  <si>
    <t>MONTAÑESES al 2700</t>
  </si>
  <si>
    <t>CPH6391100</t>
  </si>
  <si>
    <t>VENTA PH 2 AMBIENTES CON PATIO Y SÓTANO EN CIUDADELA</t>
  </si>
  <si>
    <t>RAFAELA  al 4100</t>
  </si>
  <si>
    <t>VHO6770258</t>
  </si>
  <si>
    <t>Venta CASA en Las Brisas CC - Pilar</t>
  </si>
  <si>
    <t>Venta CASA en Las Brisas Country Club  Pilar</t>
  </si>
  <si>
    <t>Argentina | G.B.A. Zona Norte | Pilar | Countries/B.Cerrado (Pilar) | Las Brisas</t>
  </si>
  <si>
    <t>CHO6412163</t>
  </si>
  <si>
    <t>Casa - Barrio Fincas de San Vicente</t>
  </si>
  <si>
    <t>Fincas de san Vicente Golf</t>
  </si>
  <si>
    <t>Argentina | G.B.A. Zona Sur | San Vicente | Countries/B.Cerrado (San Vicente) | Barrio Fincas de San Vicente</t>
  </si>
  <si>
    <t>CAP6937227</t>
  </si>
  <si>
    <t>Departamento en  HERMOSO DEPARTAMENTO EN MAR DEL PLATA</t>
  </si>
  <si>
    <t>CARLOS ALVEAR  al 4700</t>
  </si>
  <si>
    <t xml:space="preserve">Argentina | Costa Atlantica | Mar Del Plata </t>
  </si>
  <si>
    <t>CHO6928789</t>
  </si>
  <si>
    <t>Casa con cochera y patio verde</t>
  </si>
  <si>
    <t>Llerena al 2900</t>
  </si>
  <si>
    <t>NAP3851343</t>
  </si>
  <si>
    <t>VENTA · Departamento céntrico 11 E/ 39 Y 40 | Un dormitorio y balcón al frente</t>
  </si>
  <si>
    <t>Calle 11 E/ 39 y 40</t>
  </si>
  <si>
    <t>CHO6872494</t>
  </si>
  <si>
    <t>Se vende Casa imponente corte antiguo en esquina 6 ambientes excelente ubicacion</t>
  </si>
  <si>
    <t>Oncativo al 2100</t>
  </si>
  <si>
    <t>CHO6739716</t>
  </si>
  <si>
    <t>Casa en  San Pedrito</t>
  </si>
  <si>
    <t>virrey toledo al 700</t>
  </si>
  <si>
    <t>CBU59337 AP6466923</t>
  </si>
  <si>
    <t>VENTA Monoambiente 39,74m2 UF 55- en pozo, Paseo Retamas,El Cruce, Villa la Angostura</t>
  </si>
  <si>
    <t>Retamas al 300</t>
  </si>
  <si>
    <t>CAP6811398</t>
  </si>
  <si>
    <t>Venta departamento 4 ambientes con balcón Mataderos</t>
  </si>
  <si>
    <t>Remedios al 4900</t>
  </si>
  <si>
    <t>CPH5611863</t>
  </si>
  <si>
    <t>PH reciclado Parque Chacabuco</t>
  </si>
  <si>
    <t>Av Cobo  al 700</t>
  </si>
  <si>
    <t>CBU49671 AP6414027</t>
  </si>
  <si>
    <t>Venta Departamento dividido en 2 ambientes A Estrenar Apto profesional Villa Urquiza</t>
  </si>
  <si>
    <t>Bauness  al 1100</t>
  </si>
  <si>
    <t>CAP6592406</t>
  </si>
  <si>
    <t>Departamento 3 ambientes con Dependencia Balcon corrido Cochera Baulera Belgrano</t>
  </si>
  <si>
    <t>Moldes al 2100</t>
  </si>
  <si>
    <t>CPH6638795</t>
  </si>
  <si>
    <t>Duplex En Venta 2 dormitorios, cochera, patio y parrilla, calle 517 4bis y 5bis Ringuelet</t>
  </si>
  <si>
    <t>Duplex 2 dormitorios 517  al 1021 e / 4 bis y 5 bis, Ringuelet</t>
  </si>
  <si>
    <t>VAP6344366</t>
  </si>
  <si>
    <t>Departamento en Planta Baja 3 ambientes en Pilar</t>
  </si>
  <si>
    <t xml:space="preserve">Planta Baja con Jardín  en venta 3 ambientes en Pilar </t>
  </si>
  <si>
    <t>CAP5719348</t>
  </si>
  <si>
    <t>Venta - Departamento - 3 Ambientes - Balcon - Frente - Luminoso - Flores - Apto Credito</t>
  </si>
  <si>
    <t>Jose Bonifacio 2800</t>
  </si>
  <si>
    <t>CAP6827766</t>
  </si>
  <si>
    <t>VENTA DEPARTAMENTO 4 AMBIENTES EN SAN NICOLÁS - OPORTUNIDAD</t>
  </si>
  <si>
    <t>Av. Rivadavia al 1200</t>
  </si>
  <si>
    <t>ciudad de la paz</t>
  </si>
  <si>
    <t>juana manso 1351</t>
  </si>
  <si>
    <t>CAP6059640</t>
  </si>
  <si>
    <t>VENTA DEPARTAMENTO A ESTRENAR PISO ALTO 3 AMBIENTES CON BALCON COCHERA Y BAULERA</t>
  </si>
  <si>
    <t>CAP6673002</t>
  </si>
  <si>
    <t>VENTA DEPARTAMENTO 2 AMBIENTES EN BELGRANO</t>
  </si>
  <si>
    <t>Av Cabildo  al 500</t>
  </si>
  <si>
    <t>BARRIO SANTO TOMAS- DERQUI 245</t>
  </si>
  <si>
    <t>BARRIO SANTO TOMAS-DERQUI 245</t>
  </si>
  <si>
    <t>CHO7034649</t>
  </si>
  <si>
    <t>Casa en  GONNET 14 y 490</t>
  </si>
  <si>
    <t>CASA EN GONNET 14 Y 490</t>
  </si>
  <si>
    <t>Santo Tomás</t>
  </si>
  <si>
    <t>Venta Lote en Santo Tomás</t>
  </si>
  <si>
    <t>CAP6692162</t>
  </si>
  <si>
    <t xml:space="preserve">Departamento en  Venta , Centrico, Edificio Jujuy . </t>
  </si>
  <si>
    <t>Edificio Jujuy  al 300, Neuquen Capital .</t>
  </si>
  <si>
    <t>Argentina | Neuquen | Capital | Confluencia Urbana</t>
  </si>
  <si>
    <t>CAP6403514</t>
  </si>
  <si>
    <t xml:space="preserve">Edificio Jujuy  al 300, Neuquen Capital . </t>
  </si>
  <si>
    <t>CAP6827370</t>
  </si>
  <si>
    <t xml:space="preserve">Venta departamento monoambiente Colegiales </t>
  </si>
  <si>
    <t>Virrey  Arredondo  al 2500</t>
  </si>
  <si>
    <t>CBU60233 AP6592892</t>
  </si>
  <si>
    <t>Venta Depto Tres Ambientes vista al lago a 5 minutos del centro</t>
  </si>
  <si>
    <t>Avenida Pioneros Km 2, San Carlos de Bariloche</t>
  </si>
  <si>
    <t>05EM-13-02-25 - Tinogasta Piso 4</t>
  </si>
  <si>
    <t>Venta departamento piso 3 amb | mucha luz | balcón | cercania cuenca | Villa del Parque</t>
  </si>
  <si>
    <t>Ricardo Gutierrez  al 3300</t>
  </si>
  <si>
    <t>CPH5966225</t>
  </si>
  <si>
    <t>VENTA - CASA AL FRENTE A ESTRENAR - 4 AMBIENTES - LANUS CENTRO</t>
  </si>
  <si>
    <t>Dr. Arturo Melo al 1600</t>
  </si>
  <si>
    <t>CAP6701785</t>
  </si>
  <si>
    <t>3 Ambientes en Villa Santa Rita límite Villa del Parque con Cochera y Baulera</t>
  </si>
  <si>
    <t>Alejandro Magariños Cervantes 2746</t>
  </si>
  <si>
    <t>VAP6839934</t>
  </si>
  <si>
    <t>Departamento en Alquiler en Nordelta - 2 ambientes</t>
  </si>
  <si>
    <t xml:space="preserve">Departamento en  ALQUILER  en Edificio Panorama - 2 ambientes </t>
  </si>
  <si>
    <t>Argentina | G.B.A. Zona Norte | Tigre | Countries/B.Cerrado (Tigre) | Nordelta | El Sendero | Panorama</t>
  </si>
  <si>
    <t>CAP6769063</t>
  </si>
  <si>
    <t xml:space="preserve">VENTA DEPARTAMENTO 4 AMBIENTES + DEPENDENCIA  Y COCHERA </t>
  </si>
  <si>
    <t>Arenales  al 1300</t>
  </si>
  <si>
    <t>terreno venta el cano</t>
  </si>
  <si>
    <t xml:space="preserve">doble lote venta el cano </t>
  </si>
  <si>
    <t>CAP6691374</t>
  </si>
  <si>
    <t>Venta Departamento 3 Ambientes en Villa Santa Rita Con Terraza, Parrilla y cochera Luminoso</t>
  </si>
  <si>
    <t>Cesar Diaz al 2800</t>
  </si>
  <si>
    <t>COF6452656</t>
  </si>
  <si>
    <t>venta Oficina al frente, en Retiro, con baño y cocina</t>
  </si>
  <si>
    <t>CAP6840335</t>
  </si>
  <si>
    <t>Departamento de 1 dormitorio en Barrio 7 de Marzo, Santo Tome!</t>
  </si>
  <si>
    <t>CPH6765219</t>
  </si>
  <si>
    <t>PH/ tipo CASA en Parque Chacabuco 3 ambientes con cochera</t>
  </si>
  <si>
    <t>Barbastro  al 2000</t>
  </si>
  <si>
    <t>CHO4058449</t>
  </si>
  <si>
    <t>Venta CON RENTA de Casa en La Comarca barrio cerrado - General Pacheco - Tigre</t>
  </si>
  <si>
    <t>La Comarca</t>
  </si>
  <si>
    <t>Argentina | G.B.A. Zona Norte | Tigre | General Pacheco | Countries/B. Cerrado (General Pacheco) | La Comarca</t>
  </si>
  <si>
    <t>VENTA  - LAMADRID 325 - RE/MAX PREMIUM</t>
  </si>
  <si>
    <t>lamadrid 325</t>
  </si>
  <si>
    <t>CAP6607954</t>
  </si>
  <si>
    <t xml:space="preserve">OPORTUNIDAD UNICA! Departamento apto vivienda para reciclar SUPER LUMINOSO!!!! </t>
  </si>
  <si>
    <t>Juan Domingo Peron  al 1100</t>
  </si>
  <si>
    <t>CAP6936762</t>
  </si>
  <si>
    <t>Argentina | G.B.A. Zona Norte | San Isidro | Beccar | Beccar Alto</t>
  </si>
  <si>
    <t>VHO6069171</t>
  </si>
  <si>
    <t xml:space="preserve">Casa en  venta con pileta de 6 amb </t>
  </si>
  <si>
    <t>Alfredo Guido  al 3700</t>
  </si>
  <si>
    <t>Argentina | G.B.A. Zona Norte | Vicente López | Carapachay</t>
  </si>
  <si>
    <t>VAP6962581</t>
  </si>
  <si>
    <t>Departamento en Venta 3 amb - Vista al Crystal Lagoon</t>
  </si>
  <si>
    <t>Remeros Beach</t>
  </si>
  <si>
    <t>CHO6624702</t>
  </si>
  <si>
    <t>Casa de 4 ambientes en Venta en Barrio Cerrado Comarcas de Lujan</t>
  </si>
  <si>
    <t>Argentina | G.B.A. Zona Oeste | Lujan | Countries/B.Cerrado (Lujan) | Comarcas de Luján</t>
  </si>
  <si>
    <t>CHO5774619</t>
  </si>
  <si>
    <t>Duplex en Fernandez Oro</t>
  </si>
  <si>
    <t>B° Ken Lumar al 100</t>
  </si>
  <si>
    <t>Depto Seba</t>
  </si>
  <si>
    <t>Depto Seba y Leo Sfeir</t>
  </si>
  <si>
    <t>CAP6794023</t>
  </si>
  <si>
    <t>Venta Departamento 4 ambientes en Almagro</t>
  </si>
  <si>
    <t>Salguero  al 677</t>
  </si>
  <si>
    <t>CAP6710695</t>
  </si>
  <si>
    <t>VENTA departamento 4 ambientes con dependencia en Almagro</t>
  </si>
  <si>
    <t>Avenida Corrientes  al 4500</t>
  </si>
  <si>
    <t>CAP6437066</t>
  </si>
  <si>
    <t>VENTA PISO 3 AMB AMPLIO, BALCÓN PISO 12 CORRIDO Y COCHERA, LAS LOMITAS APTO CREDITO</t>
  </si>
  <si>
    <t>SARMIENTO al 300, Las Lomitas</t>
  </si>
  <si>
    <t>CAP6842587</t>
  </si>
  <si>
    <t>Venta Departamento 3 Ambientes - Balcón terraza y dependencia en Recoleta</t>
  </si>
  <si>
    <t>Arenales al 2100</t>
  </si>
  <si>
    <t>COF6908745</t>
  </si>
  <si>
    <t>Oficina en  edificio en pleno centro</t>
  </si>
  <si>
    <t>Oficina en edificio, 1ra Junta (esquina 25 de Mayo) al 2500</t>
  </si>
  <si>
    <t>CAP6800884</t>
  </si>
  <si>
    <t>Venta departamento 3 ambientes Flores</t>
  </si>
  <si>
    <t>Ramon L. Falcon  al 2300</t>
  </si>
  <si>
    <t>CAP6837882</t>
  </si>
  <si>
    <t>Departamento en  VENTA monoambiente</t>
  </si>
  <si>
    <t>Ugarteche al 3200</t>
  </si>
  <si>
    <t>CHO6546318</t>
  </si>
  <si>
    <t>Casa en venta ubicada en Grand bourg, Las Magdalenas</t>
  </si>
  <si>
    <t xml:space="preserve">Las Magdalenas </t>
  </si>
  <si>
    <t>CHO6627210</t>
  </si>
  <si>
    <t>Casa en  venta en neuquen capital</t>
  </si>
  <si>
    <t>pilar  al 4200</t>
  </si>
  <si>
    <t>CHO6699843</t>
  </si>
  <si>
    <t xml:space="preserve">Casa al fondo entrada independiente - Cochera cubierta para 2 autos </t>
  </si>
  <si>
    <t>Jose Marti  al 3100</t>
  </si>
  <si>
    <t>Magda</t>
  </si>
  <si>
    <t>Magda PH Las Victorias</t>
  </si>
  <si>
    <t>CHO3788078</t>
  </si>
  <si>
    <t>VENTA Casa de 3994 m2 de lote y 220 m2 cubiertos, con Costa de Lago, en Villa Verde, Bariloche</t>
  </si>
  <si>
    <t>Lancha Correntoso al 5000</t>
  </si>
  <si>
    <t>Cinco Saltos</t>
  </si>
  <si>
    <t>Terreno Cinco Saltos</t>
  </si>
  <si>
    <t>CAP6406136</t>
  </si>
  <si>
    <t>VENTA MONOAMBIENTE CON COCHERA EN VILLA CRESPO</t>
  </si>
  <si>
    <t>Julian Alvarez 700</t>
  </si>
  <si>
    <t>CAP6621655</t>
  </si>
  <si>
    <t>Dpto. en venta  Mariano Boedo al 200 apto credito</t>
  </si>
  <si>
    <t>Mariano Boedo  al 200</t>
  </si>
  <si>
    <t>CLA6243456</t>
  </si>
  <si>
    <t>VENTA Lote/Terreno 600 m2 Barrio Los Manzanos - San Martin de los Andes</t>
  </si>
  <si>
    <t>cascada rio bonito  al 300</t>
  </si>
  <si>
    <t>CWE6703781</t>
  </si>
  <si>
    <t>Venta Casa Quinta en Colastine Norte</t>
  </si>
  <si>
    <t>C. Guaranies  al 5800</t>
  </si>
  <si>
    <t>Argentina | Santa Fe | La Capital | Santa Fe | Colastiné</t>
  </si>
  <si>
    <t>CLA6580402</t>
  </si>
  <si>
    <t>LOTE TERRENO BARRIO CERRADO COMARCAS DE LUJAN ZONA OESTE</t>
  </si>
  <si>
    <t xml:space="preserve">BARRIO SANTA INES COMARCAS DE LUJAN </t>
  </si>
  <si>
    <t>Terreno Primaterra Diego</t>
  </si>
  <si>
    <t>CAP6739163</t>
  </si>
  <si>
    <t>VENTA Departamento 2 Ambientes  Equipado - Monserrat</t>
  </si>
  <si>
    <t>Sáenz Peña al 1000</t>
  </si>
  <si>
    <t>CPH6150401</t>
  </si>
  <si>
    <t>VENTA PH 3 AMBIENTES PATIO JARDIN TERRAZA PB VILLA BALLESTER</t>
  </si>
  <si>
    <t>Junin al 3900</t>
  </si>
  <si>
    <t>CHICLANA 3065</t>
  </si>
  <si>
    <t>CPH7015250</t>
  </si>
  <si>
    <t>PH en VENTA AVENIDA 25 1567 (ENTRE 64 Y 65) 1567</t>
  </si>
  <si>
    <t>PH AVENIDA 25 1567 (ENTRE 64 Y 65) al 1500</t>
  </si>
  <si>
    <t>CAP6816507</t>
  </si>
  <si>
    <t>4 Ambientes con Cochera, Seguridad 24hs y Pileta</t>
  </si>
  <si>
    <t>Av. Maipú  al 1800</t>
  </si>
  <si>
    <t>CLA6860789</t>
  </si>
  <si>
    <t>Terreno en  Costa Nogal de 1800 mts2</t>
  </si>
  <si>
    <t>costa nogal</t>
  </si>
  <si>
    <t>Argentina | Neuquen | Capital | Valentina Sur Rural</t>
  </si>
  <si>
    <t>CLA6943463</t>
  </si>
  <si>
    <t>TERRENO EN ZONA BUTACO</t>
  </si>
  <si>
    <t>SIN NOMBRE</t>
  </si>
  <si>
    <t>CHO6795817</t>
  </si>
  <si>
    <t>Venta casa 3 ambientes con patio y cochera en Escobar</t>
  </si>
  <si>
    <t>Lamadrid al 500</t>
  </si>
  <si>
    <t>Quinquela Martin 5 C</t>
  </si>
  <si>
    <t>Quinquela Martin 1294</t>
  </si>
  <si>
    <t>Thames 56 - dto 313</t>
  </si>
  <si>
    <t>Thames 56 - 406</t>
  </si>
  <si>
    <t>thames 56 - 211</t>
  </si>
  <si>
    <t>thames 56 - 610</t>
  </si>
  <si>
    <t>CAP6824387</t>
  </si>
  <si>
    <t>Venta Departamento 3 amb en Parque Avellaneda</t>
  </si>
  <si>
    <t>Mozart al 1000</t>
  </si>
  <si>
    <t xml:space="preserve">carlos pellegrini </t>
  </si>
  <si>
    <t>pellegrini</t>
  </si>
  <si>
    <t>CHO5724177</t>
  </si>
  <si>
    <t>Casa en  venta 4amb +casa 2amb; jardín, patio y cochera p/vs autos</t>
  </si>
  <si>
    <t>Avellaneda al 500</t>
  </si>
  <si>
    <t>CHO6557086</t>
  </si>
  <si>
    <t>Casa en  B° Golfo Azul</t>
  </si>
  <si>
    <t>La Loberia 565 B° Golfo Azul.</t>
  </si>
  <si>
    <t>AAP6707610</t>
  </si>
  <si>
    <t>Departamento de tres ambientes en  Villa del Parque</t>
  </si>
  <si>
    <t>Llavallol al 3400</t>
  </si>
  <si>
    <t>CAP6637011</t>
  </si>
  <si>
    <t>OPORTUNIDAD!! Venta Departamento 2 Ambientes en Paternal</t>
  </si>
  <si>
    <t>Magariños Cervantes  al 1700</t>
  </si>
  <si>
    <t>CBU60233 AP6592853</t>
  </si>
  <si>
    <t>Av. Corrientes 5823</t>
  </si>
  <si>
    <t>CAP6740786</t>
  </si>
  <si>
    <t>Venta Departamento tipo PH 3 Ambientes con dos Patios en Belgrano</t>
  </si>
  <si>
    <t>Maure  al 2300</t>
  </si>
  <si>
    <t>CAP6619241</t>
  </si>
  <si>
    <t>Departamento en Caballito</t>
  </si>
  <si>
    <t>José Juan Biedma al 900</t>
  </si>
  <si>
    <t>CPH6351076</t>
  </si>
  <si>
    <t>PH en  venta en La Plata</t>
  </si>
  <si>
    <t>Casa en venta en 37 entre 19 y 20</t>
  </si>
  <si>
    <t>Agüero 226</t>
  </si>
  <si>
    <t>departamento venta agüero 226</t>
  </si>
  <si>
    <t>CAP6637442</t>
  </si>
  <si>
    <t>Departamento en Villa Devoto 3 ambientes a estrenar con balcón y cochera cubierta.</t>
  </si>
  <si>
    <t>Av. Beiro al 4200</t>
  </si>
  <si>
    <t>VHO6872198</t>
  </si>
  <si>
    <t>Casa en Venta - 5 AMB en Santa Isabel II</t>
  </si>
  <si>
    <t>Argentina | G.B.A. Zona Norte | Escobar | Countries/B.Cerrado (Escobar) | Santa Isabel II</t>
  </si>
  <si>
    <t>CHO6593513</t>
  </si>
  <si>
    <t>Casa en Venta calle 68 entre 117 y 118 4 dormitorios lote propio, patio, parrilla, galeria y pileta</t>
  </si>
  <si>
    <t>Casa en Venta calle 68 entre 117 y 118, Galeria, Patio y Pileta</t>
  </si>
  <si>
    <t>CPH6822471</t>
  </si>
  <si>
    <t>Excelente PH en  venta a estrenar</t>
  </si>
  <si>
    <t xml:space="preserve">Ken Lumar 1 </t>
  </si>
  <si>
    <t>VHO6762813</t>
  </si>
  <si>
    <t>Casa en venta - Fincas del Lago</t>
  </si>
  <si>
    <t xml:space="preserve">Venta de casa en Fincas del Lago </t>
  </si>
  <si>
    <t>Argentina | G.B.A. Zona Norte | Escobar | Countries/B.Cerrado (Escobar) | Fincas De Maschwitz</t>
  </si>
  <si>
    <t>UF 22 Paseo Retamas</t>
  </si>
  <si>
    <t>Retamas 300</t>
  </si>
  <si>
    <t>CLA6924052</t>
  </si>
  <si>
    <t>TERRENO LOTE ZONA OESTE BARRIO CERRADO LUJAN  COMARCAS DE LUJAN</t>
  </si>
  <si>
    <t>Barrio Santa Inés Lote 207, Av.Besdtchet Comarcas de Luján</t>
  </si>
  <si>
    <t>CAP6124544</t>
  </si>
  <si>
    <t>Venta Departamento 2 ambientes  cocina independiente en Colegiales</t>
  </si>
  <si>
    <t>Larralde al 2400</t>
  </si>
  <si>
    <t xml:space="preserve">Eleodoro lobos 284 </t>
  </si>
  <si>
    <t>CBU37670 AP6101820</t>
  </si>
  <si>
    <t>Venta  Departamento 2 ambientes apaisados Saavedra Entrega Sept.2025  Cochera opc. OPORTUNIDAD</t>
  </si>
  <si>
    <t>Machain al 3500 1E</t>
  </si>
  <si>
    <t>CAP6757889</t>
  </si>
  <si>
    <t>venta Departamento dos ambientes nuñez Permuta</t>
  </si>
  <si>
    <t>Av libertador  al 6700</t>
  </si>
  <si>
    <t xml:space="preserve">CEREZOS 2 </t>
  </si>
  <si>
    <t>VHO6859388</t>
  </si>
  <si>
    <t>APTO CREDITO!! Casa en Club Privado Loma Verde - Escobar</t>
  </si>
  <si>
    <t>Casa en Club Privado loma verde</t>
  </si>
  <si>
    <t>Argentina | G.B.A. Zona Norte | Escobar | Countries/B.Cerrado (Escobar) | Loma Verde</t>
  </si>
  <si>
    <t>VPN43578 LA4377366</t>
  </si>
  <si>
    <t>Lote Financiado en Almahue Pilar</t>
  </si>
  <si>
    <t>ALMAHUÈ Pilar.  Derqui al 2500</t>
  </si>
  <si>
    <t>Akol Casa 8</t>
  </si>
  <si>
    <t>Blvd. Quetrihue 448</t>
  </si>
  <si>
    <t>CLA6709502</t>
  </si>
  <si>
    <t>VENTA Lote /Terreno 1247 M2 con costa de arroyo Meliquina</t>
  </si>
  <si>
    <t>Villa Meliquina</t>
  </si>
  <si>
    <t>Op. con inmo colega María Belén Nuñez Gerstmayer UF 1 Valle Chapelco</t>
  </si>
  <si>
    <t>Lote 121, Santa Ines</t>
  </si>
  <si>
    <t>Lote en Venta Barrio Cerrado Santa Inés, Comarcas de Lujan</t>
  </si>
  <si>
    <t>CHO6746075</t>
  </si>
  <si>
    <t>Casa - Las Paredes</t>
  </si>
  <si>
    <t>LOS FILTROS al 8000</t>
  </si>
  <si>
    <t>VAP6812830</t>
  </si>
  <si>
    <t>Departamento en  venta en Colegiales. Dos ambientes. Balcon terraza</t>
  </si>
  <si>
    <t>AR BuscaInmueble.com</t>
  </si>
  <si>
    <t>Amenabar al 900</t>
  </si>
  <si>
    <t>CAP6447747</t>
  </si>
  <si>
    <t>Departamento en Venta en Caballito-2 Amb. Balcon todo al Frente -Excelente estado y ubicación !</t>
  </si>
  <si>
    <t>Av. Jose M. Moreno  al 500</t>
  </si>
  <si>
    <t>CAP6711358</t>
  </si>
  <si>
    <t>Departamento 2 amb en Monte Castro</t>
  </si>
  <si>
    <t>Pedro Calderón de la Barca  al 1800</t>
  </si>
  <si>
    <t>CAP6982577</t>
  </si>
  <si>
    <t>Departamento en Parque Chacabuco, dos ambientes y balcón corrido</t>
  </si>
  <si>
    <t>Achaval  al 700</t>
  </si>
  <si>
    <t>CAP6918757</t>
  </si>
  <si>
    <t>Oportunidad Departamento en Venta</t>
  </si>
  <si>
    <t>Avenida Argentina y Leloir Apto crédito</t>
  </si>
  <si>
    <t>VHO6684937</t>
  </si>
  <si>
    <t>OPORTUNIDAD Venta casa 4 dormitorios a la laguna - Santa Isabel - Escobar</t>
  </si>
  <si>
    <t>La pista  al 1500</t>
  </si>
  <si>
    <t>CLO6421523</t>
  </si>
  <si>
    <t>Local en VENTA en Esquina Sobre Av. Vergara Hurlingham Villa Tesei</t>
  </si>
  <si>
    <t>GOBERNADOR VERGARA  al 3000</t>
  </si>
  <si>
    <t>CLA6316829</t>
  </si>
  <si>
    <t xml:space="preserve">Urbanización "Las Marías" </t>
  </si>
  <si>
    <t>CHO6426234</t>
  </si>
  <si>
    <t>Venta Casa 3 Ambientes a Estrenar con Pileta en Barrio Cerrado Haras El Terraplen</t>
  </si>
  <si>
    <t>Haras del Terraplén lote 469</t>
  </si>
  <si>
    <t>CHO7001128</t>
  </si>
  <si>
    <t>Casa en Los Horneros</t>
  </si>
  <si>
    <t>Sucre 1023 28</t>
  </si>
  <si>
    <t>CAP6647253</t>
  </si>
  <si>
    <t>Venta Departamento 3 ambientes con Balcon al frente A nuevo en Colegiales</t>
  </si>
  <si>
    <t>Palpa al 3100</t>
  </si>
  <si>
    <t>CAP6816403</t>
  </si>
  <si>
    <t>Venta Dpto en ¨La Porteña - FAENA¨-Puerto Madero</t>
  </si>
  <si>
    <t>Martha Salotti al 400</t>
  </si>
  <si>
    <t>CHO6732494</t>
  </si>
  <si>
    <t>VENTA Casa 90m2 Lote1500m2  B° Las Balsas Villa La Angostura</t>
  </si>
  <si>
    <t>Cruz del Sur  al 100</t>
  </si>
  <si>
    <t>CAP6835777</t>
  </si>
  <si>
    <t>Venta Departamento San Martin de los Andes 32m2 Lote 65m2 Centro</t>
  </si>
  <si>
    <t>Av San Martin  al 1300</t>
  </si>
  <si>
    <t>OP 132</t>
  </si>
  <si>
    <t>Jose Hernandez 1451 B</t>
  </si>
  <si>
    <t>Lavalle 1131 - Remax Express - Leo Maroni</t>
  </si>
  <si>
    <t>Lavalle 1131</t>
  </si>
  <si>
    <t>CHO6718218</t>
  </si>
  <si>
    <t>VENTA CASA 5 AMBIENTES EN BARRIO CERRADO BOCA RATON PILAR</t>
  </si>
  <si>
    <t>BARRIO CERRADO BOCA RATON</t>
  </si>
  <si>
    <t>Argentina | G.B.A. Zona Norte | Pilar | Countries/B.Cerrado (Pilar) | Boca Raton</t>
  </si>
  <si>
    <t>JAP6844108</t>
  </si>
  <si>
    <t xml:space="preserve">Departamento venta 2 ambientes  con balcón grande luminoso y con lavadero </t>
  </si>
  <si>
    <t>solis 766</t>
  </si>
  <si>
    <t>CAP6730208</t>
  </si>
  <si>
    <t>Venta Hermoso 2 Ambientes con Balcon - Baulera - Permuta</t>
  </si>
  <si>
    <t>EN NEGOCIACION - Bulnes al 1600</t>
  </si>
  <si>
    <t>VHO6475900</t>
  </si>
  <si>
    <t>Casa en Venta - Haras Santa María, El Molino Sur - 5 Ambientes</t>
  </si>
  <si>
    <t>Haras Santa Maria, El Molino Sur</t>
  </si>
  <si>
    <t>Argentina | G.B.A. Zona Norte | Escobar | Countries/B.Cerrado (Escobar) | Haras Santa Maria | El Molino Sur</t>
  </si>
  <si>
    <t>VAP6336270</t>
  </si>
  <si>
    <t>Departamento en Venta - Remeros Beach - SKY II</t>
  </si>
  <si>
    <t>CLA6349340</t>
  </si>
  <si>
    <t>Terreno en venta en Rodeo Del Medio</t>
  </si>
  <si>
    <t>NICOLAS SERPA S/N</t>
  </si>
  <si>
    <t>Argentina | Mendoza | Maipu | Rodeo Del Medio</t>
  </si>
  <si>
    <t>CLA6628077</t>
  </si>
  <si>
    <t>Terreno en  Venta sobre Calle Tirasso - Guaymallén - Mendoza</t>
  </si>
  <si>
    <t>Tirasso y Pedro del Castillo</t>
  </si>
  <si>
    <t>CAP6864182</t>
  </si>
  <si>
    <t>Departamento en  Venta - Guaymallén - Mendoza</t>
  </si>
  <si>
    <t>Suriani al 800</t>
  </si>
  <si>
    <t>Venta Estado de Israel</t>
  </si>
  <si>
    <t>Estado de Israel 4346</t>
  </si>
  <si>
    <t>CLA6306079</t>
  </si>
  <si>
    <t>Casa  a refaccionar con potencial entre importantes avenidas</t>
  </si>
  <si>
    <t>Argentina | Santa Fe | La Capital | Santa Fe | Norte</t>
  </si>
  <si>
    <t>CAP6680101</t>
  </si>
  <si>
    <t>VENTA Departamento  MONOAMBIENTE A  ESTRENAR FULL AMENITIES - Flores</t>
  </si>
  <si>
    <t>Av. Lafuente 37</t>
  </si>
  <si>
    <t>CHO6633501</t>
  </si>
  <si>
    <t>Venta Casa 5 ambientes a reciclar en Villa Adelina</t>
  </si>
  <si>
    <t>Gobernador Castro al 1400</t>
  </si>
  <si>
    <t>CHO6051302</t>
  </si>
  <si>
    <t xml:space="preserve">CASA EN PALPALA </t>
  </si>
  <si>
    <t>RIO COLORADO  260</t>
  </si>
  <si>
    <t>Argentina | Jujuy | Palpala | Palpala</t>
  </si>
  <si>
    <t>CAP6337942</t>
  </si>
  <si>
    <t>VENTA DEPARTAMENTO DEVOTO- APTO CREDITO</t>
  </si>
  <si>
    <t>Ladines  al 3300</t>
  </si>
  <si>
    <t>VHO6639373</t>
  </si>
  <si>
    <t xml:space="preserve">Casa en  venta de 4 amb </t>
  </si>
  <si>
    <t>Pichincha al 1300</t>
  </si>
  <si>
    <t>Argentina | G.B.A. Zona Norte | Vicente López | Villa Adelina</t>
  </si>
  <si>
    <t>VAP6607332</t>
  </si>
  <si>
    <t>Departamento en Venta Y ALQUILER AMOBLADO 2 AMB en Harmony Pilar APTO CREDITO</t>
  </si>
  <si>
    <t>OPORTUNIDAD! Departamento en VENTA  y/o ALQUILER 2 AMB en Harmony Pilar</t>
  </si>
  <si>
    <t>Argentina | G.B.A. Zona Norte | Pilar | Manuel Alberti | Harmony Pilar</t>
  </si>
  <si>
    <t>CPN55403 AP6593779</t>
  </si>
  <si>
    <t>Venta OPORTUNIDAD Departamento 3 ambientes a estrenar - Lagoon Pilar</t>
  </si>
  <si>
    <t>CAP6411494</t>
  </si>
  <si>
    <t>VENTA depto monoambiente divisible apto profesional en San Nicolás</t>
  </si>
  <si>
    <t>Libertad  al 300</t>
  </si>
  <si>
    <t>UF 18 Huenu M2,NC: 16-21-067-8445 de superficie 50m2 aprox, con un espacio guardacoche descubierto</t>
  </si>
  <si>
    <t>Hortensias 255</t>
  </si>
  <si>
    <t>CBA61145 LA6682094</t>
  </si>
  <si>
    <t>VENTA / LOTE  811m² UF11 manzana B  apto comercial Postal Patagonia San Martin de los Andes Patagonia</t>
  </si>
  <si>
    <t>Postal Patagonia</t>
  </si>
  <si>
    <t>CHO6500550</t>
  </si>
  <si>
    <t>Casa/Duplex EN Huaico</t>
  </si>
  <si>
    <t>PEATONAL 5</t>
  </si>
  <si>
    <t>Argentina | Jujuy | Dr Manuel Belgrano | San Salvador De Jujuy | Los Huaicos</t>
  </si>
  <si>
    <t>CHO5087478</t>
  </si>
  <si>
    <t>Casa en Santos Lugares</t>
  </si>
  <si>
    <t>San Carlos  al 1500</t>
  </si>
  <si>
    <t>CAP6798221</t>
  </si>
  <si>
    <t>Venta departamento 3 ambientes en Torre Full amenities en Palermo Hollywood</t>
  </si>
  <si>
    <t>Humboldt al 1900</t>
  </si>
  <si>
    <t>CAP6589230</t>
  </si>
  <si>
    <t xml:space="preserve">Venta Departamento  2 Ambientes. Almagro </t>
  </si>
  <si>
    <t>Av. Belgrano al 3200</t>
  </si>
  <si>
    <t>CLA6629194</t>
  </si>
  <si>
    <t>LOTE EN VENTA SAN SEBASTIAN, AREA 10</t>
  </si>
  <si>
    <t>Santa Clara al sur 120</t>
  </si>
  <si>
    <t xml:space="preserve">lote venta Santa Clara 120 </t>
  </si>
  <si>
    <t>CHO6777248</t>
  </si>
  <si>
    <t>Casa Estilo en 2 plantas zona Villa Pueyrredon</t>
  </si>
  <si>
    <t>Obispo San Alberto al 2700</t>
  </si>
  <si>
    <t>CGL6937031</t>
  </si>
  <si>
    <t>Galpón en Salida de salta | Avenida Asuncion</t>
  </si>
  <si>
    <t>Avenida asuncion  al 1600</t>
  </si>
  <si>
    <t>Argentina | Salta | Capital | Salta | Zona Este</t>
  </si>
  <si>
    <t>CLA6621791</t>
  </si>
  <si>
    <t>VENTA Lote/Terreno  excelente  5.615 m2 Barrio Vallescondido San Martin de los Andes</t>
  </si>
  <si>
    <t xml:space="preserve">Barrio vallescondido </t>
  </si>
  <si>
    <t>CLA6236538</t>
  </si>
  <si>
    <t>VENTA Lote/Terreno 300m2 con Bosque La Balconada Villa Vega, San Martin de los Andes</t>
  </si>
  <si>
    <t>Av. los Lagos</t>
  </si>
  <si>
    <t>Op. con Tizado. Lote 26, Alihuen Alto Nueva Etapa, 1771m2, NC: 15-21-044-2018-0026</t>
  </si>
  <si>
    <t>DeLosCerastios891</t>
  </si>
  <si>
    <t>De Los Cerastios 891</t>
  </si>
  <si>
    <t>VAP6772192</t>
  </si>
  <si>
    <t>Venta Departamento 3 ambientes con amenities y cochera- Torre Wave Libertador - Vicente López</t>
  </si>
  <si>
    <t>Av. del libertador  al 1200</t>
  </si>
  <si>
    <t>Argentina | G.B.A. Zona Norte | Vicente López | Libertador al Río</t>
  </si>
  <si>
    <t>CAP6881551</t>
  </si>
  <si>
    <t>Depto 3 AMB en Venta C/ Cochera y Baulera - APTO CREDITO</t>
  </si>
  <si>
    <t>Pedro Rivera al 2600</t>
  </si>
  <si>
    <t>VHO6742853</t>
  </si>
  <si>
    <t>Casa 6 ambientes dos plantas con parque y cochera.   Villa Adelina. Parque Cisneros.</t>
  </si>
  <si>
    <t>Joaquín V González al 1600</t>
  </si>
  <si>
    <t>Argentina | G.B.A. Zona Norte | San Isidro | Villa Adelina | V.Ade.-P.Cisneros</t>
  </si>
  <si>
    <t>venta horizontes al sur 525</t>
  </si>
  <si>
    <t>lote venta horizontes al sur 525</t>
  </si>
  <si>
    <t>JPH6567001</t>
  </si>
  <si>
    <t>VENTA - PH - 2 AMBIENTES - PATIO - VILLA GENERAL MITRE - PATERNAL</t>
  </si>
  <si>
    <t>Magariños Cervantes al 2200</t>
  </si>
  <si>
    <t>San Juan 81-Matheu</t>
  </si>
  <si>
    <t>San Juan n°81 - Matheu</t>
  </si>
  <si>
    <t>CAP6983667</t>
  </si>
  <si>
    <t>VENTA 2 AMB BCON  VISTA PANORAMICA VILLA CRESPO</t>
  </si>
  <si>
    <t>HONORIO PUEYRREDON 1400</t>
  </si>
  <si>
    <t>CHO6985248</t>
  </si>
  <si>
    <t>Casa en Barrio El Prado Eco Village</t>
  </si>
  <si>
    <t xml:space="preserve">Barrio El Prado Eco Village </t>
  </si>
  <si>
    <t>Argentina | Salta | Capital | El Prado</t>
  </si>
  <si>
    <t>Local UF 5 Paseo Retamas Edificio 1</t>
  </si>
  <si>
    <t>Local PB UF 4 Paseo Retamas Edificio 1</t>
  </si>
  <si>
    <t>CAP6817536</t>
  </si>
  <si>
    <t>VENTA Departamento Villa La Angostura 58m2 Península Manzano Todo Equipado Exclusivo</t>
  </si>
  <si>
    <t>Las Hortensias 215 PB</t>
  </si>
  <si>
    <t>CPH6702114</t>
  </si>
  <si>
    <t>PH - 3 AMB - TERRAZA - VILLA PUEYRREDON - PERMUTA</t>
  </si>
  <si>
    <t>Ladines al 2200</t>
  </si>
  <si>
    <t>CBU60233 AP6592809</t>
  </si>
  <si>
    <t>CAP6923875</t>
  </si>
  <si>
    <t>Departamento en venta en cipolletti</t>
  </si>
  <si>
    <t>arenales esquina don bosco</t>
  </si>
  <si>
    <t>JAP6257911</t>
  </si>
  <si>
    <t>Venta 2 ambientes luminoso remodelado con cochera Oportunidad</t>
  </si>
  <si>
    <t>Azcuenaga | al 1400</t>
  </si>
  <si>
    <t>CAP6472661</t>
  </si>
  <si>
    <t>VENTA SEMIPISO 4 AMB. C/ DEPENDENCIA, COCHERA Y BAULERA. RECOLETA. APTO CREDITO.</t>
  </si>
  <si>
    <t>Vicente Lopez al 1700</t>
  </si>
  <si>
    <t>CAP6401011</t>
  </si>
  <si>
    <t>Venta Departamento 2 Dormitorios Reciclado Balvanera</t>
  </si>
  <si>
    <t>AGUERO  al 700</t>
  </si>
  <si>
    <t>Av Libertador 5470</t>
  </si>
  <si>
    <t>Arregui 5418  PB 2</t>
  </si>
  <si>
    <t>sanchez bustamante 1180</t>
  </si>
  <si>
    <t>CLA6677736</t>
  </si>
  <si>
    <t>Terreno en Ampuap 5</t>
  </si>
  <si>
    <t>AMPUAP</t>
  </si>
  <si>
    <t>CAP6968948</t>
  </si>
  <si>
    <t>Venta, Departamento, 3 ambientes, balcon, terraza, Parrilla, Saenz Peña</t>
  </si>
  <si>
    <t>Giorello al 1100</t>
  </si>
  <si>
    <t>VAP6565576</t>
  </si>
  <si>
    <t>Venta Departamento 4 ambientes Luminoso - Villa Urquiza</t>
  </si>
  <si>
    <t>Avenida Olazabal  al 4000</t>
  </si>
  <si>
    <t>CHO4657463</t>
  </si>
  <si>
    <t>Casa en venta 4 dormitorios calle 487 entre 15 y 15 bis Gonnet Bell La Plata</t>
  </si>
  <si>
    <t>Calle 487 Nº2035 entre 15 y 15 bis, Gonnet</t>
  </si>
  <si>
    <t>CLA6909143</t>
  </si>
  <si>
    <t xml:space="preserve">La Verbena Calle 28 </t>
  </si>
  <si>
    <t>CBU44879 AP4506740</t>
  </si>
  <si>
    <t>Venta Departamento - P3 D -  2 ambientes - Salta 220 - Centro - Bariloche</t>
  </si>
  <si>
    <t>Salta al 200</t>
  </si>
  <si>
    <t>CAP4510385</t>
  </si>
  <si>
    <t>Oportunidad Venta Departamento 4 amb 82M2</t>
  </si>
  <si>
    <t>MANGE 822</t>
  </si>
  <si>
    <t>CAP6812130</t>
  </si>
  <si>
    <t>Venta departamento 2 ambientes con balcon Parque Patricios</t>
  </si>
  <si>
    <t>Salcedo al 2900</t>
  </si>
  <si>
    <t>CHO6781693</t>
  </si>
  <si>
    <t>ALQUILER - Casa de 2 dormitorios en Los Coihues, Bariloche</t>
  </si>
  <si>
    <t>Los Coihues,  San Carlos de Bariloche</t>
  </si>
  <si>
    <t>Argentina | Rio Negro | Bariloche | San Carlos De Bariloche | Villa Los Coihues</t>
  </si>
  <si>
    <t>Av. Rivadavia 3521</t>
  </si>
  <si>
    <t>CAP6280260</t>
  </si>
  <si>
    <t>Venta Departamento de 3 ambientes con balcon, toilette, cochera y amenities en Nuñez</t>
  </si>
  <si>
    <t>11 de Septiembre  al 2700</t>
  </si>
  <si>
    <t>VCO50955 AP6447227</t>
  </si>
  <si>
    <t>Departamento en Venta a Estrenar - Arboris I</t>
  </si>
  <si>
    <t>Árboris I | Angra - Remeros Beach</t>
  </si>
  <si>
    <t>CAP5158488</t>
  </si>
  <si>
    <t>Venta Departamento 3 Ambientes y dependencia en Las Cañitas, parrilla y piscina</t>
  </si>
  <si>
    <t>Gorostiaga  al 1700</t>
  </si>
  <si>
    <t>Lavalle 376 - Susana Fernandez - Yacoub Palermo</t>
  </si>
  <si>
    <t>Lavalle 376</t>
  </si>
  <si>
    <t>CHO6373352</t>
  </si>
  <si>
    <t>Casa en Venta 3 dormitorios Barrio Santa Lucia Pilar del Este</t>
  </si>
  <si>
    <t>Barrio Santa Lucia Pilar del Este</t>
  </si>
  <si>
    <t>Casa Tres Cerritos Los Jazmines 700</t>
  </si>
  <si>
    <t>Casa En Venta Tres Cerritos Los Jazmines 700</t>
  </si>
  <si>
    <t>Tres Cerritos Los Jazmines 700</t>
  </si>
  <si>
    <t>CLO6578657</t>
  </si>
  <si>
    <t>LOCAL EN GALERIA DEL SOL RETIRO</t>
  </si>
  <si>
    <t>LOCAL CON DEPOSITO GALERIA DEL SOL FLORIDA 860  RETIRO</t>
  </si>
  <si>
    <t>CGA6807896</t>
  </si>
  <si>
    <t>Cochera en  venta en edificio, Caballito, Caballito Sur</t>
  </si>
  <si>
    <t>San Jose de Calasanz  al 600</t>
  </si>
  <si>
    <t>CHO6500928</t>
  </si>
  <si>
    <t>Venta Casa 5 ambientes en Barrio Privado Pilar Village</t>
  </si>
  <si>
    <t>Barrio Cerrado Pilar Village Chubut al 600</t>
  </si>
  <si>
    <t>Argentina | G.B.A. Zona Norte | Pilar | Countries/B.Cerrado (Pilar) | Pilar Village</t>
  </si>
  <si>
    <t>CHO6765553</t>
  </si>
  <si>
    <t>Casa en Venta 3 dormitorios San Ramon Pilar del Este- Financia</t>
  </si>
  <si>
    <t>CHO6514007</t>
  </si>
  <si>
    <t>Casa en  Venta 3 dormitorios San Alfonso Pilar del Este</t>
  </si>
  <si>
    <t>Barrio San Alfonso</t>
  </si>
  <si>
    <t>callao 1330</t>
  </si>
  <si>
    <t>CAP6425498</t>
  </si>
  <si>
    <t>DEPARTAMENTO EN RECOLETA DE 4 AMBIENTES MAS DEPENDENCIA DE SERVICIO</t>
  </si>
  <si>
    <t>Beruti al 2800</t>
  </si>
  <si>
    <t>CAP6809032</t>
  </si>
  <si>
    <t>DEPARTAMENTO EN VENTA 4 AMBIENTES RECICLADO EN SAN TELMO</t>
  </si>
  <si>
    <t>Defensa al 1400</t>
  </si>
  <si>
    <t>CFC6756616</t>
  </si>
  <si>
    <t>Fondo de Comercio Café de especialidad – Bar – Brunch</t>
  </si>
  <si>
    <t>Gral. Lopez  al 3000</t>
  </si>
  <si>
    <t>Business Permit</t>
  </si>
  <si>
    <t>BOUCHARD 100</t>
  </si>
  <si>
    <t>Nuestra Señora de la Merced 5322</t>
  </si>
  <si>
    <t>CHO6864495</t>
  </si>
  <si>
    <t xml:space="preserve">Casa en Venta City Bell, 4 dormitorios, escritorio, quincho, pileta </t>
  </si>
  <si>
    <t>18 al 900 entre 462 y 464</t>
  </si>
  <si>
    <t>Loteo Selvana I, nomenclatura catastral 16-20-068-9843, que una vez realizada la subdivisión será denominado internamente como unidad funcional Nº 12 de 435 m2</t>
  </si>
  <si>
    <t>Caviahue y Av. Nahuel Haupi</t>
  </si>
  <si>
    <t>Venta Soler</t>
  </si>
  <si>
    <t>Soler 5738</t>
  </si>
  <si>
    <t>CPH6419004</t>
  </si>
  <si>
    <t>PH - LOMAS DEL MIRADOR- 4 AMB- 2 BAÑOS- COCHERA-TERRAZA - LAVADERO -PERMUTA-FINANCIACIÓN DIRECTA</t>
  </si>
  <si>
    <t>MORENO al 3000</t>
  </si>
  <si>
    <t>CHO5997368</t>
  </si>
  <si>
    <t>Casa en Haedo Norte</t>
  </si>
  <si>
    <t>Paris al 400</t>
  </si>
  <si>
    <t>CHO6049901</t>
  </si>
  <si>
    <t>Venta Casa 4 ambientes en complejo cerrado con seguridad en Vicente López</t>
  </si>
  <si>
    <t>Drysdale  al 5400</t>
  </si>
  <si>
    <t>CAP6871558</t>
  </si>
  <si>
    <t xml:space="preserve">Venta dos ambientes en Colegiales a estrenar </t>
  </si>
  <si>
    <t>Conde  al 1200</t>
  </si>
  <si>
    <t>loyola</t>
  </si>
  <si>
    <t>loyola 1129</t>
  </si>
  <si>
    <t>CAP6570787</t>
  </si>
  <si>
    <t>VENTA DPTO 4 AMBS RECICLADO EN CABALLITO CON BALCON CORRIDO, TODO LUZ</t>
  </si>
  <si>
    <t>av. Rivadavia  al 5200</t>
  </si>
  <si>
    <t xml:space="preserve">LOTE EN VENTA , MASCHWITZ </t>
  </si>
  <si>
    <t>LAMBARE 448</t>
  </si>
  <si>
    <t>Argentina | G.B.A. Zona Norte | Escobar | Ingeniero Maschwitz | Zelaya</t>
  </si>
  <si>
    <t>CAP2991515</t>
  </si>
  <si>
    <t>Venta Departamento 2 ambientes en Tigre con cochera. Hermoso complejo! Oportunidad!!!</t>
  </si>
  <si>
    <t>montevideo al 1300</t>
  </si>
  <si>
    <t>CGA6673233</t>
  </si>
  <si>
    <t>Venta Cochera en  Almagro</t>
  </si>
  <si>
    <t>Corrientes al 3800</t>
  </si>
  <si>
    <t>CBU60233 AP6592896</t>
  </si>
  <si>
    <t>CLA4693523</t>
  </si>
  <si>
    <t>VENTA Lote/Terreno 10 Has Genoveva Beveraggi Colonia Suiza Bariloche</t>
  </si>
  <si>
    <t>Genoveva Bevergagi, Bariloche</t>
  </si>
  <si>
    <t>Argentina | Rio Negro | Bariloche | Colonia Suiza</t>
  </si>
  <si>
    <t>CAP5627451</t>
  </si>
  <si>
    <t>Venta Departamento 3 ambientes Recoleta Último piso edificio antiguo de categoría A reciclar</t>
  </si>
  <si>
    <t>Juncal al 2000</t>
  </si>
  <si>
    <t>CAP5109835</t>
  </si>
  <si>
    <t>VENTA DEPARTAMENTO 3 AMBIENTES VILLA DEL PARQUE</t>
  </si>
  <si>
    <t>Concordia  al 2100</t>
  </si>
  <si>
    <t>DEL COMERCIO 1269</t>
  </si>
  <si>
    <t>JPH6640188</t>
  </si>
  <si>
    <t xml:space="preserve">PH en VENTA EN PLANTA BAJA IMPECABLE ESTADO A METROS DEL PARQUE CHACABUCO </t>
  </si>
  <si>
    <t>EMILIO MITRE al 1400</t>
  </si>
  <si>
    <t>CLA6541937</t>
  </si>
  <si>
    <t>City Bell - Último terreno en Barrio Cerrado "Cañitas Bell I" - ESCRITURADO</t>
  </si>
  <si>
    <t>Calle 30 E/ 473 BIS Y 474</t>
  </si>
  <si>
    <t>CPH6658311</t>
  </si>
  <si>
    <t>Venta PH tipo Casa 4 Ambientes con Terraza en Villa Devoto</t>
  </si>
  <si>
    <t>Mercedes  al 4600</t>
  </si>
  <si>
    <t>Paraguay 3827</t>
  </si>
  <si>
    <t>Depto venta Palermo</t>
  </si>
  <si>
    <t>CAP6253711</t>
  </si>
  <si>
    <t xml:space="preserve">Departamento en venta </t>
  </si>
  <si>
    <t>Av luro  al 2500</t>
  </si>
  <si>
    <t>CAP6917146</t>
  </si>
  <si>
    <t>Departamento | Venta | Juan Pablo II | 3 habitaciones</t>
  </si>
  <si>
    <t>Juan Pablo II 7</t>
  </si>
  <si>
    <t>CLA6673168</t>
  </si>
  <si>
    <t>Terreno en  Venta La Celestina Mza I</t>
  </si>
  <si>
    <t>Terreno La Celestina Mza I</t>
  </si>
  <si>
    <t>Venta departamento Belgrano 11 de Septiembre</t>
  </si>
  <si>
    <t>11 de Septiembre 1888</t>
  </si>
  <si>
    <t>VAP6716120</t>
  </si>
  <si>
    <t>Departamento en  Venta de 3 ambientes en Palermo</t>
  </si>
  <si>
    <t>Migueletes  al 700</t>
  </si>
  <si>
    <t>CBU54762 AP6140835</t>
  </si>
  <si>
    <t>VENTA departamento duplex 3 ambientes Patio Jardin propio en Villa Urquiza</t>
  </si>
  <si>
    <t>Donado 2000</t>
  </si>
  <si>
    <t>CAP6617214</t>
  </si>
  <si>
    <t>Departamento 2 Amb Frente -Cochera - Amoblado - - San Bernardo- Con Financiacion Directa</t>
  </si>
  <si>
    <t>AV.MITRE al 2900</t>
  </si>
  <si>
    <t>Argentina | Interior Buenos Aires | De La Costa | San Bernardo Del Tuyu</t>
  </si>
  <si>
    <t>CAP6840679</t>
  </si>
  <si>
    <t xml:space="preserve">Departamento dos ambientes en VENTA al frente </t>
  </si>
  <si>
    <t>Arenales  al 1700</t>
  </si>
  <si>
    <t>JAP6562799</t>
  </si>
  <si>
    <t>Departamento en venta 3 ambientes en Villa Ballester con balcon</t>
  </si>
  <si>
    <t>Belgrano 4721</t>
  </si>
  <si>
    <t>AgustinReferido</t>
  </si>
  <si>
    <t xml:space="preserve">Referido 2 amb Villa Crespo </t>
  </si>
  <si>
    <t>CBU42019 AP5804372</t>
  </si>
  <si>
    <t>Departamento 1 Ambiente vista al lago 2E en pozo- Jardín Botánico - Bariloche - Patagonia</t>
  </si>
  <si>
    <t xml:space="preserve">Venta </t>
  </si>
  <si>
    <t>DOMUS LIBERTADOR</t>
  </si>
  <si>
    <t>Av. Libertador 2899 Piso 4</t>
  </si>
  <si>
    <t>CAP6214158</t>
  </si>
  <si>
    <t>Departamento en Pozo Edificio Neu, Barrio Belgrano, San Carlos de Bariloche</t>
  </si>
  <si>
    <t>CHO6440257</t>
  </si>
  <si>
    <t>Venta Casa 3dor CIPOLLETTI</t>
  </si>
  <si>
    <t>9 de julio 1373</t>
  </si>
  <si>
    <t>CHO6871958</t>
  </si>
  <si>
    <t>Departamento en Tres Cerritos</t>
  </si>
  <si>
    <t>Los Parrales  al 400</t>
  </si>
  <si>
    <t>UF 9 Loteo Quetrihue Loteo A</t>
  </si>
  <si>
    <t>UF 14 Loteo B Quetrihue</t>
  </si>
  <si>
    <t>CBU41464 AP6741850</t>
  </si>
  <si>
    <t>VENTA Departamento 2 amb Vista al Lago  - A estrenar Baulera y cochera - Puerto Manzano Villa la Angostura</t>
  </si>
  <si>
    <t>Avenida Arrayanes al 7000</t>
  </si>
  <si>
    <t>Argentina | Neuquen | Villa La Angostura | Faldeo Manzano</t>
  </si>
  <si>
    <t>CBU59337 AP6533756</t>
  </si>
  <si>
    <t>VENTA Departamento 2 ambientes 62,10 m2 UF 71 Pozo, Paseo Retamas, Villa la Angostura</t>
  </si>
  <si>
    <t>CAP6300558</t>
  </si>
  <si>
    <t>Venta Departamento Monoambiente en Barrio Norte con Baulera</t>
  </si>
  <si>
    <t>Ayacucho  al 600</t>
  </si>
  <si>
    <t>CLA6949078</t>
  </si>
  <si>
    <t>Terrenos en Rio Blanco</t>
  </si>
  <si>
    <t>LOTEO PAYPAYA</t>
  </si>
  <si>
    <t>CHO6640419</t>
  </si>
  <si>
    <t>Casa en  venta ubicada en Barrio San Carlos</t>
  </si>
  <si>
    <t>Barrio San Carlos</t>
  </si>
  <si>
    <t>CAP6928439</t>
  </si>
  <si>
    <t>Duplex A estrenar 2 ambientes 2 baños balcon Villa Urquiza</t>
  </si>
  <si>
    <t>Bauness al 1100</t>
  </si>
  <si>
    <t>Pedro Martinez 128</t>
  </si>
  <si>
    <t>CCO56858 AP6151581</t>
  </si>
  <si>
    <t>Departamento 3 Ambientes - Civis Tortugas</t>
  </si>
  <si>
    <t>Argentina | G.B.A. Zona Norte | Pilar | Tortugas I y II</t>
  </si>
  <si>
    <t>VAP6817616</t>
  </si>
  <si>
    <t>Alquiler 2 amb.  - HOMES 2 - Nordelta</t>
  </si>
  <si>
    <t>Argentina | G.B.A. Zona Norte | Tigre | Countries/B.Cerrado (Tigre) | Nordelta | El Palmar | Homes II</t>
  </si>
  <si>
    <t>VHO6890326</t>
  </si>
  <si>
    <t xml:space="preserve">Duplex En Alquiler </t>
  </si>
  <si>
    <t>Alquiler De Duplex 4 amb Beccar, San Isidro</t>
  </si>
  <si>
    <t>elpidio gonzales</t>
  </si>
  <si>
    <t>Elpidio gonzales</t>
  </si>
  <si>
    <t>CHO6403072</t>
  </si>
  <si>
    <t>Casa en  venta Villa hipodromo</t>
  </si>
  <si>
    <t>Montes de Oca al 1000</t>
  </si>
  <si>
    <t>CAP6735295</t>
  </si>
  <si>
    <t>Venta departamento Godoy Cruz en complejo privado, Puente Olive, Benegas , Godoy Cruz Dto 12</t>
  </si>
  <si>
    <t>CHO6843440</t>
  </si>
  <si>
    <t xml:space="preserve">CASA EN VENTA BARRIO MILCAYAC </t>
  </si>
  <si>
    <t xml:space="preserve">BARRIO MILCAYAC </t>
  </si>
  <si>
    <t>CAP6524299</t>
  </si>
  <si>
    <t>Beauchef al 200</t>
  </si>
  <si>
    <t>Dueño Directo - Saavedra 464 - ADRI</t>
  </si>
  <si>
    <t>Saavedra 464</t>
  </si>
  <si>
    <t>CGA6794347</t>
  </si>
  <si>
    <t>Cocheras Premium con Renta! Ideal Inversión.</t>
  </si>
  <si>
    <t>Arenales al 3300</t>
  </si>
  <si>
    <t>CBU59677 AP6512996</t>
  </si>
  <si>
    <t>Departamento en venta -1 ambiente con Terraza - Edificio Donado - Villa Urquiza</t>
  </si>
  <si>
    <t>Departamento en venta 1 ambiente con Terraza - Edificio Donado - Villa Urquiza</t>
  </si>
  <si>
    <t>CLA6492706</t>
  </si>
  <si>
    <t>Terreno  INDEPENDENCIA Y WINTER</t>
  </si>
  <si>
    <t>INDEPENDENCIA Y WINTER</t>
  </si>
  <si>
    <t>CLO5935247</t>
  </si>
  <si>
    <t>Local en  venta OPORTUNIDAD PROFESIONALES!!</t>
  </si>
  <si>
    <t>Local comercial  a 50 mts de A. del Valle al 7400 lado  este</t>
  </si>
  <si>
    <t>CHO6477632</t>
  </si>
  <si>
    <t>Casa en  12 de Octubre</t>
  </si>
  <si>
    <t>Isabel la catolica al 100</t>
  </si>
  <si>
    <t>CLA6466332</t>
  </si>
  <si>
    <t>Terreno en  La Verbena</t>
  </si>
  <si>
    <t>La verbena calle 15 lote 3</t>
  </si>
  <si>
    <t>UF 27 Loteo Quetrihue Loteo B</t>
  </si>
  <si>
    <t>Op. con Finca Sur. Lote en Piedra San Francisco</t>
  </si>
  <si>
    <t>JAP6599541</t>
  </si>
  <si>
    <t>Departamento de 2 ambientes a Estrenar con amenities - unica unidad disponible -</t>
  </si>
  <si>
    <t>Gregorio de laferrere  al 1100</t>
  </si>
  <si>
    <t>CBU49671 AP6414022</t>
  </si>
  <si>
    <t>Departamento Monoambiente dividido A Estrenar Balcon frente  Villa Urquiza VENTA</t>
  </si>
  <si>
    <t>CAP6085523</t>
  </si>
  <si>
    <t>Departamento en  4 ambientes en Saavedra con amenities</t>
  </si>
  <si>
    <t>Correa al 2600</t>
  </si>
  <si>
    <t>CHO6307252</t>
  </si>
  <si>
    <t>Casa en Venta 4 amb - Barrio San Ramón - Pilar del Este</t>
  </si>
  <si>
    <t>Pilar del Este - San Ramon</t>
  </si>
  <si>
    <t>CAP6809352</t>
  </si>
  <si>
    <t>Departamento en  venta 2 ambientes Full amenities</t>
  </si>
  <si>
    <t>Malabia al 2300</t>
  </si>
  <si>
    <t>PTACOMP0012</t>
  </si>
  <si>
    <t>CASA EN CALLE 492 Y 27</t>
  </si>
  <si>
    <t xml:space="preserve">27 Y 492 </t>
  </si>
  <si>
    <t xml:space="preserve">826 Santa Clara </t>
  </si>
  <si>
    <t xml:space="preserve">lote 826 Santa Clara </t>
  </si>
  <si>
    <t>VLA5595101</t>
  </si>
  <si>
    <t>Terreno en  Venta Barrio El Cazador - Escobar</t>
  </si>
  <si>
    <t>CAP6718465</t>
  </si>
  <si>
    <t>Hermoso 3 ambientes con Jardin de Invierno y Patio en Belgrano</t>
  </si>
  <si>
    <t>Roosvelt  al 2700</t>
  </si>
  <si>
    <t>CAP6678664</t>
  </si>
  <si>
    <t>Departamento en  venta en gran lote a 100 mts de Avda A del Valle</t>
  </si>
  <si>
    <t>Esmeralda  al 2500 OPORTUNIDAD lote con departamento al fondo</t>
  </si>
  <si>
    <t>VAP6740813</t>
  </si>
  <si>
    <t xml:space="preserve">Departamento en  venta monoambiente en Coghlan </t>
  </si>
  <si>
    <t>Roosevelt Franklin D.  al 3100</t>
  </si>
  <si>
    <t>CAP6880903</t>
  </si>
  <si>
    <t>Departamento en venta bajo la viña</t>
  </si>
  <si>
    <t>bajo la viña calle raul noceti</t>
  </si>
  <si>
    <t>CAP5680940</t>
  </si>
  <si>
    <t>VENTA  MONOAMBIENTE BALVANERA -OPORTUNIDAD- DIVISIBLE-FACULTADES-SUBTES B-H-D APTO PROFESIONAL</t>
  </si>
  <si>
    <t>Lavalle  al 2100</t>
  </si>
  <si>
    <t>CAP6620313</t>
  </si>
  <si>
    <t>Venta Departamento 2 ambientes con Balcon buena altura en Villa Crespo</t>
  </si>
  <si>
    <t>CPH5468212</t>
  </si>
  <si>
    <t>VENTA PH 3 ambientes - Sin Expensas !! Gran patio y Terraza Propia !!</t>
  </si>
  <si>
    <t>Gabriela Mistral al 3200</t>
  </si>
  <si>
    <t>CAP6072374</t>
  </si>
  <si>
    <t>VENTA DEPARTAMENTO 4 AMBIENTES EN ALMAGRO C/LAVADERO INDEPENDIENTE X ESCALERA</t>
  </si>
  <si>
    <t>Rawson al 200</t>
  </si>
  <si>
    <t>VHO6680870</t>
  </si>
  <si>
    <t>Casa en venta en San Sebastian Area 1 a Estrenar</t>
  </si>
  <si>
    <t>San Sebastian Area 1 Pilar</t>
  </si>
  <si>
    <t>CAP6318177</t>
  </si>
  <si>
    <t>Monoambiente con Pileta en Venta en Morón</t>
  </si>
  <si>
    <t>Ortiz de Rosas al 600</t>
  </si>
  <si>
    <t>VAP6700935</t>
  </si>
  <si>
    <t xml:space="preserve">Departamento en  REMEROS BEACH - 3 ambientes con la mejor vista Crystal Lagoon OPOTUNIDAD INVERSION </t>
  </si>
  <si>
    <t>camino de los remeros al 1500</t>
  </si>
  <si>
    <t>CPH6353668</t>
  </si>
  <si>
    <t>Dúplex de dos dormitorios y cochera en Paraná</t>
  </si>
  <si>
    <t>Dúplex de dos dormitorios en Paraná</t>
  </si>
  <si>
    <t xml:space="preserve">Argentina | Entre Rios | Parana </t>
  </si>
  <si>
    <t>CHO6089217</t>
  </si>
  <si>
    <t>Casa en  venta en Villa Mitre</t>
  </si>
  <si>
    <t>Villa Mitre</t>
  </si>
  <si>
    <t>Argentina | Salta | Capital | Salta | Va.Mitre</t>
  </si>
  <si>
    <t>CAP5655889</t>
  </si>
  <si>
    <t>Venta Departamento 3 ambientes, luz y vista con balcón aterrazado y Cochera en Belgrano</t>
  </si>
  <si>
    <t>Ciudad de la Paz al 1700</t>
  </si>
  <si>
    <t>CAP6792648</t>
  </si>
  <si>
    <t>VENTA Departamento San Martin de los Andes 52,61M2 B° La Cascada</t>
  </si>
  <si>
    <t>Quinquela Martín y Ruta 40</t>
  </si>
  <si>
    <t>Argentina | Neuquen | Lacar | San Martin De Los Andes | La Cascada</t>
  </si>
  <si>
    <t>VAP6483440</t>
  </si>
  <si>
    <t>Enorme Semipiso 3 AMB luminosos (Dep y Baulera) en Libertador y Sucre</t>
  </si>
  <si>
    <t>Libertador al 5800</t>
  </si>
  <si>
    <t>Venta Departamento en Villa Urquiza</t>
  </si>
  <si>
    <t>AR EnBuenosAires</t>
  </si>
  <si>
    <t>Pedro Ignacio Rivera 3028 2D</t>
  </si>
  <si>
    <t>CAP5246442</t>
  </si>
  <si>
    <t>Departamento 2 amb a estrenar en  Villa Devoto</t>
  </si>
  <si>
    <t>Jose Cubas al 3300</t>
  </si>
  <si>
    <t>CPH6613449</t>
  </si>
  <si>
    <t>PH, lomas de zamora, patio, jardin, cochera, 3 ambientes, excelente estado, entrada independiente</t>
  </si>
  <si>
    <t>Mentruyt 85</t>
  </si>
  <si>
    <t>CHO6678923</t>
  </si>
  <si>
    <t>CASA 3 AMB, JOSE MARMOL, FONDO, JARDIN, ADROGUE</t>
  </si>
  <si>
    <t>KING  al 300 JOSE MARMOL</t>
  </si>
  <si>
    <t>Argentina | G.B.A. Zona Sur | Almirante Brown | Jose Marmol</t>
  </si>
  <si>
    <t>CLA6311493</t>
  </si>
  <si>
    <t>Venta, Terreno, Lote, Saenz Peña, Santos Lugares.</t>
  </si>
  <si>
    <t>Ameghino  al 3200</t>
  </si>
  <si>
    <t>CAP6808719</t>
  </si>
  <si>
    <t>Departamento con vista al lago y con cochera en Torre O'connor Bariloche</t>
  </si>
  <si>
    <t>CAP6727112</t>
  </si>
  <si>
    <t xml:space="preserve">Excelente Departamento (38 m2) AMUEBLADO a la Venta en VILLA URQUIZA </t>
  </si>
  <si>
    <t>Quesada al 5100 - Villa Urquiza - CABA</t>
  </si>
  <si>
    <t>CAP6637315</t>
  </si>
  <si>
    <t>Increible Dpto. 5 ambientes con escritorio y dependencia en Recoleta con amplios balcones.</t>
  </si>
  <si>
    <t>Arenales  al 2300</t>
  </si>
  <si>
    <t>VHO6860280</t>
  </si>
  <si>
    <t xml:space="preserve">Casa en  santa isabel con jardin </t>
  </si>
  <si>
    <t>CAP6595074</t>
  </si>
  <si>
    <t>Venta departamento 4 ambientes en  Greenville Polo</t>
  </si>
  <si>
    <t xml:space="preserve">Greenville Polo Resort  </t>
  </si>
  <si>
    <t>Argentina | G.B.A. Zona Sur | Berazategui | Guillermo E Hudson | Greenville Polo &amp; Resort</t>
  </si>
  <si>
    <t>CAP6633621</t>
  </si>
  <si>
    <t>VENTA dpto 2 amb Torre Nuñez cochera amenities</t>
  </si>
  <si>
    <t>Jaramillo  al 1600</t>
  </si>
  <si>
    <t>VAP6068530</t>
  </si>
  <si>
    <t>Venta departamento 3 ambientes c/ jardin y  cochera - Armony - Puerto Escondido - Nordelta</t>
  </si>
  <si>
    <t>avenida del puerto al 600</t>
  </si>
  <si>
    <t>CHO6711959</t>
  </si>
  <si>
    <t>Casa en Barrio Universitario</t>
  </si>
  <si>
    <t>Salvador Mazza  al 300</t>
  </si>
  <si>
    <t>VAP6605293</t>
  </si>
  <si>
    <t>Departamento  de 2 ambientes en Venta Apto Crédito en Villa del Lago - Pilar</t>
  </si>
  <si>
    <t>Av. Champagnat 1200 Pilar</t>
  </si>
  <si>
    <t>Argentina | G.B.A. Zona Norte | Pilar | Countries/B.Cerrado (Pilar) | Villa del Lago</t>
  </si>
  <si>
    <t>CAP6790237</t>
  </si>
  <si>
    <t>Venta Departamento Monoambiente con Balcón y amenities en Palermo, Palermo Hollywood</t>
  </si>
  <si>
    <t>AV CORDOBA al 5800</t>
  </si>
  <si>
    <t>CHO6797755</t>
  </si>
  <si>
    <t>Casa con Pileta en Plottier</t>
  </si>
  <si>
    <t>Cuarzo 50</t>
  </si>
  <si>
    <t>CHO5707928</t>
  </si>
  <si>
    <t>VENTA Casa Ph 3 dormitorios 142m2 Lote 300m2 Calle Orión Bº Las Balsas Villa la Angostura</t>
  </si>
  <si>
    <t>Orion</t>
  </si>
  <si>
    <t>CLA6351579</t>
  </si>
  <si>
    <t>VENTA Lote/Terreno 407m2 UF24 loteo Quetrihue B° Selva Triste Villa la Angostura</t>
  </si>
  <si>
    <t xml:space="preserve">Quetrihue </t>
  </si>
  <si>
    <t>UF 70 Paseo Retamas</t>
  </si>
  <si>
    <t>Las Retamas 200</t>
  </si>
  <si>
    <t>Av Balbin 4543 piso 6 unidad E ( monoambiente)</t>
  </si>
  <si>
    <t>CBU60233 AP6592888</t>
  </si>
  <si>
    <t>Venta Departamento Tres Ambientes vista al lago a 5 minutos del centro</t>
  </si>
  <si>
    <t>CAP6394782</t>
  </si>
  <si>
    <t>VENTA MONOAMBIENTE APTO CRÉDITO PALERMO HOLLYWOOD</t>
  </si>
  <si>
    <t>CHARCAS al 4900</t>
  </si>
  <si>
    <t>Yerbal 1500</t>
  </si>
  <si>
    <t>Ecuador 4770</t>
  </si>
  <si>
    <t>lote 290 y 291 Magallanes</t>
  </si>
  <si>
    <t>doble lote venta Magallanes</t>
  </si>
  <si>
    <t>2 el cano</t>
  </si>
  <si>
    <t xml:space="preserve">terreno venta el cano 2 </t>
  </si>
  <si>
    <t>calle 63</t>
  </si>
  <si>
    <t>70Beti</t>
  </si>
  <si>
    <t>Casa en el Sur</t>
  </si>
  <si>
    <t>CAP6865177</t>
  </si>
  <si>
    <t>Departamento interno en Candioti Norte</t>
  </si>
  <si>
    <t>Guemes al 4000</t>
  </si>
  <si>
    <t>CAP6670184</t>
  </si>
  <si>
    <t>VENTA DEPARTAMENTO 2 AMBIENTES - GARAGE Y BAULERA - AMENITIES - PUERTO MADERO</t>
  </si>
  <si>
    <t>Azucena Villaflor  al 300</t>
  </si>
  <si>
    <t>CAP6789318</t>
  </si>
  <si>
    <t>Venta Departamento 2 Ambientes en Barrio Norte</t>
  </si>
  <si>
    <t>Tucuman  al 1700</t>
  </si>
  <si>
    <t>UF 7 Postal Patagónia</t>
  </si>
  <si>
    <t>VAP6617016</t>
  </si>
  <si>
    <t>Venta Departamento Dos ambientes con Baulera en Balvanera</t>
  </si>
  <si>
    <t>Avenida Belgrano  al 1900</t>
  </si>
  <si>
    <t>SARMIENTO 2232 - REMAX EXPRESS</t>
  </si>
  <si>
    <t>Sarmiento 2232</t>
  </si>
  <si>
    <t>CGL6373557</t>
  </si>
  <si>
    <t>Galpón y Cocheras en Temperley centro, galpon, deposito, lomas de zamora, inversion</t>
  </si>
  <si>
    <t>Liniers  al 300</t>
  </si>
  <si>
    <t>Argentina | G.B.A. Zona Sur | Lomas De Zamora (Partido) | Temperley | Temperley Oeste</t>
  </si>
  <si>
    <t>JAP6727891</t>
  </si>
  <si>
    <t>VENTA DEPARTAMENTO A RECICLAR  MONOAMB. C/BALCON - BELGRANO</t>
  </si>
  <si>
    <t>Ciudad de la Paz al 200</t>
  </si>
  <si>
    <t>CBU55413 AP5986293</t>
  </si>
  <si>
    <t>Departamento tipo Duplex en Alquiler c/ Cochera subt - Studios - Ayres Vila</t>
  </si>
  <si>
    <t xml:space="preserve"> Departamento tipo Duplex en Alquiler c/ Cochera subt - Studios - Ayres Vila</t>
  </si>
  <si>
    <t>CHO6827404</t>
  </si>
  <si>
    <t>Imponente Casa Estilo Colonial en La Lucila</t>
  </si>
  <si>
    <t xml:space="preserve">  Imponente Casa Estilo Colonial en La Lucila</t>
  </si>
  <si>
    <t>CPH6751802</t>
  </si>
  <si>
    <t>PH EN VENTA, 3 AMBIENTES EN VERSALLES</t>
  </si>
  <si>
    <t>Roma  al 1000</t>
  </si>
  <si>
    <t>CLA6565757</t>
  </si>
  <si>
    <t>VENTA TERRENO con vista al lago de 827 m2 - Ladera Norte - Bariloche</t>
  </si>
  <si>
    <t>Rancho Grande, Bariloche</t>
  </si>
  <si>
    <t>CHO6655245</t>
  </si>
  <si>
    <t>CASA EN VENTA ,4 AMBIENTES, SAN SEBASTIAN, AREA 13</t>
  </si>
  <si>
    <t>CASA EN VENTA, 4 AMBIENTES, SAN SEBASTIAN AREA 13</t>
  </si>
  <si>
    <t>DAP4067573</t>
  </si>
  <si>
    <t>Departamento de esquina muy luminoso -  2 ambientes - Saavedra</t>
  </si>
  <si>
    <t>Ruiz Huidobro al 3400</t>
  </si>
  <si>
    <t>CLA5730808</t>
  </si>
  <si>
    <t>Terreno 250m2 en  Confluencia Rural Nqn</t>
  </si>
  <si>
    <t>Richieri y Mapuches</t>
  </si>
  <si>
    <t>CHO6832116</t>
  </si>
  <si>
    <t>Venta casa 5 ambientes con patio Villa Pueyrredon</t>
  </si>
  <si>
    <t>Argerich al 4400</t>
  </si>
  <si>
    <t>CLA6833836</t>
  </si>
  <si>
    <t>Terreno en venta barrio arenales calle 2 de abril</t>
  </si>
  <si>
    <t>2 de abril barrio arenales</t>
  </si>
  <si>
    <t>Argentina | Jujuy | Dr Manuel Belgrano | El Arenal</t>
  </si>
  <si>
    <t>CHO6601235</t>
  </si>
  <si>
    <t>Casa en Santa Rosa</t>
  </si>
  <si>
    <t>TANCO  al 400</t>
  </si>
  <si>
    <t>CLA6730114</t>
  </si>
  <si>
    <t>Terreno en venta nuevo alisos</t>
  </si>
  <si>
    <t>nuevo alisos manzana 8 lote 1</t>
  </si>
  <si>
    <t>Argentina | Jujuy | San Antonio | Los Alisos</t>
  </si>
  <si>
    <t xml:space="preserve">Venta departamento Asamblea </t>
  </si>
  <si>
    <t>Av Asamblea 1512</t>
  </si>
  <si>
    <t>CLA6074320</t>
  </si>
  <si>
    <t xml:space="preserve">Terreno en  PERICO </t>
  </si>
  <si>
    <t>LOS LAPACHOS</t>
  </si>
  <si>
    <t>CHO6072376</t>
  </si>
  <si>
    <t>Casa- 3 amb- Lomas Del Mirador- Pileta- Quincho-Terraza - Remodelada - Cochera- Parque</t>
  </si>
  <si>
    <t>Olleros al 100</t>
  </si>
  <si>
    <t>La Elina Lote 124</t>
  </si>
  <si>
    <t>Lote en Venta Barrio Cerrado La Elina, Comarcas de Lujan</t>
  </si>
  <si>
    <t>CLA5937310</t>
  </si>
  <si>
    <t>Terreno en  Venta General Roca</t>
  </si>
  <si>
    <t>Nahuel Huapi  y Av. Viterbori</t>
  </si>
  <si>
    <t>CAP6439910</t>
  </si>
  <si>
    <t xml:space="preserve">Departamento de Dos Dormitorios a Estrenar en B° Gamma </t>
  </si>
  <si>
    <t>Republica de Italia 1100</t>
  </si>
  <si>
    <t>69Tato</t>
  </si>
  <si>
    <t>Casa Arroyo Leyes</t>
  </si>
  <si>
    <t>CLA6858869</t>
  </si>
  <si>
    <t>Terreno en venta ubicado en Potreros Quijano - Salta</t>
  </si>
  <si>
    <t>CHO6768795</t>
  </si>
  <si>
    <t>Casa en venta 4 ambientes Floresta</t>
  </si>
  <si>
    <t>Belaustegui 4600</t>
  </si>
  <si>
    <t>Casa - Las Tipas</t>
  </si>
  <si>
    <t>LAS TIPAS al 100</t>
  </si>
  <si>
    <t>Op. con inmo colega LOTE PH UF 4  VALLE CHAPELCO 312,05m2 NC 152106681480004</t>
  </si>
  <si>
    <t>CHO4576637</t>
  </si>
  <si>
    <t>venta - Casa - 3 ambientes - Adrogue - a reciclar - patio - jardin</t>
  </si>
  <si>
    <t>MARTIN RODRIGUEZ al 400</t>
  </si>
  <si>
    <t>CLA5872204</t>
  </si>
  <si>
    <t>Terreno en exclusivo barrio Jardines al Lago, barrio Villa Verde, Bariloche</t>
  </si>
  <si>
    <t>Venta de Pozo espectacular -2 Amb - Palermo - Paraguay y Humboldt</t>
  </si>
  <si>
    <t>Paraguay 5075 y Humbolt</t>
  </si>
  <si>
    <t>CBU49517 AP6658395</t>
  </si>
  <si>
    <t>UNICO 2 ambientes con Balcon con sol Nuevo Equipado - SUM - Villa Urquiza VENTA</t>
  </si>
  <si>
    <t>Bauness al 1200</t>
  </si>
  <si>
    <t>VAP5836371</t>
  </si>
  <si>
    <t>Departamento en Praia 3 ambientes con vista espectacular al lago!!!!</t>
  </si>
  <si>
    <t>av del lago al 3100</t>
  </si>
  <si>
    <t>Argentina | G.B.A. Zona Norte | Tigre | Countries/B.Cerrado (Tigre) | Nordelta | Portezuelo | Praia</t>
  </si>
  <si>
    <t>CAP6757274</t>
  </si>
  <si>
    <t xml:space="preserve"> DEPARTAMENTO 2 AMBIENTES DEPENDENCIA BALCON FRENTE</t>
  </si>
  <si>
    <t>Larrea 1026</t>
  </si>
  <si>
    <t>CAP6643995</t>
  </si>
  <si>
    <t>Venta Departamento 2 ambientes a estrenar en Lomas de Nuñez</t>
  </si>
  <si>
    <t>Arcos al 4200</t>
  </si>
  <si>
    <t>zafiro</t>
  </si>
  <si>
    <t>CHO6238676</t>
  </si>
  <si>
    <t xml:space="preserve">VENTA DE CASA </t>
  </si>
  <si>
    <t xml:space="preserve">casa en venta en cinco saltos </t>
  </si>
  <si>
    <t>JPH6623104</t>
  </si>
  <si>
    <t>PH en venta 3 ambientes al frente c/ cochera, entrada independiente SAAVEDRA</t>
  </si>
  <si>
    <t>Pico al 4400</t>
  </si>
  <si>
    <t>CLA6717781</t>
  </si>
  <si>
    <t>Terreno en  Villa California</t>
  </si>
  <si>
    <t>De los Duendes y Los Eucaliptos</t>
  </si>
  <si>
    <t>Angel Gallardo 579</t>
  </si>
  <si>
    <t>VAP6373011</t>
  </si>
  <si>
    <t>Departamento en Venta - 3 amb con balcón terraza y parrilla - ASTON VILLAGE PILAR</t>
  </si>
  <si>
    <t>Departamento en Venta en ASTON VILLAGE PILAR</t>
  </si>
  <si>
    <t>CAP6831217</t>
  </si>
  <si>
    <t>Venta Departamento 3 Ambientes con Balcón en Villa Urquiza</t>
  </si>
  <si>
    <t>Miller al 2200</t>
  </si>
  <si>
    <t>CAP6761737</t>
  </si>
  <si>
    <t>Venta departamento 2 ambientes con cochera Belgrano</t>
  </si>
  <si>
    <t>Cuba al 2600</t>
  </si>
  <si>
    <t>CAP6701076</t>
  </si>
  <si>
    <t>VENTA DEPARTAMENTO DE 3 AMBIENTES EN NUÑEZ CON TERRAZA PROPIA!</t>
  </si>
  <si>
    <t>Pico  al 1900</t>
  </si>
  <si>
    <t xml:space="preserve">Av Del Libertador 1137 </t>
  </si>
  <si>
    <t xml:space="preserve">Mariano Acha 1042 </t>
  </si>
  <si>
    <t>Constitución 1511 1° piso CABA</t>
  </si>
  <si>
    <t>CAP6671038</t>
  </si>
  <si>
    <t>Venta Monoambiente en  FLORES</t>
  </si>
  <si>
    <t>LA FUENTE al 200</t>
  </si>
  <si>
    <t>Constitución 1511 CABA</t>
  </si>
  <si>
    <t>CPH4135324</t>
  </si>
  <si>
    <t>Venta  Permuta  PH San Telmo 5 ambientes en tres pisos con cochera.</t>
  </si>
  <si>
    <t>Piedras al 1300</t>
  </si>
  <si>
    <t>DAP6624064</t>
  </si>
  <si>
    <t>Venta Departamento en Caballito,  6 ambientes, Piso Alto, 2 Cocheras, Seguridad 24hs, Luminoso</t>
  </si>
  <si>
    <t>Beauchef  al 400</t>
  </si>
  <si>
    <t>VAP6518129</t>
  </si>
  <si>
    <t>OPORTUNIDAD - Depto 2 AMB en Venta - SKY II</t>
  </si>
  <si>
    <t>Ph venta San Isidro</t>
  </si>
  <si>
    <t>Colectora Panamericana 1752</t>
  </si>
  <si>
    <t>CAP6749061</t>
  </si>
  <si>
    <t>Venta Departamento 2 ambientes con patio en Recoleta</t>
  </si>
  <si>
    <t>Paraguay 2400</t>
  </si>
  <si>
    <t>Casa en Mayling CC</t>
  </si>
  <si>
    <t>Casa en venta Mayling CC 5 ambientes</t>
  </si>
  <si>
    <t>Colombres 1300</t>
  </si>
  <si>
    <t>Colombres 1361</t>
  </si>
  <si>
    <t>H. IRIGOYEN 1553</t>
  </si>
  <si>
    <t xml:space="preserve">Op. con inmo colega Moldes. </t>
  </si>
  <si>
    <t>Perito Moreno 946</t>
  </si>
  <si>
    <t>CHO5979194</t>
  </si>
  <si>
    <t>Casa 3 dormitorios al golf en Los Horneros</t>
  </si>
  <si>
    <t>Sucre 1023</t>
  </si>
  <si>
    <t>CLO6045228</t>
  </si>
  <si>
    <t>BARRACAS LOCAL EN VENTA SIN EXPENSAS  CON ALTILLO EN BARRACAS</t>
  </si>
  <si>
    <t>CAP6775055</t>
  </si>
  <si>
    <t>Departamento en venta en Ciudad de Mendoza</t>
  </si>
  <si>
    <t>Departamento amoblado en venta en Ciudad de Mendoza</t>
  </si>
  <si>
    <t>Pilará Tilbury</t>
  </si>
  <si>
    <t>Terreno en venta Pilará Tilbury</t>
  </si>
  <si>
    <t>CHO3950752</t>
  </si>
  <si>
    <t>VENTA CASA 5 AMBIENTES - COCHERA - TERRAZA - PARRILLA - MULTIFAMILIAR - Villa Devoto</t>
  </si>
  <si>
    <t>Belfast al 2700</t>
  </si>
  <si>
    <t>CHO6684797</t>
  </si>
  <si>
    <t>VENTA Casa San Martin de los Andes 139m²  terreno 800m² Nuevo Kaleuche Lolog</t>
  </si>
  <si>
    <t>Nuevo Kaleuche ruta 62</t>
  </si>
  <si>
    <t>VPN48121 AP4859051</t>
  </si>
  <si>
    <t>DEPARTAMENTO EN VENTA DEL VISO-PILAR</t>
  </si>
  <si>
    <t>Townhouses en Venta Barrio Privado Oliden  Joven- Pilar.</t>
  </si>
  <si>
    <t>DAP6658110</t>
  </si>
  <si>
    <t>Venta Departamento en Saavedra - 3 ambientes - Cochera cubierta - Balcon Aterrazado - Luminoso</t>
  </si>
  <si>
    <t>Av. Melian al 3600</t>
  </si>
  <si>
    <t>CAP6842180</t>
  </si>
  <si>
    <t>Venta Departamento 3 Ambientes en Nuñez --- NO ES APTO CREDITO</t>
  </si>
  <si>
    <t>CPH6435947</t>
  </si>
  <si>
    <t>Venta PH  4 ambientes en Flores Norte</t>
  </si>
  <si>
    <t>Av Rivadavia  al 6200</t>
  </si>
  <si>
    <t>CPN57417 AP6215549</t>
  </si>
  <si>
    <t>Departamento en venta, 2 ambientes, apto turismo con financiación, Bariloche</t>
  </si>
  <si>
    <t>Villaverde, San Carlos de Bariloche</t>
  </si>
  <si>
    <t>CAP6675379</t>
  </si>
  <si>
    <t>VENTA DEPARTAMENTO DE 3 AMBIENTES EN COLEGIALES.</t>
  </si>
  <si>
    <t>Santos Dumont al 2700</t>
  </si>
  <si>
    <t>Barrio Privado Sausalito</t>
  </si>
  <si>
    <t>Casa en venta en Barrio Sausalito Pilar</t>
  </si>
  <si>
    <t>Argentina | G.B.A. Zona Norte | Pilar | Countries/B.Cerrado (Pilar) | Sausalito</t>
  </si>
  <si>
    <t>CHO5865626</t>
  </si>
  <si>
    <t>Casa tipo Duplex 3 dorm en venta en Martinez - Sin expensas</t>
  </si>
  <si>
    <t>Sáenz Valiente al 1200</t>
  </si>
  <si>
    <t>CHO6783948</t>
  </si>
  <si>
    <t>Casa en venta 3 dormitorios + estudio Barrio Santa Elisa Pilar del Este</t>
  </si>
  <si>
    <t>CHO6307284</t>
  </si>
  <si>
    <t>Oportunidad en Avellaneda, Humberto Primo al 1600, 3 dormitorios, quincho y pileta climatizada</t>
  </si>
  <si>
    <t>Casa a la venta en Humberto Primo entre Av Galicia y Mejico al 1600, Piñeyro- Avellaneda</t>
  </si>
  <si>
    <t>Argentina | G.B.A. Zona Sur | Avellaneda | Piñeyro</t>
  </si>
  <si>
    <t>Casa en venta Ayres Plaza 4 ambietes</t>
  </si>
  <si>
    <t>CLA6344946</t>
  </si>
  <si>
    <t>Terreno en  Barrio Privado la Verbena</t>
  </si>
  <si>
    <t>La verbena Calle 25 1</t>
  </si>
  <si>
    <t>Departamento de 2 Ambientes con Vista Panorámica en Piso 13! Con renta hasta el 31/03/2025    Con una ubicación privilegiada, este departamento combina vistas inigualables, funcionalidad y excelente conectividad.</t>
  </si>
  <si>
    <t>Fraga 86</t>
  </si>
  <si>
    <t>CAP6784712</t>
  </si>
  <si>
    <t xml:space="preserve">DUPLEX en VENTA - Plaza Vicente López + cochera </t>
  </si>
  <si>
    <t>AAP6667690</t>
  </si>
  <si>
    <t>Departamento dos ambientes en Villa del Parque</t>
  </si>
  <si>
    <t>Marcos Sastre al 3200</t>
  </si>
  <si>
    <t>Marcos Sastre 3288</t>
  </si>
  <si>
    <t>Departamento en venta 2 ambientes Marcos Sastre 3288</t>
  </si>
  <si>
    <t>CLA6010599</t>
  </si>
  <si>
    <t>Terreno en  Venta en Loteo La Merced</t>
  </si>
  <si>
    <t xml:space="preserve"> Loteo la Merced, Terreno en Venta </t>
  </si>
  <si>
    <t>Argentina | Santa Fe | La Capital | Recreo | Recreo Sur</t>
  </si>
  <si>
    <t>CHO6781596</t>
  </si>
  <si>
    <t>Casa 4 Ambientes en Venta APTA CRÉDITO en Paso del Rey</t>
  </si>
  <si>
    <t>Soldado M.B Cini al 300</t>
  </si>
  <si>
    <t>CAP5817205</t>
  </si>
  <si>
    <t>Venta departamento 3 ambientes c/ balcón APTO CREDITO -  Julián Álvarez 100 - Villa Crespo - CABA</t>
  </si>
  <si>
    <t>julian alvarez  al 100</t>
  </si>
  <si>
    <t>CHO6693692</t>
  </si>
  <si>
    <t xml:space="preserve">Casa en venta ubicado en Vaqueros </t>
  </si>
  <si>
    <t xml:space="preserve">Vaqueros calle Los Aromos </t>
  </si>
  <si>
    <t>CLA6606201</t>
  </si>
  <si>
    <t>Terreno en  BARRIO LA MESETA 2 CENTENARIO</t>
  </si>
  <si>
    <t>S,N</t>
  </si>
  <si>
    <t>Argentina | Neuquen | Confluencia | Centenario | Sarmiento II</t>
  </si>
  <si>
    <t>CAP6636759</t>
  </si>
  <si>
    <t>Increible 3 ambientes con Patio Balcón y Cochera APTO CREDITO</t>
  </si>
  <si>
    <t>Catamarca  al 500</t>
  </si>
  <si>
    <t>castanos castex</t>
  </si>
  <si>
    <t>casa en castanos</t>
  </si>
  <si>
    <t>los castanos 322 nordelta lote 227</t>
  </si>
  <si>
    <t>AAP5671381</t>
  </si>
  <si>
    <t>EXCELENTE depto en Villa Crespo con COCHERA!</t>
  </si>
  <si>
    <t>Julian Alvarez al 100 | EXCELENTE depto en Villa Crespo con COCHERA!</t>
  </si>
  <si>
    <t>CHO6440104</t>
  </si>
  <si>
    <t>Casa en B° Centro</t>
  </si>
  <si>
    <t>BARRIO CENTRO - SENADOR PEREZ E INDEPENDENCIA</t>
  </si>
  <si>
    <t>CLA6357821</t>
  </si>
  <si>
    <t>VENTA Lote/Terreno 402m2 Refugio del Sol - Junín de los Andes</t>
  </si>
  <si>
    <t>Lagrima De Arroyo, Neuquén, Argentina, Junín de los Andes, Huiliches, Neuquén</t>
  </si>
  <si>
    <t>Dpto Syra. Mono ambiente, 1 baño , 53 m2 . Balcón , 185 mil valor venta .</t>
  </si>
  <si>
    <t>Sarmiento 489</t>
  </si>
  <si>
    <t>JAP6721780</t>
  </si>
  <si>
    <t>Venta Departamento 2 ambientes con vista panoramica</t>
  </si>
  <si>
    <t>N/C - GUEMES 3741</t>
  </si>
  <si>
    <t>VENTA DPTO PALERMO</t>
  </si>
  <si>
    <t>GUEMES 3741, CABA</t>
  </si>
  <si>
    <t>VAP4856071</t>
  </si>
  <si>
    <t>Departamento a la venta - 3 dormitorios con dependencia - Palermo Chico</t>
  </si>
  <si>
    <t>Gelly al 3500</t>
  </si>
  <si>
    <t xml:space="preserve">Búsqueda </t>
  </si>
  <si>
    <t>3 de Febrero 2560 3° y 4° "7" CABA</t>
  </si>
  <si>
    <t>Av. de Mayo 1339 4B</t>
  </si>
  <si>
    <t>CAP6366535</t>
  </si>
  <si>
    <t>PH - 2 amb - Balcónes - Ramos Mejia - oportunidad - amplio - lavadero - cocina separada</t>
  </si>
  <si>
    <t>BOLIVAR al 1000</t>
  </si>
  <si>
    <t>CAP6747528</t>
  </si>
  <si>
    <t>Venta depto 3 amb -  palermo</t>
  </si>
  <si>
    <t>Tagle al 2500</t>
  </si>
  <si>
    <t>GAMBOA 6935</t>
  </si>
  <si>
    <t>Av Ricardo Balbin  4543 4to piso depto A</t>
  </si>
  <si>
    <t>CHO6365198</t>
  </si>
  <si>
    <t>Casa en Venta en Centenario</t>
  </si>
  <si>
    <t>Benito Quinquela Martin 1006</t>
  </si>
  <si>
    <t>CHO6535628</t>
  </si>
  <si>
    <t>casa en venta en plottier</t>
  </si>
  <si>
    <t>facundo cabral  al 2200</t>
  </si>
  <si>
    <t>CHO6819801</t>
  </si>
  <si>
    <t xml:space="preserve">Casa en  Venta , Barrio Piedras Blancas </t>
  </si>
  <si>
    <t>Valenzuela  al 500</t>
  </si>
  <si>
    <t>CLA6374066</t>
  </si>
  <si>
    <t>Terreno en Lote 5 Mz 773 SEJUN Centenario</t>
  </si>
  <si>
    <t>VENTA LOTE 300 M2 SEJUN CENTENARIO</t>
  </si>
  <si>
    <t>CAP6411243</t>
  </si>
  <si>
    <t>Complejo Habitacional ideal renta en Centenario, Neuquen</t>
  </si>
  <si>
    <t>Primera Junta y Godoy Díaz</t>
  </si>
  <si>
    <t>CBU49671 AP6414030</t>
  </si>
  <si>
    <t>Departamento 1 ambiente A Estrenar Balcon terraza Piso alto Villa Urquiza VENTA</t>
  </si>
  <si>
    <t>CAP6597007</t>
  </si>
  <si>
    <t>Venta Departamento 3 Ambientes con Cochera en Caballito</t>
  </si>
  <si>
    <t>Calasanz al 600</t>
  </si>
  <si>
    <t>Maricel68</t>
  </si>
  <si>
    <t>Llerena 1641</t>
  </si>
  <si>
    <t>CAP6675858</t>
  </si>
  <si>
    <t>Venta departamento 3 ambientes en Nuñez con Cochera</t>
  </si>
  <si>
    <t>Manuel ugarte al 1600 3º. Nuñez</t>
  </si>
  <si>
    <t>CAP4838360</t>
  </si>
  <si>
    <t>VENTA DEPARTAMENTO 2 1/2 AMBIENTES VISTA PANORAMICA C/ BAULERA. PARQUE CHACABUCO. APTO CREDITO.</t>
  </si>
  <si>
    <t>Jose Maria Moreno  al 1300, Piso 13</t>
  </si>
  <si>
    <t>CBU60233 AP6878131</t>
  </si>
  <si>
    <t>CBU60233 AP6592822</t>
  </si>
  <si>
    <t>CBU60233 AP6878133</t>
  </si>
  <si>
    <t>CBU60233 AP6592948</t>
  </si>
  <si>
    <t>Forest 1236</t>
  </si>
  <si>
    <t>VAP4487867</t>
  </si>
  <si>
    <t>Departamento en venta 2 Amb Cochera  Tigre Centro - 2 cuadras del Puerto de Frutos</t>
  </si>
  <si>
    <t>VAP6495040</t>
  </si>
  <si>
    <t>Venta de Duplex de 3 ambientes en Pacheco / Benavidez</t>
  </si>
  <si>
    <t>Altos del Encuentro</t>
  </si>
  <si>
    <t>CLA6523223</t>
  </si>
  <si>
    <t>Lote en venta  en Barrio cerrado La Aldea Del Bosque 38 e 191 y 195  Lisandro Olmos 800m2</t>
  </si>
  <si>
    <t>Argentina | G.B.A. Zona Sur | La Plata | Lisandro Olmos Etcheverry</t>
  </si>
  <si>
    <t>CHO6434935</t>
  </si>
  <si>
    <t xml:space="preserve">PH CASA A REFACCIONA SAN JUSTO </t>
  </si>
  <si>
    <t>ACHAVAL  al 3900</t>
  </si>
  <si>
    <t>CAP6579207</t>
  </si>
  <si>
    <t xml:space="preserve">OPORTUNIDAD 3 ambientes luminoso en zona estratégica!  </t>
  </si>
  <si>
    <t>Guemes al 3700</t>
  </si>
  <si>
    <t>CLA6192765</t>
  </si>
  <si>
    <t xml:space="preserve">Venta terreno en Barrio El Campo, Fincas Exclusivas Cardales </t>
  </si>
  <si>
    <t xml:space="preserve">Barrio El Campo, Fincas Exclusivas Cardales </t>
  </si>
  <si>
    <t>Argentina | G.B.A. Zona Norte | Campana | Countries/B.Cerrado (Campana) | El Campo - Fincas Exclusivas Cardales</t>
  </si>
  <si>
    <t>CGA6573651</t>
  </si>
  <si>
    <t>Cochera en  larrea al 930</t>
  </si>
  <si>
    <t>Larrea 935</t>
  </si>
  <si>
    <t>CAP6655965</t>
  </si>
  <si>
    <t>Venta Departamento 3 ambientes en Villa Devoto</t>
  </si>
  <si>
    <t>Cuenca  al 3600</t>
  </si>
  <si>
    <t>Cuba 4501 UF 313</t>
  </si>
  <si>
    <t>CHO6743622</t>
  </si>
  <si>
    <t>Casa en venta 3 dormitorios San Sebastian Area 13</t>
  </si>
  <si>
    <t xml:space="preserve">Barrio San Sebastian Area 13 </t>
  </si>
  <si>
    <t xml:space="preserve">Rivadavia 6003 5to </t>
  </si>
  <si>
    <t>CAP6502712</t>
  </si>
  <si>
    <t>Duplex con muy buena ubicación en Barrio 7 de Marzo, Santo Tome</t>
  </si>
  <si>
    <t>Argentina | Santa Fe | La Capital | Santo Tome | 7 de Marzo</t>
  </si>
  <si>
    <t>CAP6515908</t>
  </si>
  <si>
    <t>VENTA DEPARTAMENTO 2 AMBIENTES EN  PALERMO</t>
  </si>
  <si>
    <t>Fitz Roy al 1600</t>
  </si>
  <si>
    <t>julian alvarez dpto</t>
  </si>
  <si>
    <t>julian alvarez</t>
  </si>
  <si>
    <t>VHO4086477</t>
  </si>
  <si>
    <t>IMPERDIBLE CASA A LA LAGUNA EN PUERTOS DEL LAGO - BARRIO COSTAS</t>
  </si>
  <si>
    <t>CASA A LA LAGUNA EN PUERTOS DEL LAGO - BARRIO COSTAS</t>
  </si>
  <si>
    <t>Argentina | G.B.A. Zona Norte | Escobar | Countries/B.Cerrado (Escobar) | Puertos del Lago</t>
  </si>
  <si>
    <t xml:space="preserve">AL RIO </t>
  </si>
  <si>
    <t xml:space="preserve">DEPARTAMENTO AL RIO </t>
  </si>
  <si>
    <t>dpto alberdi</t>
  </si>
  <si>
    <t xml:space="preserve">alberdi </t>
  </si>
  <si>
    <t>Argentina | G.B.A. Zona Norte | Vicente López | Florida | Florida Mitre/Este</t>
  </si>
  <si>
    <t>CAP5947829</t>
  </si>
  <si>
    <t>4 amb. super amplio con lavadero en venta a estrenar en villa santa Rita. Exelente diseño</t>
  </si>
  <si>
    <t>Nazca al 1500</t>
  </si>
  <si>
    <t>CLA6592810</t>
  </si>
  <si>
    <t>Terreno en La Guillermina</t>
  </si>
  <si>
    <t>La Guillermina | Terreno</t>
  </si>
  <si>
    <t>Casa En Venta San Remo</t>
  </si>
  <si>
    <t>Barrio San Remo</t>
  </si>
  <si>
    <t>CLA4712618</t>
  </si>
  <si>
    <t>VENTA Lote/Terreno 968,27 m2 Vista franca al lago, primera línea, Epulafquen Villa la Angostura</t>
  </si>
  <si>
    <t>Cacique Antriao al 2300, Villa la Angostura</t>
  </si>
  <si>
    <t>CAP6487436</t>
  </si>
  <si>
    <t>Venta Departamento 3 ambientes con dependencia y balcón en Olivos, La Isla. Vicente López</t>
  </si>
  <si>
    <t>Juan Bautista Alberdi 600</t>
  </si>
  <si>
    <t>Av. Federico Lacroze 2375</t>
  </si>
  <si>
    <t>CAP6479440</t>
  </si>
  <si>
    <t>VENTA DEPTO IDEAL TEMPORARIO - PALERMO HOLLYWOOD</t>
  </si>
  <si>
    <t xml:space="preserve">Nicaragua 5800 </t>
  </si>
  <si>
    <t>VHO6719749</t>
  </si>
  <si>
    <t>Casa en venta - a estrenar - Santa Elisa, Pilar del Este</t>
  </si>
  <si>
    <t>VENTA - CASA A ESTRENAR - 4 AMBIENTES - PILAR DEL ESTE</t>
  </si>
  <si>
    <t>AV COMBATIENTES DE MALVINAS</t>
  </si>
  <si>
    <t>DEPARTAMENTO EN VENTA EN AV COMBATIENTES DE MALVINAS</t>
  </si>
  <si>
    <t>CAP6425634</t>
  </si>
  <si>
    <t>Departamento 4 Ambientes, en venta en San Miguel</t>
  </si>
  <si>
    <t>Coronel Charlone al 600</t>
  </si>
  <si>
    <t>CLA6734920</t>
  </si>
  <si>
    <t>Terreno en alquiler sobre ruta 51 San luis</t>
  </si>
  <si>
    <t>ruta 51</t>
  </si>
  <si>
    <t>Venta UF 19 Girasoles 5</t>
  </si>
  <si>
    <t>Fucsias y Huemul</t>
  </si>
  <si>
    <t>PH 4 ambientes en Venta en Villa Urquiza</t>
  </si>
  <si>
    <t>Diaz Colodrero 3254</t>
  </si>
  <si>
    <t>CAP6679530</t>
  </si>
  <si>
    <t>Departamento en  Venta en Caballito - Permuta</t>
  </si>
  <si>
    <t>Av. Juan Bautista Alberdi  al 300</t>
  </si>
  <si>
    <t>CLA6399702</t>
  </si>
  <si>
    <t xml:space="preserve">Terreno 300 m2 Confluencia Neuquén </t>
  </si>
  <si>
    <t>Venta terreno 300 m2 Confluencia Neuquén</t>
  </si>
  <si>
    <t>CLA6284234</t>
  </si>
  <si>
    <t>Terreno en  calpa</t>
  </si>
  <si>
    <t>TERRENO EN CALPA NEUQUEN (CERCA DE LA CONFLUENCIA DE LOS RIOS)</t>
  </si>
  <si>
    <t>CAP5782480</t>
  </si>
  <si>
    <t>Venta departamento 3 ambientes muy luminoso en la mejor zona de Barracas!</t>
  </si>
  <si>
    <t>Av. Suarez al 1200</t>
  </si>
  <si>
    <t>OP 102</t>
  </si>
  <si>
    <t>Alicia Moreau de Justo 1840 37</t>
  </si>
  <si>
    <t xml:space="preserve">Alicia Moreau de Justo 1840 </t>
  </si>
  <si>
    <t>JAP6677791</t>
  </si>
  <si>
    <t>ALQUILER P. Madero  Azucena Villaflor 300 4 ambientes con doble cochera</t>
  </si>
  <si>
    <t>Azucena Villaflor al 300</t>
  </si>
  <si>
    <t>CAP6200873</t>
  </si>
  <si>
    <t>Venta Departamento Monoambiente con patio en  ALMAGRO</t>
  </si>
  <si>
    <t>LARREA</t>
  </si>
  <si>
    <t xml:space="preserve">LARREA 1021, CABA </t>
  </si>
  <si>
    <t>LARREA 1021</t>
  </si>
  <si>
    <t>CHO6886790</t>
  </si>
  <si>
    <t>Casa en Venta 10 entre 457 y 458 Quimilar</t>
  </si>
  <si>
    <t>Casa en venta 10 ENTRE 457 Y 458 Quimilar</t>
  </si>
  <si>
    <t>Argentina | G.B.A. Zona Sur | La Plata | Countries/B.Cerrado (La Plata) | El Quimilar</t>
  </si>
  <si>
    <t>CHO6345971</t>
  </si>
  <si>
    <t>VENTA Casa 3 dormitorios a estrenar calidad premium 85m2 lote 230m2 Bº Norte Villa la Angostura</t>
  </si>
  <si>
    <t>Lacar al 400</t>
  </si>
  <si>
    <t>Argentina | Neuquen | Villa La Angostura | Barrio Norte Ruta 231</t>
  </si>
  <si>
    <t>ALBARELLO 3153 9°</t>
  </si>
  <si>
    <t>ALBARELLOS 3153 9°</t>
  </si>
  <si>
    <t>ALBARELLO3153 9°</t>
  </si>
  <si>
    <t>La Elina</t>
  </si>
  <si>
    <t>VAP6841457</t>
  </si>
  <si>
    <t>APTO CREDITO! Departamento 2 AMB en Venta - Pilar</t>
  </si>
  <si>
    <t>CAP6626922</t>
  </si>
  <si>
    <t>VENTA 4 AMBIENTES DEPARTAMENTO EN DUPLEX EN PALERMO - APTO CRÉDITO</t>
  </si>
  <si>
    <t>Julián Álvarez al 2300</t>
  </si>
  <si>
    <t>CHO6329850</t>
  </si>
  <si>
    <t>VENTA CASA 5 AMB GRAN JARDIN, GALERIA, BARRIO LAS CHACRAS MASCHWITZ</t>
  </si>
  <si>
    <t>ATAHUALPA YUPANQUI al 2000, BARRIO LAS CHACRAS</t>
  </si>
  <si>
    <t>lote 63 LAGOS San Eliseo</t>
  </si>
  <si>
    <t xml:space="preserve">Venta lote 63 - LAGOS SAN ELISEO </t>
  </si>
  <si>
    <t>LAGOS SAN ELISEO - LOTE 63 - SAN VICENTE</t>
  </si>
  <si>
    <t>CHO6331731</t>
  </si>
  <si>
    <t>Venta Casa 3 Amb en Morón Sur</t>
  </si>
  <si>
    <t>Monte al 2400</t>
  </si>
  <si>
    <t>CAP6318877</t>
  </si>
  <si>
    <t>Venta Departamento 3 Ambientes en Dúplex con Terraza Privada Villa Urquiza</t>
  </si>
  <si>
    <t>Altolaguirre al 3000</t>
  </si>
  <si>
    <t>JAP6310392</t>
  </si>
  <si>
    <t xml:space="preserve">Venta Oportunidad 4 ambientes vista unica al rio con cochera </t>
  </si>
  <si>
    <t>Avenida del Libertador  al 100</t>
  </si>
  <si>
    <t>CAP6177013</t>
  </si>
  <si>
    <t>Departamento a Reciclar en venta calle 10 esq. 59 de 2 / 3 dormitorios, La Plata</t>
  </si>
  <si>
    <t>Departamento a reciclar 3 Dorm. Calle 10 esq 59  La Plata al 1299</t>
  </si>
  <si>
    <t>CHO6381410</t>
  </si>
  <si>
    <t>Venta Casa 3 ambientes   dependencia o estudio con piscina en Martínez</t>
  </si>
  <si>
    <t>Piran al 1100</t>
  </si>
  <si>
    <t>Argentina | G.B.A. Zona Norte | San Isidro | Martinez | Mart.-Santa Fe/Fleming</t>
  </si>
  <si>
    <t>CHO6543270</t>
  </si>
  <si>
    <t>Casa en venta San Isidro 5amb con cochera y gran jardín con pileta</t>
  </si>
  <si>
    <t>Larrea 37</t>
  </si>
  <si>
    <t>CLA6163575</t>
  </si>
  <si>
    <t>VENTA TERRENO RECOLETA 1200 M2 VENDIBLES</t>
  </si>
  <si>
    <t>Billinghurst 1361</t>
  </si>
  <si>
    <t>CAP6716028</t>
  </si>
  <si>
    <t>VENTA DEPARTAMENTO 2 AMBIENTES CON TERRAZA Y COCHERA EN NUÑEZ</t>
  </si>
  <si>
    <t>ZAPIOLA  al 3000</t>
  </si>
  <si>
    <t>CAP6535533</t>
  </si>
  <si>
    <t>VENTA DEPARTAMENTO 4 AMBIENTES + DEPENDENCIA CON BAULERA Y COCHERA</t>
  </si>
  <si>
    <t>MONTEVIDEO 1500 al 1500</t>
  </si>
  <si>
    <t>CAP6656315</t>
  </si>
  <si>
    <t>Venta Departamento 2 Ambientes con Balcón en Agronomia</t>
  </si>
  <si>
    <t>Avenida Salvador María del Carril al 3100</t>
  </si>
  <si>
    <t>Bernardino Rivadavia km 14,5,</t>
  </si>
  <si>
    <t>Argentina | G.B.A. Zona Oeste | Lujan | Carlos Keen</t>
  </si>
  <si>
    <t>CAP6762005</t>
  </si>
  <si>
    <t>Venta departamento 2 ambientes con Patio Villa Urquiza</t>
  </si>
  <si>
    <t>Altolaguirre  al 1800</t>
  </si>
  <si>
    <t>VAP6667914</t>
  </si>
  <si>
    <t xml:space="preserve">Departamento en  venta 2 dormitorios con cochera fija en Belgrano </t>
  </si>
  <si>
    <t>Pedro Ignacio Rivera  al 2900</t>
  </si>
  <si>
    <t>CAP6452000</t>
  </si>
  <si>
    <t>Departamento en Ramos Mejia - Centro - Cocina Separada - Al frente - Bajas Expensas</t>
  </si>
  <si>
    <t>CPH6434534</t>
  </si>
  <si>
    <t>VENTA PH Monoambiente con GALPON Bauleras y Terraza SAN JUSTO Sin expensas</t>
  </si>
  <si>
    <t>Arieta al 2100</t>
  </si>
  <si>
    <t>CLA4152962</t>
  </si>
  <si>
    <t>Terreno  Estacion Alvarado Zona Sur Salta - Capital</t>
  </si>
  <si>
    <t>estacion alvarado</t>
  </si>
  <si>
    <t>LAMADRID</t>
  </si>
  <si>
    <t>CASA EN VENTA MASCHWITZ</t>
  </si>
  <si>
    <t>Neuquen 3147/51</t>
  </si>
  <si>
    <t>CLA6206867</t>
  </si>
  <si>
    <t>Lote con Casita  Terminar en Barrio en Valle Azul</t>
  </si>
  <si>
    <t>Valle Azul, San Carlos de Bariloche.</t>
  </si>
  <si>
    <t>AAP6667782</t>
  </si>
  <si>
    <t>Departamento monoambiente en San Nicolás</t>
  </si>
  <si>
    <t>Viamonte 800</t>
  </si>
  <si>
    <t>CPH6109303</t>
  </si>
  <si>
    <t>PH en  Venta,  General Roca</t>
  </si>
  <si>
    <t>Formosa  al 1500, General Roca</t>
  </si>
  <si>
    <t>N/C - VIRREY LINIERS 71</t>
  </si>
  <si>
    <t>VENTA DPTO 2 AMBIENTES ALMAGRO</t>
  </si>
  <si>
    <t>VIRREY LINIERS 71</t>
  </si>
  <si>
    <t>VPN6239 AP4052986</t>
  </si>
  <si>
    <t>EXCELENTE PRECIO!!!!DEPARTAMENTOS A ESTRENAR!!CON AMARRA. TERRAZAS AL RÍO - VILLANUEVA - TIGRE</t>
  </si>
  <si>
    <t xml:space="preserve">TERRAZAS AL RIO - CANAL BARRIO NÁUTICO - VILLANUEVA - TIGRE </t>
  </si>
  <si>
    <t>Argentina | G.B.A. Zona Norte | Tigre | Countries/B.Cerrado (Tigre) | Villanueva | Canal Barrio Nautico</t>
  </si>
  <si>
    <t>ALTOS DE LA CAÑADA</t>
  </si>
  <si>
    <t>CASA EN VENTA ALTOS DE LA CAÑADA</t>
  </si>
  <si>
    <t>CGA6464169</t>
  </si>
  <si>
    <t>Cochera a la venta con financiación en el centro de Bariloche</t>
  </si>
  <si>
    <t>Argentina | G.B.A. Zona Norte | Tigre | Countries/B.Cerrado (Tigre) | Nordelta | Yoo Nordelta</t>
  </si>
  <si>
    <t>Av Olazábal Depto</t>
  </si>
  <si>
    <t>Depto venta Olazabal</t>
  </si>
  <si>
    <t>Av. Olivera 281</t>
  </si>
  <si>
    <t>CLA6351973</t>
  </si>
  <si>
    <t>VENTA Lote/terreno de 407,04 m2, UF 25 loteo Quetrihue B° Selva Triste Villa la Angostura</t>
  </si>
  <si>
    <t>LA TRANQUERA</t>
  </si>
  <si>
    <t xml:space="preserve">LA TRANQUERA </t>
  </si>
  <si>
    <t>Argentina | G.B.A. Zona Norte | Pilar | Countries/B.Cerrado (Pilar) | La Tranquera</t>
  </si>
  <si>
    <t>CAP6746846</t>
  </si>
  <si>
    <t xml:space="preserve">Venta, 2 ambientes remodelado a nuevo </t>
  </si>
  <si>
    <t>Uriburu  al 1200</t>
  </si>
  <si>
    <t>CPH5108136</t>
  </si>
  <si>
    <t>VENTA PH TIPO CASA EN VILLA CRESPO CON TERRAZA Y QUINCHO</t>
  </si>
  <si>
    <t>Serrano al 700</t>
  </si>
  <si>
    <t>CBU60233 AP6592851</t>
  </si>
  <si>
    <t>CBU60233 AP6592864</t>
  </si>
  <si>
    <t xml:space="preserve">Los Cipresales, San Carlos de Bariloche </t>
  </si>
  <si>
    <t>CAP6645198</t>
  </si>
  <si>
    <t>Departamento Dos Dormitorios Neuquen Capital</t>
  </si>
  <si>
    <t>Rivadavia al 324</t>
  </si>
  <si>
    <t>CPH6193655</t>
  </si>
  <si>
    <t>Venta - PH - 3 Ambientes - Patio - Parrilla - Entrada Independiente - Villa Lynch - Sin Expensas</t>
  </si>
  <si>
    <t>Pergamino 1400</t>
  </si>
  <si>
    <t>CAP6525137</t>
  </si>
  <si>
    <t>venta departamento 2 ambientes con patio bajas expensas en San Cristobal</t>
  </si>
  <si>
    <t>La Rioja  al 1200</t>
  </si>
  <si>
    <t>CHO6505737</t>
  </si>
  <si>
    <t>Oportunidad Venta de Casa en La Madrugada 1, Pilar</t>
  </si>
  <si>
    <t>La Madrugada 100</t>
  </si>
  <si>
    <t>Argentina | G.B.A. Zona Norte | Pilar | Countries/B.Cerrado (Pilar) | La Madrugada I</t>
  </si>
  <si>
    <t>CAP6633827</t>
  </si>
  <si>
    <t>Venta - Departamento - 3 Ambientes - Balcon - Boedo - Vista Abierta - Permuta - Apto Credito</t>
  </si>
  <si>
    <t>33 Orientales 800</t>
  </si>
  <si>
    <t>CHO6380747</t>
  </si>
  <si>
    <t>SAN SEBASTIAN Oportunidad  Casa de Hormigon en  Area 1</t>
  </si>
  <si>
    <t>SAN SEBASTIAN EN VENTA / ALQUILER 4 AMBIENTES OPORTUNIDAD AREA 1</t>
  </si>
  <si>
    <t>CAP4610808</t>
  </si>
  <si>
    <t>Alquiler depto 2 ambientes en Arboris Las Lomas - San Isidro</t>
  </si>
  <si>
    <t>CAP6357724</t>
  </si>
  <si>
    <t>Venta, Departamento, 4 ambientes, balcon, terraza, reciclado, Caballito, Villa Crespo, permuta</t>
  </si>
  <si>
    <t>Av San Martin  al 1200</t>
  </si>
  <si>
    <t>Pinar de Festa, San Carlos de Bariloche</t>
  </si>
  <si>
    <t>Argentina | Rio Negro | Bariloche | San Carlos De Bariloche | Pinar de Festa</t>
  </si>
  <si>
    <t>JPH5873881</t>
  </si>
  <si>
    <t>venta PH en Villa Maipú, Gral. San Martin</t>
  </si>
  <si>
    <t>Lavalle al 2100</t>
  </si>
  <si>
    <t>Argentina | G.B.A. Zona Norte | General San Martin | General San Martin | V.Maipu</t>
  </si>
  <si>
    <t>UF 15 Loteo Quetrihue 387,39 m2</t>
  </si>
  <si>
    <t>Amancay y Bv. Quetrihue</t>
  </si>
  <si>
    <t>526 San Lucas</t>
  </si>
  <si>
    <t>lote 526 San Lucas</t>
  </si>
  <si>
    <t>CPH6366725</t>
  </si>
  <si>
    <t>VENTA PH TIPO CASA 3 AMB PATIO LUIS GUILLON</t>
  </si>
  <si>
    <t>Brigadier Juan Manuel de Rosas al 340</t>
  </si>
  <si>
    <t>Argentina | G.B.A. Zona Sur | Esteban Echeverria | Luis Guillon</t>
  </si>
  <si>
    <t xml:space="preserve">La pampa 823 3 piso </t>
  </si>
  <si>
    <t>CAP5158309</t>
  </si>
  <si>
    <t>VENTA DEPARTAMENTO MONOAMBIENTE EN FLORIDA</t>
  </si>
  <si>
    <t>Adolfo Alsina al 1500</t>
  </si>
  <si>
    <t>CBU59332 AP6460294</t>
  </si>
  <si>
    <t>Departamento Monoambiente en Venta en Villa Urquiza CABA</t>
  </si>
  <si>
    <t>Zado  al 3500 -2°  Villa Urquiza</t>
  </si>
  <si>
    <t>JAP6708331</t>
  </si>
  <si>
    <t xml:space="preserve">DEPARTAMENTO MONOAMBIENTE EN VENTA </t>
  </si>
  <si>
    <t>CAMPANA  al 4800</t>
  </si>
  <si>
    <t>benavides 774</t>
  </si>
  <si>
    <t>lote venta Benavides</t>
  </si>
  <si>
    <t>VAP6644888</t>
  </si>
  <si>
    <t>Departamento en Venta - 2 amb con Jardín y Galería con parrilla - ASTON VILLAGE PILAR</t>
  </si>
  <si>
    <t>CHO3821641</t>
  </si>
  <si>
    <t>Venta de Casa en Beccar -San Isidro</t>
  </si>
  <si>
    <t>Julian Navarro al 2400</t>
  </si>
  <si>
    <t>CAP6365112</t>
  </si>
  <si>
    <t>Hermoso Departamento 2 ambientes con Gran Balcón y vista abierta.  APTO CREDITO</t>
  </si>
  <si>
    <t>Monroe  al 4500</t>
  </si>
  <si>
    <t>CHO6478231</t>
  </si>
  <si>
    <t>Casa Triplex con Cochera y Patio en Venta en Muñiz</t>
  </si>
  <si>
    <t>Rodriguez Peña 47</t>
  </si>
  <si>
    <t>Argentina | G.B.A. Zona Norte | San Miguel | Muñiz</t>
  </si>
  <si>
    <t>CHO6210239</t>
  </si>
  <si>
    <t>VENTA Casa 9 amb 269m2 Centro Bariloche</t>
  </si>
  <si>
    <t>CAP6693552</t>
  </si>
  <si>
    <t>Venta Departamento Centro Bariloche Oportunidad</t>
  </si>
  <si>
    <t>391 horizontes al sur</t>
  </si>
  <si>
    <t>lote 391 horizontes al sur</t>
  </si>
  <si>
    <t>Lote calle Michay nomenclatura catastral 16-20-072-9458-0000</t>
  </si>
  <si>
    <t>MIchay y Millaqueo</t>
  </si>
  <si>
    <t>VAP5782265</t>
  </si>
  <si>
    <t>Departamento de dos ambientes en venta en  venta Palermo Chico</t>
  </si>
  <si>
    <t xml:space="preserve"> Sinclair al 3100 </t>
  </si>
  <si>
    <t>Lote en carrodilla</t>
  </si>
  <si>
    <t>Lote con obra gruesa en carrodilla</t>
  </si>
  <si>
    <t>Argentina | Mendoza | Lujan De Cuyo | Lujan De Cuyo | Carrodilla</t>
  </si>
  <si>
    <t>VHO6614310</t>
  </si>
  <si>
    <t>Casa en Venta con Jardín en Santa Ana Joven</t>
  </si>
  <si>
    <t>Terreno en venta Barrio Santa Elisa Pilar del Este</t>
  </si>
  <si>
    <t>VHO6130770</t>
  </si>
  <si>
    <t>Casa en Santa Ana - Villanueva</t>
  </si>
  <si>
    <t>VAP6183617</t>
  </si>
  <si>
    <t>Venta departamento 3 ambientes c/ balcon de pozo - La Bota 400 - Tigre - Benavidez</t>
  </si>
  <si>
    <t>la bota al 400</t>
  </si>
  <si>
    <t>CHO6692253</t>
  </si>
  <si>
    <t xml:space="preserve">Casa en Venta en La Silleta </t>
  </si>
  <si>
    <t>Barrio Justo Juez, calle Avelino Araoz esquina Gregorio Moreno </t>
  </si>
  <si>
    <t>Argentina | Salta | Rosario De Lerma | La Silleta</t>
  </si>
  <si>
    <t>CHO5827343</t>
  </si>
  <si>
    <t>VENTA Casa km 16, 2 dormitorios, 900 m2 terreno/lote, Bariloche</t>
  </si>
  <si>
    <t>Valle Encantado, San Carlos de Bariloche</t>
  </si>
  <si>
    <t>Argentina | Rio Negro | Bariloche | San Carlos De Bariloche | Valle Escondido</t>
  </si>
  <si>
    <t>CBU54070 AP5871976</t>
  </si>
  <si>
    <t>VENTA Local comercial pozo 72m2 UF2 gran ubicación ruta 40 Complejo Tres Cerros Villa la Angostura</t>
  </si>
  <si>
    <t>Ruta 40, Villa la Angostura</t>
  </si>
  <si>
    <t>CHO6531660</t>
  </si>
  <si>
    <t>VENTA Casa 117m2 Lote 782m2 Altos del Sol San Martín de los Andes</t>
  </si>
  <si>
    <t>Los Robles al 100</t>
  </si>
  <si>
    <t>CASA ubicada en B° Alihuen Bajo P. del Roble al 137 de la ciudad de San Martin de los Andes Pcia. De Neuquén, con todo lo que en ella se encuentre plantado y edificado en un lote de 642.24 m2, nomenclatura catastral: ,15-20-056-4464-0000</t>
  </si>
  <si>
    <t>Paseo del Roble 137</t>
  </si>
  <si>
    <t>CAP6695277</t>
  </si>
  <si>
    <t>CAP6355030</t>
  </si>
  <si>
    <t>VENTA PH 2 AMBIENTES</t>
  </si>
  <si>
    <t>Dr. Nicolas Repetto  al 1000</t>
  </si>
  <si>
    <t>Magdalena</t>
  </si>
  <si>
    <t>Reserva Magda Lucas Knell Dpto GM en Pozo</t>
  </si>
  <si>
    <t>CHO6369698</t>
  </si>
  <si>
    <t>CASA A REFACCIONAR O DEMOLER EN MACROCENTRO SALTA! VENTA OPORTUNIDAD</t>
  </si>
  <si>
    <t>25 MAYO al 800</t>
  </si>
  <si>
    <t xml:space="preserve">Lote UF 22 Loteo Quetrihue </t>
  </si>
  <si>
    <t>Bv. Amancay y Quetrihue</t>
  </si>
  <si>
    <t>Araoz 2592</t>
  </si>
  <si>
    <t>Sucre 1589 - VENTA SOL LORENZO - RX Puerto</t>
  </si>
  <si>
    <t>Sucre 1589</t>
  </si>
  <si>
    <t>VBU55574 AP6216666</t>
  </si>
  <si>
    <t>Venta Departamento Dos Amb en Construcción piso 9 al frente en Palermo- " 9A"</t>
  </si>
  <si>
    <t>Cabrera  al 4000</t>
  </si>
  <si>
    <t>CHO6646581</t>
  </si>
  <si>
    <t xml:space="preserve">Casa en venta 3 dormitorios San Sebastian Area 13 </t>
  </si>
  <si>
    <t xml:space="preserve">Barrio San Sebastian </t>
  </si>
  <si>
    <t>CLA6718992</t>
  </si>
  <si>
    <t>Terreno en  Campo Quijano</t>
  </si>
  <si>
    <t>campo Quijano</t>
  </si>
  <si>
    <t>354 Magallanes</t>
  </si>
  <si>
    <t>Lote venta Magallanes 354</t>
  </si>
  <si>
    <t>CAP6355833</t>
  </si>
  <si>
    <t>DPTO 1 DORMITORIO NEUQUEN (CERCA DE HIPER DE LA ANONIMA Y CONSEJO DE EDUCACION)</t>
  </si>
  <si>
    <t>VAP6111075</t>
  </si>
  <si>
    <t>Venta Departamento AMOBLADO Tigre Centro</t>
  </si>
  <si>
    <t>Luis Garcia al 1000</t>
  </si>
  <si>
    <t>CAP2418624</t>
  </si>
  <si>
    <t>Venta Penthouse 2 dormitorios   escritorio con balcón terraza y lavadero</t>
  </si>
  <si>
    <t>Franklin D. Roseevelt al 3200</t>
  </si>
  <si>
    <t>VAP5129884</t>
  </si>
  <si>
    <t>Departamento en venta de 3 ambientes en Benavidez/Pacheco</t>
  </si>
  <si>
    <t>CAP4295545</t>
  </si>
  <si>
    <t>¡Gran departamento de 4 ambientes en venta! Zona Garrahan</t>
  </si>
  <si>
    <t>Matheu al 1700</t>
  </si>
  <si>
    <t>Chorrarín 3B monoambiente</t>
  </si>
  <si>
    <t>Venta de Departamento en Agronomía</t>
  </si>
  <si>
    <t>Avenida Chorrarín 514</t>
  </si>
  <si>
    <t>CHO5620168</t>
  </si>
  <si>
    <t>Venta de casa y departamento en Quilmes Oeste - IDEAL INVERSOR-Calle Ingeniero Butty N° 3529</t>
  </si>
  <si>
    <t>Ingeniero Butty al 3500 -CASA y DEPARTAMENTO -QUILMES</t>
  </si>
  <si>
    <t>CHO4986119</t>
  </si>
  <si>
    <t>Casa en  Venta en Burzaco Longchamps</t>
  </si>
  <si>
    <t>Palumbo 1536 Burzaco Longchamps</t>
  </si>
  <si>
    <t>Argentina | G.B.A. Zona Sur | Almirante Brown | Longchamps</t>
  </si>
  <si>
    <t>VCO59064 AP6431032</t>
  </si>
  <si>
    <t>Departamento en Venta de Pozo - Altos de Maschwitz</t>
  </si>
  <si>
    <t>Altos de Maschwitz</t>
  </si>
  <si>
    <t>COF6441798</t>
  </si>
  <si>
    <t>VENTA Oficinas Premium 100 m2 Doble ingreso Buena altura Amenities BELGRANO</t>
  </si>
  <si>
    <t>Ciudad de la Paz al 300</t>
  </si>
  <si>
    <t>Riobamba 128</t>
  </si>
  <si>
    <t>CPH5060465</t>
  </si>
  <si>
    <t>Venta PH en Flores entrada independiente cochera</t>
  </si>
  <si>
    <t>Helguera al 800</t>
  </si>
  <si>
    <t>CHO6128413</t>
  </si>
  <si>
    <t>Casa en Venta esquina -Jardin -Terraza - Cochera - Lanús Oeste</t>
  </si>
  <si>
    <t>AYACUCHO al 100</t>
  </si>
  <si>
    <t>CAP6476181</t>
  </si>
  <si>
    <t>Luminoso Departamento 3 ambientes en Caballito - VENTA</t>
  </si>
  <si>
    <t>Formosa  al 500</t>
  </si>
  <si>
    <t>CAP6397490</t>
  </si>
  <si>
    <t>Departamento 3 ambientes con Dependencia, Cochera y Baulera en Belgrano VENTA</t>
  </si>
  <si>
    <t>Moldes  al 2100</t>
  </si>
  <si>
    <t>Depto San Juan</t>
  </si>
  <si>
    <t>Departamento San Juan 2D</t>
  </si>
  <si>
    <t>CLA6743732</t>
  </si>
  <si>
    <t xml:space="preserve">Venta Terreno Costa Jardin 2 Confluencia Rural </t>
  </si>
  <si>
    <t>Minas al 900</t>
  </si>
  <si>
    <t>CHO6386802</t>
  </si>
  <si>
    <t>Casa en venta zona Norte Santa Fe</t>
  </si>
  <si>
    <t>Casa en venta en zona Norte Santa Fe</t>
  </si>
  <si>
    <t>CAP6208209</t>
  </si>
  <si>
    <t>VENTA Depto céntrico Ramos Mejia</t>
  </si>
  <si>
    <t>Alvear al 100</t>
  </si>
  <si>
    <t>CHO6340585</t>
  </si>
  <si>
    <t>Venta casa 3 ambientes Banfield, Lomas de Zamora</t>
  </si>
  <si>
    <t>Luis Siciliano al 1400</t>
  </si>
  <si>
    <t>CAP6448965</t>
  </si>
  <si>
    <t>Venta Depto en lo mejor de Palermo. Impecable 3 ambientes c/Dep. Serv. Cochera</t>
  </si>
  <si>
    <t>Cerviño al 3600</t>
  </si>
  <si>
    <t>CAP6446293</t>
  </si>
  <si>
    <t>Venta Departamento 3 amb. a estrenar vista al Golf y Laguna C/ cochera subt.  en Yoo Nordelta</t>
  </si>
  <si>
    <t>CHO5781367</t>
  </si>
  <si>
    <t>VENTA Casa moderna 3 ambientes 86m2, lote 213m2, Lomas del Correntoso Villa La Angostura</t>
  </si>
  <si>
    <t>Del Radal  al 600, Villa la Angostura</t>
  </si>
  <si>
    <t>CAP5671791</t>
  </si>
  <si>
    <t>VENTA DEPARTAMENTO 4 AMBIENTES EN BELGRANO-TERRAZA PROPIA-AMENITIES-COCHERA</t>
  </si>
  <si>
    <t>3 de Febrero  al 2300</t>
  </si>
  <si>
    <t>Duplex Batilana</t>
  </si>
  <si>
    <t>CAP6536630</t>
  </si>
  <si>
    <t>Venta Departamento 2 Ambientes - Palermo Viejo</t>
  </si>
  <si>
    <t>Gascón  al 1100</t>
  </si>
  <si>
    <t>CAP6309186</t>
  </si>
  <si>
    <t>Departamento tipo Duplex 2 dormitorios Saravi Village Pilar</t>
  </si>
  <si>
    <t>Complejo Saravi Village Pilar</t>
  </si>
  <si>
    <t>Op. con inmo colega LOTE PH UF 3  VALLE CHAPELCO 312,05m2 NC 152106681480003</t>
  </si>
  <si>
    <t>CCH6728056</t>
  </si>
  <si>
    <t>Chacra en  Venta,  2has en Cipolletti. RN</t>
  </si>
  <si>
    <t>Chacra en Venta, Cipolletti</t>
  </si>
  <si>
    <t>VCO59064 AP6616999</t>
  </si>
  <si>
    <t>Departamento 3 AMB en Altos de Maschwitz - ENTREGA INMEDIATA - APTO CREDITO</t>
  </si>
  <si>
    <t>Departamento 3 AMB en Altos de Maschwitz - ENTREGA INMEDIATA</t>
  </si>
  <si>
    <t>CAP6589453</t>
  </si>
  <si>
    <t>VENTA DEPARTAMENTO 2 AMBIENTES BARRIO NORTE - ZONA FACULTADES. APTO CREDITO.</t>
  </si>
  <si>
    <t>CHO4029169</t>
  </si>
  <si>
    <t>VENTA Casa, 3 dormitorios, Pinar de Festa, Bariloche</t>
  </si>
  <si>
    <t>Pinar de Festa, Bariloche</t>
  </si>
  <si>
    <t>CLA6390065</t>
  </si>
  <si>
    <t>Terreno en  San Vicente</t>
  </si>
  <si>
    <t>San Vicente</t>
  </si>
  <si>
    <t>CHO6419915</t>
  </si>
  <si>
    <t>Venta Casa Reciclada 4 Ambientes con 2 Cocheras, 2 Patios y Terraza en Villa Domínico</t>
  </si>
  <si>
    <t>Pasaje Beazley 61</t>
  </si>
  <si>
    <t>CHO6381003</t>
  </si>
  <si>
    <t>VENTA CASA 5 AMBIENTES, C/ COCHERAS Y JARDÍN EN VICTORIA  SAN FERNANDO</t>
  </si>
  <si>
    <t>MORENO  al 2600</t>
  </si>
  <si>
    <t>CHO5556908</t>
  </si>
  <si>
    <t>Casa en venta zona sur sobre avenida</t>
  </si>
  <si>
    <t>casa en venta  zona sur sobre avenida</t>
  </si>
  <si>
    <t>CAP6680371</t>
  </si>
  <si>
    <t>VENTA DEPARTAMENTO 2 AMBIENTES CON COCHERA .SEGURIDAD 24 HS. RECOLETA</t>
  </si>
  <si>
    <t>Pacheco de Melo  al 2900</t>
  </si>
  <si>
    <t>CAP6566262</t>
  </si>
  <si>
    <t>VENTA MONOAMBIENTE RECICLADO EN PALERMO BOTÁNICO PISO 13 APTO CRÉDITO</t>
  </si>
  <si>
    <t>Avenida Scalabrini Ortiz  al 2500</t>
  </si>
  <si>
    <t>CHO6611477</t>
  </si>
  <si>
    <t xml:space="preserve">Casa en venta -4 ambientes-Mayling CC  </t>
  </si>
  <si>
    <t>chubut al 400</t>
  </si>
  <si>
    <t>David Magdalena al 2700</t>
  </si>
  <si>
    <t>CHO6053451</t>
  </si>
  <si>
    <t>VENTA CASA LOTE PROPIO 5 AMBIENTES PATIO TERRAZA USO COMERCIAL Y RESIDENCIAL PERMUTA</t>
  </si>
  <si>
    <t>TERRADA  al 300</t>
  </si>
  <si>
    <t>CHO5962170</t>
  </si>
  <si>
    <t>Casa | Alquiler | Cerrillos Santa Polonia</t>
  </si>
  <si>
    <t>CLUB DE CAMPO SANTA APOLONIA</t>
  </si>
  <si>
    <t>CAP6079787</t>
  </si>
  <si>
    <t>VENTA monoambiente 33m2, vista al lago, Departamento centro Bariloche</t>
  </si>
  <si>
    <t>Terrazasdeleste16</t>
  </si>
  <si>
    <t>Terrazas del Este Lote 16 M 19</t>
  </si>
  <si>
    <t>gallo 953</t>
  </si>
  <si>
    <t>El cano 179 / 267</t>
  </si>
  <si>
    <t xml:space="preserve">terreno y construcción </t>
  </si>
  <si>
    <t>san blas</t>
  </si>
  <si>
    <t>CAP6515981</t>
  </si>
  <si>
    <t>VENTA DEPARTAMENTO 2 AMBIENTES CON PATIO  EN FLORES</t>
  </si>
  <si>
    <t>Neuquen  al 2300</t>
  </si>
  <si>
    <t>CHO6475132</t>
  </si>
  <si>
    <t>Venta Casa 5 dormitorios, piscina, oficina,microcine/sala de grabación -Barrio El Trébol-Ezeiza</t>
  </si>
  <si>
    <t>Las Tipas al 600</t>
  </si>
  <si>
    <t>Argentina | G.B.A. Zona Sur | Ezeiza | La Union | Barrio Parque El Trébol</t>
  </si>
  <si>
    <t>Av. Maipú 2515</t>
  </si>
  <si>
    <t>AAP6580874</t>
  </si>
  <si>
    <t>2 AMBIENTES- QUIRNO 79 E/ AV. RIVADAVIA Y RAMON L. FALCON BAJAS EXPENSAS</t>
  </si>
  <si>
    <t>QUIRNO 79</t>
  </si>
  <si>
    <t>CLA6371588</t>
  </si>
  <si>
    <t>Terreno calle LA PAMPA 1120</t>
  </si>
  <si>
    <t>LA PAMPA 1120</t>
  </si>
  <si>
    <t>Argentina | Neuquen | Confluencia | Neuquen | Barrio Nuevo</t>
  </si>
  <si>
    <t>CPH6053421</t>
  </si>
  <si>
    <t>VENTA PH 2 AMBIENTES CON TERRAZA PROPIA EN COGHLAN</t>
  </si>
  <si>
    <t>MARIANO ACHA  al 2700</t>
  </si>
  <si>
    <t>CLA5599338</t>
  </si>
  <si>
    <t>Terreno en Triple Frente en Venta Apto Varios Destinos o  Desarrollo de Condominio</t>
  </si>
  <si>
    <t>Conesa</t>
  </si>
  <si>
    <t>Local 5</t>
  </si>
  <si>
    <t>Local 5 Saltos</t>
  </si>
  <si>
    <t>5 saltos</t>
  </si>
  <si>
    <t>CPN53289 LA5649238</t>
  </si>
  <si>
    <t>Terreno en  venta Lote Nº26 277 m2 en barrio cerrado Liquidambar calle 149 esquina 41</t>
  </si>
  <si>
    <t>Lote Nº26 277 m2 en venta calle 149 esquina 41 Bº cerrado liquidambar, La Plata</t>
  </si>
  <si>
    <t>Jacinto Diaz 948</t>
  </si>
  <si>
    <t>VHO6768457</t>
  </si>
  <si>
    <t>Casa en Venta con Jardín en Santa Ana Joven - Villanueva</t>
  </si>
  <si>
    <t>CAP6058620</t>
  </si>
  <si>
    <t>Laprida  al 1400</t>
  </si>
  <si>
    <t>CLA5985244</t>
  </si>
  <si>
    <t>Venta Terreno en Barrio Magallanes Hudson 600m2 - Acepta permuta</t>
  </si>
  <si>
    <t>Calle 63 S/N</t>
  </si>
  <si>
    <t>Argentina | G.B.A. Zona Sur | Berazategui | Countries/B.Cerrado (Berazategui) | Magallanes</t>
  </si>
  <si>
    <t>VAP6607532</t>
  </si>
  <si>
    <t>Departamento 3 AMB en Alquiler en Infinity Nordelta</t>
  </si>
  <si>
    <t>CAP6167344</t>
  </si>
  <si>
    <t xml:space="preserve">Departamento con pileta propia  - OSTEN TOWER - Puerto Madero </t>
  </si>
  <si>
    <t>Camila O'Gorman  al 400</t>
  </si>
  <si>
    <t>CHO6809753</t>
  </si>
  <si>
    <t>Casa en Loma Verde, Barrio Mi Campo</t>
  </si>
  <si>
    <t>County Mi Campo</t>
  </si>
  <si>
    <t>CAP6188138</t>
  </si>
  <si>
    <t>Venta -  Departamento - Semipiso-   Recoleta -  4 Ambientes - 5 Ambientes</t>
  </si>
  <si>
    <t>Arenales  al 2400</t>
  </si>
  <si>
    <t>CLA6382117</t>
  </si>
  <si>
    <t>Terreno en Ituzaingó</t>
  </si>
  <si>
    <t>Atacama  al 900</t>
  </si>
  <si>
    <t>Argentina | Corrientes | Ituzaingó | Ituzaingó | Ituzaingó</t>
  </si>
  <si>
    <t>APH6681646</t>
  </si>
  <si>
    <t xml:space="preserve">PH 2 ambientes con patio en Monte Castro  </t>
  </si>
  <si>
    <t>Pasaje Jose Verdi 1860</t>
  </si>
  <si>
    <t>VLA6614018</t>
  </si>
  <si>
    <t>Lote a la Laguna - Laguna Grande, Villanueva</t>
  </si>
  <si>
    <t>CAP6601171</t>
  </si>
  <si>
    <t>Departamento en  Santa Genoveva</t>
  </si>
  <si>
    <t>Entre Rios al 900</t>
  </si>
  <si>
    <t>CHO6661553</t>
  </si>
  <si>
    <t xml:space="preserve">Casa a terminar la secundina </t>
  </si>
  <si>
    <t xml:space="preserve">la secundina </t>
  </si>
  <si>
    <t>CHO6106676</t>
  </si>
  <si>
    <t>Casa en  venta Barrio Grand Bourg</t>
  </si>
  <si>
    <t xml:space="preserve">  BARRIO GRAND BOURG</t>
  </si>
  <si>
    <t>CHO6123521</t>
  </si>
  <si>
    <t>VENTA Casa 2 habitaciones 93m2 en lote de 846 m2 Tres Cerros  Villa la Angostura</t>
  </si>
  <si>
    <t>Río Minero 100</t>
  </si>
  <si>
    <t>CAP6317207</t>
  </si>
  <si>
    <t>VENTA Monoambiente 37m2 c/cochera cubierta y baulera, céntrico Apto Turístico, Villa La Angostura</t>
  </si>
  <si>
    <t>Complejo Patagonia Etapa II</t>
  </si>
  <si>
    <t>VHO5826521</t>
  </si>
  <si>
    <t>Casa al rio en venta en Naudir Aguas Privadas - Con Piscina - Amarra - A Estrenar</t>
  </si>
  <si>
    <t>Casa al rio en venta en Naudir Aguas Privadas</t>
  </si>
  <si>
    <t>CPH6440645</t>
  </si>
  <si>
    <t>Hermoso PH 3 ambientes con Patio y Cochera</t>
  </si>
  <si>
    <t>Guevara al 1500</t>
  </si>
  <si>
    <t>VCO59064 AP6619545</t>
  </si>
  <si>
    <t>Departamento Financiado 3 AMB en Altos de Maschwitz</t>
  </si>
  <si>
    <t>CAP5887847</t>
  </si>
  <si>
    <t>Departamento en  venta céntrico de 3amb Bariloche</t>
  </si>
  <si>
    <t>CAP6450767</t>
  </si>
  <si>
    <t>Departamento en  VENTA 2 ambientes  VILLA URQUIZA  BALCON VISTA ABIERTA</t>
  </si>
  <si>
    <t>Av. Triunvirato al 3900</t>
  </si>
  <si>
    <t>CHO6418896</t>
  </si>
  <si>
    <t>VENTA casa de 3 dormitorios, con excelente vista, Melipal, San Carlos de Bariloche</t>
  </si>
  <si>
    <t>Mariano Moreno  al 4600 El Faldeo Bariloche</t>
  </si>
  <si>
    <t>CAP6552523</t>
  </si>
  <si>
    <t>*RESERVADO* DEPARTAMENTO 3 AMB BALCON Y DEPENDENCIA</t>
  </si>
  <si>
    <t>Boulogne Sur Mer al 470</t>
  </si>
  <si>
    <t>CAP6306654</t>
  </si>
  <si>
    <t>Venta dos ambientes a estrenar amenities de categoria (Belgrano)</t>
  </si>
  <si>
    <t>Cramer  al 2547</t>
  </si>
  <si>
    <t>CHO6614984</t>
  </si>
  <si>
    <t>Casa en  Venta , Ruta Nacional 22, Cervantes</t>
  </si>
  <si>
    <t xml:space="preserve">Loteo Peumayen , Cervantes , Gral Roca </t>
  </si>
  <si>
    <t>Argentina | Rio Negro | General Roca | Cervantes</t>
  </si>
  <si>
    <t>CHO6610778</t>
  </si>
  <si>
    <t>Casa en  macro centro</t>
  </si>
  <si>
    <t>Urquiza  al 1800</t>
  </si>
  <si>
    <t>GustavoRemax</t>
  </si>
  <si>
    <t>Bariloche KM 5 Furman y Horacio Cruz</t>
  </si>
  <si>
    <t>CHO6581295</t>
  </si>
  <si>
    <t>VENTA casa principal   casa de Hues- Península San Pedro, S. C. de Bariloche</t>
  </si>
  <si>
    <t>Península San Pedro, San Carlos de  Bariloche</t>
  </si>
  <si>
    <t>Argentina | Rio Negro | Bariloche | San Carlos De Bariloche | Península de San Pedro</t>
  </si>
  <si>
    <t>Aguilar 2104</t>
  </si>
  <si>
    <t>CAP6636606</t>
  </si>
  <si>
    <t>VENTA MONOAMBIENTE CON BALCÓN EN BELGRANO R</t>
  </si>
  <si>
    <t>Av. Dr. Rómulo Naón al 2300</t>
  </si>
  <si>
    <t>CAP6805445</t>
  </si>
  <si>
    <t>Departamento en La Plata</t>
  </si>
  <si>
    <t>DEPTO 13 58 Y 59</t>
  </si>
  <si>
    <t>Sebastian Gaboto 197</t>
  </si>
  <si>
    <t>sebastian gaboto 197</t>
  </si>
  <si>
    <t>CGA6497473</t>
  </si>
  <si>
    <t xml:space="preserve">Cochera en venta calle 45 e/ 5 y 6 </t>
  </si>
  <si>
    <t>Cochera en venta calle 45 e/ 5 y 6</t>
  </si>
  <si>
    <t>Terreno manu conflu</t>
  </si>
  <si>
    <t>Terreno estado de israel</t>
  </si>
  <si>
    <t>CAP6805955</t>
  </si>
  <si>
    <t>DIAG 79 Y 55</t>
  </si>
  <si>
    <t>VLA5426074</t>
  </si>
  <si>
    <t xml:space="preserve">Terreno en Venta en Jose C Paz </t>
  </si>
  <si>
    <t>Lote en Venta - Barrio Yei Pora - Los Pinos III</t>
  </si>
  <si>
    <t>Argentina | G.B.A. Zona Norte | Jose Clemente Paz | Countries/B.Cerrado (Jose C Paz)</t>
  </si>
  <si>
    <t>CAP5421831</t>
  </si>
  <si>
    <t>VENTA DEPARTAMENTO 3/4 AMBIENTES EN RECOLETA RECICLADO</t>
  </si>
  <si>
    <t>PUEYRREDON al 1900</t>
  </si>
  <si>
    <t>CLA6306363</t>
  </si>
  <si>
    <t>Terreno en Dina Huapi con vista al Cerro Leones</t>
  </si>
  <si>
    <t>CAP6536377</t>
  </si>
  <si>
    <t>VENTA 2 ambientes con cochera Belgrano apto prof</t>
  </si>
  <si>
    <t>Migueletes  al 1700</t>
  </si>
  <si>
    <t>CAP6480746</t>
  </si>
  <si>
    <t xml:space="preserve">Venta 3 amb refaccionado a nuevo </t>
  </si>
  <si>
    <t>Av independencia 3270</t>
  </si>
  <si>
    <t>CAP6647785</t>
  </si>
  <si>
    <t>Monoambiente  en  venta en macrocentro Salta</t>
  </si>
  <si>
    <t>GRAL GUEMES al 1400</t>
  </si>
  <si>
    <t>CLA6351991</t>
  </si>
  <si>
    <t>VENTA Lote/terreno de 407,04 m2, UF 26 loteo Quetrihue B° Selva Triste Villa la Angostura</t>
  </si>
  <si>
    <t>65Emi</t>
  </si>
  <si>
    <t>Local en Venta</t>
  </si>
  <si>
    <t>Francia 2386</t>
  </si>
  <si>
    <t>Departamento al LAGO con opción de muebles - El Palmar</t>
  </si>
  <si>
    <t>INFINITY al 100</t>
  </si>
  <si>
    <t>Argentina | G.B.A. Zona Norte | Tigre | Countries/B.Cerrado (Tigre) | Nordelta | El Palmar</t>
  </si>
  <si>
    <t>CAP6393722</t>
  </si>
  <si>
    <t>Departamento en  Villa Santa Rita</t>
  </si>
  <si>
    <t>Remedios Escalada de San Martín 2700 Villa Santa Rita Complejo Los Naranjos</t>
  </si>
  <si>
    <t>CHO5742397</t>
  </si>
  <si>
    <t>Casa en  Venta Libertad 500 Nqn Capital</t>
  </si>
  <si>
    <t>Libertad 500</t>
  </si>
  <si>
    <t>Argentina | Neuquen | Capital | Área Centro Sur</t>
  </si>
  <si>
    <t>CLA6350198</t>
  </si>
  <si>
    <t>EN VENTA Terreno de 231m2 calle 43 e / 209 y 210</t>
  </si>
  <si>
    <t>Lote en calle 43 entre 209 y 210</t>
  </si>
  <si>
    <t>VAP6563252</t>
  </si>
  <si>
    <t>Departamento en  venta 2 ambientes en Palermo. Cañitas.  Libertador y Matienzo</t>
  </si>
  <si>
    <t>Av. Libertador  al 4600</t>
  </si>
  <si>
    <t>CHO1168737</t>
  </si>
  <si>
    <t>VENTA - Casa - Loma Hermosa - permuta - villa bosch - coronado -</t>
  </si>
  <si>
    <t>RIO ATUEL al 9800</t>
  </si>
  <si>
    <t>CAP6242053</t>
  </si>
  <si>
    <t>COMERCIALIZACION - TIPO DE INMUEBLE - CANT AMBIENTES - UBICACION - DISTINTIVO</t>
  </si>
  <si>
    <t>Arenales al 1900</t>
  </si>
  <si>
    <t>Uf 52 Paseo Retamas Monoambiente 39,95 m3</t>
  </si>
  <si>
    <t>Estados Unidos    1342 1° Dpto G</t>
  </si>
  <si>
    <t>UF N° 23 de 407,04 m2 Loteo B, Loteo Quetrihue</t>
  </si>
  <si>
    <t>Bv. Quetrihue y Bv. Amancay</t>
  </si>
  <si>
    <t>CLA6618292</t>
  </si>
  <si>
    <t>Terreno en  VENTA VALLE AZUL Bariloche</t>
  </si>
  <si>
    <t>VALLE AZUL -CASCADA CHACHIN</t>
  </si>
  <si>
    <t>CAP6314403</t>
  </si>
  <si>
    <t>Venta Departamento 2 ambientes en Vista Belgrano</t>
  </si>
  <si>
    <t>Ciudad de la Paz  al 2300</t>
  </si>
  <si>
    <t>CPH6427458</t>
  </si>
  <si>
    <t>VENTA PH OPORTUNIDAD VILLA DEVOTO</t>
  </si>
  <si>
    <t>Alejandro Margariños Cervantes  al 3700</t>
  </si>
  <si>
    <t>CBU60695 AP6633715</t>
  </si>
  <si>
    <t>Departamento en  Venta en Lujan de Cuyo - Mendoza</t>
  </si>
  <si>
    <t>Azcuenaga s/n</t>
  </si>
  <si>
    <t>Av. Alvarez Thomas 805</t>
  </si>
  <si>
    <t>CHO5663532</t>
  </si>
  <si>
    <t>VENTA Casa 5 ambientes en Olivos con jardín y cochera</t>
  </si>
  <si>
    <t>Juan Bautista Alberdi al 1900</t>
  </si>
  <si>
    <t>CAP6674356</t>
  </si>
  <si>
    <t>EN NEGOCIACION Venta Departamento Monoambiente con Balcón al frente y amenities en Palermo Hollywood</t>
  </si>
  <si>
    <t>CHO5238945</t>
  </si>
  <si>
    <t>Casa en venta centro calle Independencia al 300</t>
  </si>
  <si>
    <t>Independencia al 200</t>
  </si>
  <si>
    <t>CLA6620063</t>
  </si>
  <si>
    <t>TERRENO EN BARRIO LOS PERALES</t>
  </si>
  <si>
    <t>LOTEO ADIUNJU ENTRE CALLES JUNQUERO Y LA REINA MORA</t>
  </si>
  <si>
    <t>Campo Salles</t>
  </si>
  <si>
    <t>Departamento venta Campo Salles</t>
  </si>
  <si>
    <t>VAP6391198</t>
  </si>
  <si>
    <t>Departamento en Venta - 4 AMB - Santa Ana Joven</t>
  </si>
  <si>
    <t>Avenida Italia al 4300</t>
  </si>
  <si>
    <t>VLA5181460</t>
  </si>
  <si>
    <t>Lote / terreno en venta en El Cazal - Escobar - Barrio Nautico - interno</t>
  </si>
  <si>
    <t>LOTE 50 Barrio Nautico Cazal - Escobar</t>
  </si>
  <si>
    <t>Argentina | G.B.A. Zona Norte | Escobar | Countries/B.Cerrado (Escobar) | El Cazal</t>
  </si>
  <si>
    <t>Rio Dulce</t>
  </si>
  <si>
    <t>Casa Rio Dulce</t>
  </si>
  <si>
    <t xml:space="preserve">Argentina | Neuquen | Capital | Área Centro Este </t>
  </si>
  <si>
    <t>Av. Álvarez Thomas 827</t>
  </si>
  <si>
    <t>Lote 1N de 950.12 M2 ubicado en loteo “jarama”, nomenclatura catastral (lote madre) 16-20-062-9693-0000, de la ciudad de Villa la Angostura,</t>
  </si>
  <si>
    <t>Libertad 200</t>
  </si>
  <si>
    <t>CAP6316140</t>
  </si>
  <si>
    <t>VENTA Departamento 3 Ambientes con Patio en PALERMO, PALERMO SOHO</t>
  </si>
  <si>
    <t>Coronel Diaz al 1800</t>
  </si>
  <si>
    <t>Migueletes 524</t>
  </si>
  <si>
    <t>CHO6608939</t>
  </si>
  <si>
    <t>Venta Espectacular Casa de 5 ambientes en  Palermo Hollywood</t>
  </si>
  <si>
    <t>Angel Carranza al 1700</t>
  </si>
  <si>
    <t>CAP6614633</t>
  </si>
  <si>
    <t>VENTA DEPARTAMENTO 3 AMBIENTES DUPLEX EN VILLA DEVOTO</t>
  </si>
  <si>
    <t>Av Segurola  al 3200</t>
  </si>
  <si>
    <t>CBU58163 AP6335569</t>
  </si>
  <si>
    <t>Rodriguez Peña  1136 - 3 A</t>
  </si>
  <si>
    <t>COF6644752</t>
  </si>
  <si>
    <t>Monoambiente en Venta - Apto vivienda o apto profesional - Studios - Ayres Vila</t>
  </si>
  <si>
    <t>CAP6598331</t>
  </si>
  <si>
    <t xml:space="preserve">Departamento 3 ambientes con balcon y baño completo </t>
  </si>
  <si>
    <t>san luis al 3100</t>
  </si>
  <si>
    <t>CAP6398751</t>
  </si>
  <si>
    <t>VENTA EXCELENTE DEPARTAMENTO  3 AMBIENTES CON COCHERA</t>
  </si>
  <si>
    <t>Charlone  al 1200</t>
  </si>
  <si>
    <t>Berazategui</t>
  </si>
  <si>
    <t xml:space="preserve">Argentina | G.B.A. Zona Sur | Berazategui </t>
  </si>
  <si>
    <t>Altos de Podesta - Manzana 25 Casa 16</t>
  </si>
  <si>
    <t>CPH6643473</t>
  </si>
  <si>
    <t>Venta PH 3 ambientes Patio Wilde</t>
  </si>
  <si>
    <t>Lartigau 555</t>
  </si>
  <si>
    <t>CHO6642786</t>
  </si>
  <si>
    <t>Casa en venta en neuquen capital</t>
  </si>
  <si>
    <t>chocon  al 2000</t>
  </si>
  <si>
    <t>CAP6287723</t>
  </si>
  <si>
    <t>Departamento 5 Ambientes   Balcon  y Terraza en Belgrano R</t>
  </si>
  <si>
    <t>Av de los Incas  al 3800</t>
  </si>
  <si>
    <t>CHO6606168</t>
  </si>
  <si>
    <t>Casa QUINCHO EN VILLA EL CHOCON</t>
  </si>
  <si>
    <t>S.N</t>
  </si>
  <si>
    <t>Argentina | Neuquen | Confluencia | Villa El Chocon</t>
  </si>
  <si>
    <t>CAP6492091</t>
  </si>
  <si>
    <t>Departamento en  Cipolletti</t>
  </si>
  <si>
    <t>San Martin al 700</t>
  </si>
  <si>
    <t>CLA6713319</t>
  </si>
  <si>
    <t>Terreno en Confluencia</t>
  </si>
  <si>
    <t>Belisle</t>
  </si>
  <si>
    <t>CLA6236629</t>
  </si>
  <si>
    <t>Terreno en  venta en barrio abierto SENDAS UR</t>
  </si>
  <si>
    <t>SENDAS UR</t>
  </si>
  <si>
    <t>CAP6446046</t>
  </si>
  <si>
    <t>VENTA DEPARTAMENTO 2 AMBIENTES CON BALCÓN Y GARAGE -  LOMAS DE ZAMORA</t>
  </si>
  <si>
    <t>AVENIDA ALMIRANTE BROWN al 2200</t>
  </si>
  <si>
    <t>Argentina | G.B.A. Zona Sur | Lomas De Zamora (Partido) | Lomas De Zamora | Lomas de Zamora Este</t>
  </si>
  <si>
    <t>CAP6435586</t>
  </si>
  <si>
    <t>Venta Departamento Monoambiente en Devoto.</t>
  </si>
  <si>
    <t>Bahía Blanca al 3300</t>
  </si>
  <si>
    <t>CAP6556808</t>
  </si>
  <si>
    <t>Departamento 3 ambientes  en ALQUILER en Arboris Las Lomas - San Isidro</t>
  </si>
  <si>
    <t>don bosco al 1500 ARBORIS LAS LOMAS</t>
  </si>
  <si>
    <t>italia 4545</t>
  </si>
  <si>
    <t>CAP5970035</t>
  </si>
  <si>
    <t>Departamento 4 ambientes Nuñez TODO A NUEVO Luminoso VENTA Seguridad</t>
  </si>
  <si>
    <t>Manzanares al 1800</t>
  </si>
  <si>
    <t>CLA6677667</t>
  </si>
  <si>
    <t>Terreno en  Buen Clima</t>
  </si>
  <si>
    <t xml:space="preserve">Buen Clima </t>
  </si>
  <si>
    <t>CAP6563369</t>
  </si>
  <si>
    <t>Venta Departamento 3 ambientes con dependencia y balcon Piso alto en Recoleta - Barrio Norte</t>
  </si>
  <si>
    <t>Junin  al 400</t>
  </si>
  <si>
    <t>Referido - Bariloche</t>
  </si>
  <si>
    <t>Valentin Vergara 1471</t>
  </si>
  <si>
    <t>CLA6564185</t>
  </si>
  <si>
    <t>Terreno en  venta villa Casa del Sol San luis</t>
  </si>
  <si>
    <t>casa del sol</t>
  </si>
  <si>
    <t>calle 14 del Luján 306</t>
  </si>
  <si>
    <t>ESCOBAR</t>
  </si>
  <si>
    <t>CAP6465196</t>
  </si>
  <si>
    <t>VENTA DEPARTAMENTO 3 AMBIENTES C/ BALCON AL FRENTE Y VISTA ABIERTA. COLEGIALES. APTO CREDITO.</t>
  </si>
  <si>
    <t>Cespedes y Av. Cabildo</t>
  </si>
  <si>
    <t>CPH5661202</t>
  </si>
  <si>
    <t>PH DE 2 AMB CON PATIO EN FLORES</t>
  </si>
  <si>
    <t>YERBAL 3100</t>
  </si>
  <si>
    <t>CLA6239420</t>
  </si>
  <si>
    <t>Venta terreno/lote en Mataderos</t>
  </si>
  <si>
    <t>Basualdo  al 900</t>
  </si>
  <si>
    <t>AHO6355214</t>
  </si>
  <si>
    <t>Casa de 3 amb en Lomas de Zamora</t>
  </si>
  <si>
    <t>Segunda Andes al 1100</t>
  </si>
  <si>
    <t>APH5198583</t>
  </si>
  <si>
    <t>PH 5 ambientes con quincho y terraza</t>
  </si>
  <si>
    <t>Chivilcoy 4800</t>
  </si>
  <si>
    <t>VLA5679693</t>
  </si>
  <si>
    <t>Terreno en  Pilar Barrio Privado Verona</t>
  </si>
  <si>
    <t>Venta Lote interno Verona - Pilar</t>
  </si>
  <si>
    <t>VLA5679751</t>
  </si>
  <si>
    <t>Lote Perimetral Verona Pilar</t>
  </si>
  <si>
    <t>VPN7622 LA4688472</t>
  </si>
  <si>
    <t>VENTA LOTE INTERNO - Bahía VILLANUEVA</t>
  </si>
  <si>
    <t xml:space="preserve">BAHIA VILLANUEVA </t>
  </si>
  <si>
    <t>Argentina | G.B.A. Zona Norte | Tigre | Countries/B.Cerrado (Tigre) | Villanueva | Bahia</t>
  </si>
  <si>
    <t>CPH5961166</t>
  </si>
  <si>
    <t>Espectacular PH 5 Ambientes Con Patio/Gran Terraza</t>
  </si>
  <si>
    <t>Honduras 4000</t>
  </si>
  <si>
    <t>CHO6603149</t>
  </si>
  <si>
    <t xml:space="preserve">CASA A LA VENTA EN BERISSO </t>
  </si>
  <si>
    <t>Argentina | G.B.A. Zona Sur | Berisso | Berisso</t>
  </si>
  <si>
    <t>CHO4635234</t>
  </si>
  <si>
    <t>Casa - Villa Santos Tesei</t>
  </si>
  <si>
    <t>Santa Monica al 4100</t>
  </si>
  <si>
    <t>CAP6370946</t>
  </si>
  <si>
    <t>Monoambiente en Venta | AS.EM.BA.PR.A.S</t>
  </si>
  <si>
    <t>Monoambiente | Venta | AS.EM.BA.PR.A.S</t>
  </si>
  <si>
    <t>CHO5741428</t>
  </si>
  <si>
    <t>Casa en Barrio Sargento Cabral</t>
  </si>
  <si>
    <t>Sarmiento al 5300</t>
  </si>
  <si>
    <t>58 Santa Clara al sur</t>
  </si>
  <si>
    <t>lote venta Santa Clara al sur 58</t>
  </si>
  <si>
    <t>CLA6353157</t>
  </si>
  <si>
    <t>LOTES en Barrio DON CARMELO - 22 y 652</t>
  </si>
  <si>
    <t>Lautaro 46</t>
  </si>
  <si>
    <t>CAP5978284</t>
  </si>
  <si>
    <t>Venta - Departamento - 4 Ambientes - Luminoso - Parque Avellaneda</t>
  </si>
  <si>
    <t>Directorio  al 4000</t>
  </si>
  <si>
    <t>CLA6353983</t>
  </si>
  <si>
    <t>VENTA Lote/Terrero 1 o 2 Linderos B° El Remanso, San Martin de los Andes</t>
  </si>
  <si>
    <t>sin nombre</t>
  </si>
  <si>
    <t>CLA6588851</t>
  </si>
  <si>
    <t>Venta Terreno en Santa Clara al Sur  San Vicente Canning</t>
  </si>
  <si>
    <t>Terreno en Venta - Barrio Santa Clara Al Sur</t>
  </si>
  <si>
    <t>Argentina | G.B.A. Zona Sur | San Vicente | Countries/B.Cerrado (San Vicente) | Santa Clara al Sur</t>
  </si>
  <si>
    <t>CAP6382284</t>
  </si>
  <si>
    <t>MONOAMBIENTE PREMIUM</t>
  </si>
  <si>
    <t>San Martin   al 425</t>
  </si>
  <si>
    <t>CLA6660815</t>
  </si>
  <si>
    <t>VENTA  Lote 805m2 10 Manzana A  POSTAL PATAGONIA  San Martin de los Andes</t>
  </si>
  <si>
    <t>206 Santa Clara al sur</t>
  </si>
  <si>
    <t>lote venta Santa Clara 206</t>
  </si>
  <si>
    <t>Casa venta Santa Ines</t>
  </si>
  <si>
    <t xml:space="preserve">Casa venta Santa Ines </t>
  </si>
  <si>
    <t xml:space="preserve">Argentina | G.B.A. Zona Sur | Ezeiza </t>
  </si>
  <si>
    <t>CHO5706080</t>
  </si>
  <si>
    <t>Casa en Luis Guillon- 4 AMBIENTES - COCHERA - PARRILLA- QUINCHO-PERMUTA EN LA COSTA</t>
  </si>
  <si>
    <t>Bruzzone</t>
  </si>
  <si>
    <t>CPH6339980</t>
  </si>
  <si>
    <t xml:space="preserve">VENTA Departamento PH, Pinar de Festa </t>
  </si>
  <si>
    <t xml:space="preserve"> CHO6750139</t>
  </si>
  <si>
    <t>Old man 704, lote 480</t>
  </si>
  <si>
    <t>CLA6591657</t>
  </si>
  <si>
    <t>CLA5945502</t>
  </si>
  <si>
    <t>Terreno Lote en  Venta El Canton Golf</t>
  </si>
  <si>
    <t>El Canton Golf 20</t>
  </si>
  <si>
    <t>CPH6681869</t>
  </si>
  <si>
    <t xml:space="preserve">Duplex en  Altos de Limay </t>
  </si>
  <si>
    <t xml:space="preserve"> Altos de Limay, Neuquén </t>
  </si>
  <si>
    <t>CLO6479075</t>
  </si>
  <si>
    <t>Local en  venta en Barrio Norte</t>
  </si>
  <si>
    <t>Charcas  al 2500</t>
  </si>
  <si>
    <t>Lote 206m2, NC: 15-21-061-5523-0000, SMA</t>
  </si>
  <si>
    <t>CHO6053791</t>
  </si>
  <si>
    <t>Casa con gran terreno! OPORTUNIDAD!</t>
  </si>
  <si>
    <t>OPORTUNIDAD CASA CON GRAN TERRENO 3 dormitorios , JJ Castelli 4300</t>
  </si>
  <si>
    <t>Terrazasdeleste01</t>
  </si>
  <si>
    <t>Terrazas del Este UF 01</t>
  </si>
  <si>
    <t>CAP6639397</t>
  </si>
  <si>
    <t>VENTA monoambiente apto turismo, San Carlos de Bariloche</t>
  </si>
  <si>
    <t>CBU60233 AP6592855</t>
  </si>
  <si>
    <t>Terrazasdeleste17</t>
  </si>
  <si>
    <t>Terrazas del Este UF 17</t>
  </si>
  <si>
    <t>Terrazas del Este UF 18</t>
  </si>
  <si>
    <t>Av. Eva Perón 3800, 2° "B" Billinghurst, San Martín, Prov. Bs. As.</t>
  </si>
  <si>
    <t>CAP6700432</t>
  </si>
  <si>
    <t>Departamento en venta Barrio Parque Belgrano - Zona Norte - Salta Capital</t>
  </si>
  <si>
    <t>Barrio Parque Belgrano Block 17</t>
  </si>
  <si>
    <t>CLA6695688</t>
  </si>
  <si>
    <t>VENTA Lote/Terreno 1.651,30m2 Las Marías del Valle, Club de campo, San Martín de los Andes</t>
  </si>
  <si>
    <t xml:space="preserve"> RN 40  al 2200</t>
  </si>
  <si>
    <t>Argentina | Neuquen | Lacar | San Martin De Los Andes | Las Marias Del Valle</t>
  </si>
  <si>
    <t>Pola 2800</t>
  </si>
  <si>
    <t>POLA 2855 DPTO 3</t>
  </si>
  <si>
    <t>CAP6454429</t>
  </si>
  <si>
    <t>VENTA Departamento 2 ambientes A estrenar Balcón al Frente Villa Urquiza</t>
  </si>
  <si>
    <t>CAP6440015</t>
  </si>
  <si>
    <t>VENTA DEPARTAMENTO 3 AMBIENTES BALCON CORRIDO COGHLAN</t>
  </si>
  <si>
    <t>Manuela Pedraza al 3600</t>
  </si>
  <si>
    <t>CHO5699741</t>
  </si>
  <si>
    <t>VENTA  CASA  LOTE PROPIO 6 AMBIENTES DOS COCHERAS PISCINA TERRAZA JARDIN TERRAZA</t>
  </si>
  <si>
    <t>Sargento Cabral  al 3200</t>
  </si>
  <si>
    <t>Argentina | G.B.A. Zona Norte | Vicente López | Munro | Munro-Este</t>
  </si>
  <si>
    <t>CAP6625851</t>
  </si>
  <si>
    <t>Venta Departamento 2 ambientes en  Belgrano muy luminoso y silencioso excelente ubicación.</t>
  </si>
  <si>
    <t>OLAZÁBAL al 2000</t>
  </si>
  <si>
    <t>CAP6003828</t>
  </si>
  <si>
    <t xml:space="preserve">Departamento en  Venta Complejo Jardines de Esmeralda </t>
  </si>
  <si>
    <t xml:space="preserve"> Miguel Muñoz al 1000</t>
  </si>
  <si>
    <t>CAP6420218</t>
  </si>
  <si>
    <t>Venta Departamento Monoambiente con Balcón y Cochera en Las Cañitas</t>
  </si>
  <si>
    <t>Eslovenia 1900</t>
  </si>
  <si>
    <t>CAP6118322</t>
  </si>
  <si>
    <t>Venta Departamento 2 Ambientes a Estrenar en Caseros</t>
  </si>
  <si>
    <t>CBU39556 AP3990515</t>
  </si>
  <si>
    <t>VENTA Departamento 2 Ambientes - Monserrat</t>
  </si>
  <si>
    <t>B cerrado valle claro</t>
  </si>
  <si>
    <t>la perdiz</t>
  </si>
  <si>
    <t>Departamento en construcción MBV Manzano Bay View UF XXVI y UC (a designar) de baulera de total de 72,5 m2 (cubierta 58 m2 + Terraza 12 + 2,5 baulera m2)</t>
  </si>
  <si>
    <t>Malaver 2725</t>
  </si>
  <si>
    <t>malaver</t>
  </si>
  <si>
    <t>CAP6517340</t>
  </si>
  <si>
    <t>VENTA DEPARTAMENTO 3 AMBIENTES EN FLORIDA</t>
  </si>
  <si>
    <t>Vergara al 2300</t>
  </si>
  <si>
    <t>VHO6370655</t>
  </si>
  <si>
    <t>Casa en Country Club Privado Loma Verde</t>
  </si>
  <si>
    <t>Casa en Club Privado Loma Verde</t>
  </si>
  <si>
    <t>Argentina | G.B.A. Zona Norte | Escobar | Loma Verde | Country Club Privado Loma Verde</t>
  </si>
  <si>
    <t>Cramer 2547 9B</t>
  </si>
  <si>
    <t>Emi63</t>
  </si>
  <si>
    <t>Casa en Guadalupe</t>
  </si>
  <si>
    <t>Cardenal Fasolino 466</t>
  </si>
  <si>
    <t>CBA47695 LA6368113</t>
  </si>
  <si>
    <t>VENTA terreno de 315,33 m2 en LOTEO "ANTIGUO CAMINO" Bariloche</t>
  </si>
  <si>
    <t>Salcedo 2913</t>
  </si>
  <si>
    <t>VAP6500846</t>
  </si>
  <si>
    <t>Departamento en  venta !! OPORTUNIDAD</t>
  </si>
  <si>
    <t>Cramer 1660 al 1600</t>
  </si>
  <si>
    <t>VHO5927190</t>
  </si>
  <si>
    <t>Casa de Santa Ana Joven - 3 AMB - OPORTUNIDAD- Villanueva</t>
  </si>
  <si>
    <t>VHO6454255</t>
  </si>
  <si>
    <t>Casa en Venta - 4 AMB a Estrenar en Santa Isabel II</t>
  </si>
  <si>
    <t>TORRES ZAFIRO</t>
  </si>
  <si>
    <t>Ruta 27, Torres Zafiro</t>
  </si>
  <si>
    <t>CAP6280063</t>
  </si>
  <si>
    <t>Venta 3 ambientes con patio propio reciclado mas cochera!</t>
  </si>
  <si>
    <t>Avenida Pueyrredon al 2100</t>
  </si>
  <si>
    <t>CHO6571935</t>
  </si>
  <si>
    <t>Casa en  barrio Sto. Cabral- Santa Fe</t>
  </si>
  <si>
    <t>Pje Madeo  al 4400</t>
  </si>
  <si>
    <t>Tinogasta 3128 5° "A" CABA</t>
  </si>
  <si>
    <t>CAP6092043</t>
  </si>
  <si>
    <t>Departamento en Villa Santa Rita</t>
  </si>
  <si>
    <t>Camarones  al 3100</t>
  </si>
  <si>
    <t>CAP6403040</t>
  </si>
  <si>
    <t>DEPARTAMENTO en 1 y 57 LA PLATA</t>
  </si>
  <si>
    <t>DEPARTAMENTO 1 dormitorio en 1 y 57</t>
  </si>
  <si>
    <t>CBU60695 AP6633713</t>
  </si>
  <si>
    <t>CHO6149910</t>
  </si>
  <si>
    <t>Casa en  Venta para reciclar - Tupungato - Mendoza</t>
  </si>
  <si>
    <t>Calle Irigoyen al 200</t>
  </si>
  <si>
    <t>Argentina | Mendoza | Tupungato | San Jose De Tupungato</t>
  </si>
  <si>
    <t>CPH6260765</t>
  </si>
  <si>
    <t xml:space="preserve">Duplex a Estrenar de 3 Dormitorios en Venta en Confluencia  </t>
  </si>
  <si>
    <t>granaderos al 500</t>
  </si>
  <si>
    <t>CLA5824535</t>
  </si>
  <si>
    <t xml:space="preserve">Oportunidad de inversión! Terreno en Tres Cerritos con hermosas vistas de la ciudad. </t>
  </si>
  <si>
    <t>Los Parrales al 800</t>
  </si>
  <si>
    <t>PARANA 3296</t>
  </si>
  <si>
    <t>CPH6286814</t>
  </si>
  <si>
    <t>PH EN MARTINEZ CON COCHERA CUBIERTA JARDIN INTRADA INDIVIDUAL TIPO CHALET</t>
  </si>
  <si>
    <t>VELEZ SARSFIELD 800</t>
  </si>
  <si>
    <t>CGL6038938</t>
  </si>
  <si>
    <t>CAP6674303</t>
  </si>
  <si>
    <t>pujol 1095 7A</t>
  </si>
  <si>
    <t>Pujol 1095 7A</t>
  </si>
  <si>
    <t>Departamento 2 ambientes de 58,97 m2? -  UF 58, parte del Edificio Nº 2 más su unidad complementaria (cochera) N° 2, conforme croquis adjunto en el ANEXO III, ubicado en calle Las Retamas y Las Mutisias, que será parte del Fideicomiso Retamas, emprendimie</t>
  </si>
  <si>
    <t>CHO6440273</t>
  </si>
  <si>
    <t>VENTA Casa 2 ambientes 60m² dos plantas Terreno 200m²  B° Los Manzanos, San Martín de los Andes</t>
  </si>
  <si>
    <t xml:space="preserve"> Lote 3, mza E</t>
  </si>
  <si>
    <t>TerrenoLomasdelCauquen</t>
  </si>
  <si>
    <t xml:space="preserve">Terreno Monte Moro N°541 </t>
  </si>
  <si>
    <t>Terrazasdeleste</t>
  </si>
  <si>
    <t xml:space="preserve">Terreno Terrazas del Este </t>
  </si>
  <si>
    <t>CLO6520624</t>
  </si>
  <si>
    <t>Venta de Local en Manzanares Paseo Dino</t>
  </si>
  <si>
    <t>Paseo Dino, Manzanares</t>
  </si>
  <si>
    <t>CAP6492529</t>
  </si>
  <si>
    <t>venta - Departamento dos ambientes - villa urquiza - balcon - amenities</t>
  </si>
  <si>
    <t>Pedro Ignacio Rivera  al 4700</t>
  </si>
  <si>
    <t xml:space="preserve">GRANADEROS CABA </t>
  </si>
  <si>
    <t xml:space="preserve">DPTO GRANADEROS </t>
  </si>
  <si>
    <t>GRANADERO 467</t>
  </si>
  <si>
    <t>VCO60746 AP6653300</t>
  </si>
  <si>
    <t>Departamento 2 ambientes a estrenar con amenities</t>
  </si>
  <si>
    <t>Guiraldes  400</t>
  </si>
  <si>
    <t>Argentina | G.B.A. Zona Norte | Tigre | Don Torcuato | Ibanez</t>
  </si>
  <si>
    <t>Bartolomé Hidalgo 3056</t>
  </si>
  <si>
    <t>CPH6635419</t>
  </si>
  <si>
    <t xml:space="preserve">PH duplex </t>
  </si>
  <si>
    <t>ph duplex 139 50 y139 50 y 52 52</t>
  </si>
  <si>
    <t>Ecuador 1182 5A</t>
  </si>
  <si>
    <t>CBU49671 AP6414032</t>
  </si>
  <si>
    <t>Departamento Monoambiente divisible A Estrenar con Balcon Piso 1 - Villa Urquiza VENTA</t>
  </si>
  <si>
    <t>CAP6452531</t>
  </si>
  <si>
    <t>Departamento en  Junin 530</t>
  </si>
  <si>
    <t>Junin 530</t>
  </si>
  <si>
    <t>CCM54953 LO5934597</t>
  </si>
  <si>
    <t>Local en  Porto San Lorenzo chico</t>
  </si>
  <si>
    <t>san Lorenzo chico</t>
  </si>
  <si>
    <t>CBU59337 AP6535062</t>
  </si>
  <si>
    <t>VENTA Monoambiente 43,72m2 - UF 51, pozo, Paseo Retamas, Villa la Angostura, Villa la Angostura</t>
  </si>
  <si>
    <t>VENTA Monoambiente 39,94m2 - UF 50, pozo, Paseo Retamas, Villa la Angostura, Villa la Angostura</t>
  </si>
  <si>
    <t>CBU59337 AP6535088</t>
  </si>
  <si>
    <t>VENTA Departamento céntrico 2 amb 59,64m2 UF 73 - en pozo, Paseo Retamas, El Cruce,  Las Retamas 300, Villa la Angostura</t>
  </si>
  <si>
    <t>CAP6333484</t>
  </si>
  <si>
    <t>VENTA DEPARTAMENTO 3 AMBIENTES con gran patio EN PALERMO</t>
  </si>
  <si>
    <t>ARAOZ  2400</t>
  </si>
  <si>
    <t>JLO5618192</t>
  </si>
  <si>
    <t>VENTA LOCAL LOMAS DE ZAMORA</t>
  </si>
  <si>
    <t>General Carlos María de Alvear  al 600</t>
  </si>
  <si>
    <t>CHO5264010</t>
  </si>
  <si>
    <t>CASA EN VENTA, 3 AMBIENTES, SAN SEBASTIAN, AREA 12</t>
  </si>
  <si>
    <t>Hermosa Casa en San Sebastián, área 12</t>
  </si>
  <si>
    <t>CLA5798692</t>
  </si>
  <si>
    <t>Terreno en  Venta Sauce Viejo Santa Fe</t>
  </si>
  <si>
    <t>Terreno en Venta, Guatemala entre Antartida Argentina y Malvinas, Sauce Viejo</t>
  </si>
  <si>
    <t>OP 85</t>
  </si>
  <si>
    <t>Gelly  y Obes 2243 5</t>
  </si>
  <si>
    <t>CAP6363861</t>
  </si>
  <si>
    <t>Venta Departamento 3 Ambientes en Complejo Al Río c/ cochera - baulera - balcón</t>
  </si>
  <si>
    <t>Juan Carlos Cruz 100</t>
  </si>
  <si>
    <t>CLA6158186</t>
  </si>
  <si>
    <t>¡Terreno para desarrollar en pleno Florida! ¡701 mts construíbles!</t>
  </si>
  <si>
    <t>Laprida al 2000</t>
  </si>
  <si>
    <t>ZP-ZP-M-43773962</t>
  </si>
  <si>
    <t>Hermosa casa con piscina en Barrio privado San Francisco - Tigre</t>
  </si>
  <si>
    <t>Aristóbulo del Valle al 5100</t>
  </si>
  <si>
    <t>CGA6322619</t>
  </si>
  <si>
    <t xml:space="preserve">Cochera fija en venta! Ubicación estratégica! </t>
  </si>
  <si>
    <t>Marcelo t de Alvear al 1300</t>
  </si>
  <si>
    <t xml:space="preserve">  Mapeo Oficinas CB → Zona → Localidad</t>
  </si>
  <si>
    <t>Referencia del PDF oficial Oficinas-CB-ARG-UY-PY.pdf</t>
  </si>
  <si>
    <t>Zona CB</t>
  </si>
  <si>
    <t>Localidad CB</t>
  </si>
  <si>
    <t>Operaciones en dataset</t>
  </si>
  <si>
    <t>CABA</t>
  </si>
  <si>
    <t>Barrio Parque</t>
  </si>
  <si>
    <t>Belgrano</t>
  </si>
  <si>
    <t>Caballito</t>
  </si>
  <si>
    <t>Núñez</t>
  </si>
  <si>
    <t>Palermo</t>
  </si>
  <si>
    <t>Puerto Madero</t>
  </si>
  <si>
    <t>Recoleta</t>
  </si>
  <si>
    <t>Retiro</t>
  </si>
  <si>
    <t>Villa Urquiza</t>
  </si>
  <si>
    <t>Interior - Jujuy</t>
  </si>
  <si>
    <t>Capital Jujuy</t>
  </si>
  <si>
    <t>Interior - Mendoza</t>
  </si>
  <si>
    <t>Capital Mendoza</t>
  </si>
  <si>
    <t>Godoy Cruz</t>
  </si>
  <si>
    <t>San Rafael</t>
  </si>
  <si>
    <t>Interior - Neuquén</t>
  </si>
  <si>
    <t>Capital Neuquén</t>
  </si>
  <si>
    <t>San Martín de los Andes</t>
  </si>
  <si>
    <t>Villa La Angostura</t>
  </si>
  <si>
    <t>Interior - Río Negro</t>
  </si>
  <si>
    <t>Bariloche</t>
  </si>
  <si>
    <t>Interior - Salta</t>
  </si>
  <si>
    <t>San Lorenzo Chico</t>
  </si>
  <si>
    <t>Interior - San Luis</t>
  </si>
  <si>
    <t>Villa Mercedes</t>
  </si>
  <si>
    <t>Interior - Santa Fe</t>
  </si>
  <si>
    <t>Capital Santa Fe</t>
  </si>
  <si>
    <t>Interior - Tucumán</t>
  </si>
  <si>
    <t>Capital Tucumán</t>
  </si>
  <si>
    <t>Zona Norte (GBA)</t>
  </si>
  <si>
    <t>Escobar</t>
  </si>
  <si>
    <t>San Isidro</t>
  </si>
  <si>
    <t>Vicente López</t>
  </si>
  <si>
    <t>Zona Oeste (GBA)</t>
  </si>
  <si>
    <t>Parque Leloir</t>
  </si>
  <si>
    <t>Zona Sur (GBA)</t>
  </si>
  <si>
    <t>Canning</t>
  </si>
  <si>
    <t>La Plata</t>
  </si>
  <si>
    <t>Unificador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</si>
</sst>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amily val="2"/>
      <charset val="1"/>
    </font>
    <font>
      <b/>
      <sz val="18"/>
      <color rgb="FFFFFFFF"/>
      <name val="Arial"/>
      <family val="2"/>
    </font>
    <font>
      <i/>
      <sz val="10"/>
      <color rgb="FF555555"/>
      <name val="Arial"/>
      <family val="2"/>
    </font>
    <font>
      <b/>
      <sz val="10"/>
      <color rgb="FFFFFFFF"/>
      <name val="Arial"/>
      <family val="2"/>
    </font>
    <font>
      <sz val="10"/>
      <name val="Arial"/>
      <family val="2"/>
    </font>
    <font>
      <sz val="11"/>
      <color rgb="FF00000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F2440"/>
        <bgColor rgb="FF1E3A5F"/>
      </patternFill>
    </fill>
    <fill>
      <patternFill patternType="solid">
        <fgColor rgb="FF1E3A5F"/>
        <bgColor rgb="FF0F2440"/>
      </patternFill>
    </fill>
    <fill>
      <patternFill patternType="solid">
        <fgColor rgb="FFF4F6F8"/>
        <bgColor rgb="FFEEF3F9"/>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C8CED6"/>
      </left>
      <right style="thin">
        <color rgb="FFC8CED6"/>
      </right>
      <top style="thin">
        <color rgb="FFC8CED6"/>
      </top>
      <bottom style="thin">
        <color rgb="FFC8CED6"/>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18">
    <xf numFmtId="0" fontId="0" fillId="0" borderId="0" xfId="0"/>
    <xf numFmtId="14" fontId="0" fillId="0" borderId="0" xfId="0" applyNumberFormat="1"/>
    <xf numFmtId="0" fontId="19" fillId="33" borderId="0" xfId="42" applyFont="1" applyFill="1" applyAlignment="1">
      <alignment horizontal="left" vertical="center" indent="1"/>
    </xf>
    <xf numFmtId="0" fontId="18" fillId="0" borderId="0" xfId="42"/>
    <xf numFmtId="0" fontId="20" fillId="0" borderId="0" xfId="42" applyFont="1"/>
    <xf numFmtId="0" fontId="21" fillId="34" borderId="10" xfId="42" applyFont="1" applyFill="1" applyBorder="1" applyAlignment="1">
      <alignment horizontal="center" vertical="center" wrapText="1"/>
    </xf>
    <xf numFmtId="0" fontId="22" fillId="0" borderId="10" xfId="42" applyFont="1" applyBorder="1" applyAlignment="1">
      <alignment horizontal="left" vertical="center"/>
    </xf>
    <xf numFmtId="3" fontId="22" fillId="0" borderId="10" xfId="42" applyNumberFormat="1" applyFont="1" applyBorder="1" applyAlignment="1">
      <alignment horizontal="right" vertical="center"/>
    </xf>
    <xf numFmtId="0" fontId="22" fillId="35" borderId="10" xfId="42" applyFont="1" applyFill="1" applyBorder="1" applyAlignment="1">
      <alignment horizontal="left" vertical="center"/>
    </xf>
    <xf numFmtId="3" fontId="22" fillId="35" borderId="10" xfId="42" applyNumberFormat="1" applyFont="1" applyFill="1" applyBorder="1" applyAlignment="1">
      <alignment horizontal="right" vertical="center"/>
    </xf>
    <xf numFmtId="0" fontId="0" fillId="0" borderId="0" xfId="0" applyAlignment="1">
      <alignment horizontal="center" vertical="center"/>
    </xf>
    <xf numFmtId="14" fontId="23" fillId="0" borderId="0" xfId="0" applyNumberFormat="1" applyFont="1"/>
    <xf numFmtId="0" fontId="23" fillId="0" borderId="0" xfId="0" applyFont="1"/>
    <xf numFmtId="0" fontId="23" fillId="0" borderId="0" xfId="0" applyFont="1" applyAlignment="1">
      <alignment horizontal="center" vertical="center"/>
    </xf>
    <xf numFmtId="3" fontId="0" fillId="0" borderId="0" xfId="0" applyNumberFormat="1" applyAlignment="1">
      <alignment horizontal="center" vertical="center"/>
    </xf>
    <xf numFmtId="14" fontId="0" fillId="36" borderId="0" xfId="0" applyNumberFormat="1" applyFill="1"/>
    <xf numFmtId="0" fontId="0" fillId="36" borderId="0" xfId="0" applyFill="1"/>
    <xf numFmtId="3" fontId="0" fillId="36" borderId="0" xfId="0" applyNumberFormat="1" applyFill="1" applyAlignment="1">
      <alignment horizontal="center" vertical="center"/>
    </xf>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rmal 2" xfId="42" xr:uid="{AE24B306-3F8E-FD44-8C55-ED4323E8B16E}"/>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E5595-3BBA-7D43-80B0-DFEDFCE27E16}">
  <dimension ref="A1:E46"/>
  <sheetViews>
    <sheetView showGridLines="0" zoomScaleNormal="100" workbookViewId="0">
      <selection activeCell="B6" sqref="B6:C6"/>
    </sheetView>
  </sheetViews>
  <sheetFormatPr baseColWidth="10" defaultColWidth="8.6640625" defaultRowHeight="15" x14ac:dyDescent="0.2"/>
  <cols>
    <col min="1" max="1" width="24" style="3" customWidth="1"/>
    <col min="2" max="2" width="22" style="3" customWidth="1"/>
    <col min="3" max="3" width="24" style="3" customWidth="1"/>
    <col min="4" max="4" width="22" style="3" customWidth="1"/>
    <col min="5" max="16384" width="8.6640625" style="3"/>
  </cols>
  <sheetData>
    <row r="1" spans="1:5" ht="30" customHeight="1" x14ac:dyDescent="0.2">
      <c r="A1" s="2" t="s">
        <v>8516</v>
      </c>
      <c r="B1" s="2"/>
      <c r="C1" s="2"/>
      <c r="D1" s="2"/>
      <c r="E1" s="2"/>
    </row>
    <row r="2" spans="1:5" x14ac:dyDescent="0.2">
      <c r="A2" s="2"/>
      <c r="B2" s="2"/>
      <c r="C2" s="2"/>
      <c r="D2" s="2"/>
      <c r="E2" s="2"/>
    </row>
    <row r="4" spans="1:5" x14ac:dyDescent="0.2">
      <c r="A4" s="4" t="s">
        <v>8517</v>
      </c>
    </row>
    <row r="6" spans="1:5" ht="27.75" customHeight="1" x14ac:dyDescent="0.2">
      <c r="A6" s="5" t="s">
        <v>13</v>
      </c>
      <c r="B6" s="5" t="s">
        <v>8518</v>
      </c>
      <c r="C6" s="5" t="s">
        <v>8519</v>
      </c>
      <c r="D6" s="5" t="s">
        <v>8520</v>
      </c>
    </row>
    <row r="7" spans="1:5" x14ac:dyDescent="0.2">
      <c r="A7" s="6" t="s">
        <v>103</v>
      </c>
      <c r="B7" s="6" t="s">
        <v>8521</v>
      </c>
      <c r="C7" s="6" t="s">
        <v>8522</v>
      </c>
      <c r="D7" s="7"/>
    </row>
    <row r="8" spans="1:5" x14ac:dyDescent="0.2">
      <c r="A8" s="8" t="s">
        <v>252</v>
      </c>
      <c r="B8" s="8" t="s">
        <v>8521</v>
      </c>
      <c r="C8" s="8" t="s">
        <v>8523</v>
      </c>
      <c r="D8" s="9"/>
    </row>
    <row r="9" spans="1:5" x14ac:dyDescent="0.2">
      <c r="A9" s="6" t="s">
        <v>206</v>
      </c>
      <c r="B9" s="6" t="s">
        <v>8521</v>
      </c>
      <c r="C9" s="6" t="s">
        <v>8523</v>
      </c>
      <c r="D9" s="7"/>
    </row>
    <row r="10" spans="1:5" x14ac:dyDescent="0.2">
      <c r="A10" s="8" t="s">
        <v>198</v>
      </c>
      <c r="B10" s="8" t="s">
        <v>8521</v>
      </c>
      <c r="C10" s="8" t="s">
        <v>8524</v>
      </c>
      <c r="D10" s="9"/>
    </row>
    <row r="11" spans="1:5" x14ac:dyDescent="0.2">
      <c r="A11" s="6" t="s">
        <v>618</v>
      </c>
      <c r="B11" s="6" t="s">
        <v>8521</v>
      </c>
      <c r="C11" s="6" t="s">
        <v>8524</v>
      </c>
      <c r="D11" s="7"/>
    </row>
    <row r="12" spans="1:5" x14ac:dyDescent="0.2">
      <c r="A12" s="8" t="s">
        <v>1956</v>
      </c>
      <c r="B12" s="8" t="s">
        <v>8521</v>
      </c>
      <c r="C12" s="8" t="s">
        <v>8525</v>
      </c>
      <c r="D12" s="9"/>
    </row>
    <row r="13" spans="1:5" x14ac:dyDescent="0.2">
      <c r="A13" s="6" t="s">
        <v>29</v>
      </c>
      <c r="B13" s="6" t="s">
        <v>8521</v>
      </c>
      <c r="C13" s="6" t="s">
        <v>8525</v>
      </c>
      <c r="D13" s="7"/>
    </row>
    <row r="14" spans="1:5" x14ac:dyDescent="0.2">
      <c r="A14" s="8" t="s">
        <v>547</v>
      </c>
      <c r="B14" s="8" t="s">
        <v>8521</v>
      </c>
      <c r="C14" s="8" t="s">
        <v>8525</v>
      </c>
      <c r="D14" s="9"/>
    </row>
    <row r="15" spans="1:5" x14ac:dyDescent="0.2">
      <c r="A15" s="6" t="s">
        <v>261</v>
      </c>
      <c r="B15" s="6" t="s">
        <v>8521</v>
      </c>
      <c r="C15" s="6" t="s">
        <v>8525</v>
      </c>
      <c r="D15" s="7"/>
    </row>
    <row r="16" spans="1:5" x14ac:dyDescent="0.2">
      <c r="A16" s="8" t="s">
        <v>359</v>
      </c>
      <c r="B16" s="8" t="s">
        <v>8521</v>
      </c>
      <c r="C16" s="8" t="s">
        <v>8526</v>
      </c>
      <c r="D16" s="9"/>
    </row>
    <row r="17" spans="1:4" x14ac:dyDescent="0.2">
      <c r="A17" s="6" t="s">
        <v>78</v>
      </c>
      <c r="B17" s="6" t="s">
        <v>8521</v>
      </c>
      <c r="C17" s="6" t="s">
        <v>8526</v>
      </c>
      <c r="D17" s="7"/>
    </row>
    <row r="18" spans="1:4" x14ac:dyDescent="0.2">
      <c r="A18" s="8" t="s">
        <v>781</v>
      </c>
      <c r="B18" s="8" t="s">
        <v>8521</v>
      </c>
      <c r="C18" s="8" t="s">
        <v>8526</v>
      </c>
      <c r="D18" s="9"/>
    </row>
    <row r="19" spans="1:4" x14ac:dyDescent="0.2">
      <c r="A19" s="6" t="s">
        <v>20</v>
      </c>
      <c r="B19" s="6" t="s">
        <v>8521</v>
      </c>
      <c r="C19" s="6" t="s">
        <v>8526</v>
      </c>
      <c r="D19" s="7"/>
    </row>
    <row r="20" spans="1:4" x14ac:dyDescent="0.2">
      <c r="A20" s="8" t="s">
        <v>116</v>
      </c>
      <c r="B20" s="8" t="s">
        <v>8521</v>
      </c>
      <c r="C20" s="8" t="s">
        <v>8527</v>
      </c>
      <c r="D20" s="9"/>
    </row>
    <row r="21" spans="1:4" x14ac:dyDescent="0.2">
      <c r="A21" s="6" t="s">
        <v>201</v>
      </c>
      <c r="B21" s="6" t="s">
        <v>8521</v>
      </c>
      <c r="C21" s="6" t="s">
        <v>8528</v>
      </c>
      <c r="D21" s="7"/>
    </row>
    <row r="22" spans="1:4" x14ac:dyDescent="0.2">
      <c r="A22" s="8" t="s">
        <v>73</v>
      </c>
      <c r="B22" s="8" t="s">
        <v>8521</v>
      </c>
      <c r="C22" s="8" t="s">
        <v>8528</v>
      </c>
      <c r="D22" s="9"/>
    </row>
    <row r="23" spans="1:4" x14ac:dyDescent="0.2">
      <c r="A23" s="6" t="s">
        <v>686</v>
      </c>
      <c r="B23" s="6" t="s">
        <v>8521</v>
      </c>
      <c r="C23" s="6" t="s">
        <v>8529</v>
      </c>
      <c r="D23" s="7"/>
    </row>
    <row r="24" spans="1:4" x14ac:dyDescent="0.2">
      <c r="A24" s="8" t="s">
        <v>50</v>
      </c>
      <c r="B24" s="8" t="s">
        <v>8521</v>
      </c>
      <c r="C24" s="8" t="s">
        <v>8530</v>
      </c>
      <c r="D24" s="9"/>
    </row>
    <row r="25" spans="1:4" x14ac:dyDescent="0.2">
      <c r="A25" s="6" t="s">
        <v>85</v>
      </c>
      <c r="B25" s="6" t="s">
        <v>8531</v>
      </c>
      <c r="C25" s="6" t="s">
        <v>8532</v>
      </c>
      <c r="D25" s="7"/>
    </row>
    <row r="26" spans="1:4" x14ac:dyDescent="0.2">
      <c r="A26" s="8" t="s">
        <v>65</v>
      </c>
      <c r="B26" s="8" t="s">
        <v>8533</v>
      </c>
      <c r="C26" s="8" t="s">
        <v>8534</v>
      </c>
      <c r="D26" s="9"/>
    </row>
    <row r="27" spans="1:4" x14ac:dyDescent="0.2">
      <c r="A27" s="6" t="s">
        <v>1563</v>
      </c>
      <c r="B27" s="6" t="s">
        <v>8533</v>
      </c>
      <c r="C27" s="6" t="s">
        <v>8535</v>
      </c>
      <c r="D27" s="7"/>
    </row>
    <row r="28" spans="1:4" x14ac:dyDescent="0.2">
      <c r="A28" s="8" t="s">
        <v>213</v>
      </c>
      <c r="B28" s="8" t="s">
        <v>8533</v>
      </c>
      <c r="C28" s="8" t="s">
        <v>8536</v>
      </c>
      <c r="D28" s="9"/>
    </row>
    <row r="29" spans="1:4" x14ac:dyDescent="0.2">
      <c r="A29" s="6" t="s">
        <v>151</v>
      </c>
      <c r="B29" s="6" t="s">
        <v>8537</v>
      </c>
      <c r="C29" s="6" t="s">
        <v>8538</v>
      </c>
      <c r="D29" s="7"/>
    </row>
    <row r="30" spans="1:4" x14ac:dyDescent="0.2">
      <c r="A30" s="8" t="s">
        <v>367</v>
      </c>
      <c r="B30" s="8" t="s">
        <v>8537</v>
      </c>
      <c r="C30" s="8" t="s">
        <v>8539</v>
      </c>
      <c r="D30" s="9"/>
    </row>
    <row r="31" spans="1:4" x14ac:dyDescent="0.2">
      <c r="A31" s="6" t="s">
        <v>98</v>
      </c>
      <c r="B31" s="6" t="s">
        <v>8537</v>
      </c>
      <c r="C31" s="6" t="s">
        <v>8540</v>
      </c>
      <c r="D31" s="7"/>
    </row>
    <row r="32" spans="1:4" x14ac:dyDescent="0.2">
      <c r="A32" s="8" t="s">
        <v>130</v>
      </c>
      <c r="B32" s="8" t="s">
        <v>8541</v>
      </c>
      <c r="C32" s="8" t="s">
        <v>8542</v>
      </c>
      <c r="D32" s="9"/>
    </row>
    <row r="33" spans="1:4" x14ac:dyDescent="0.2">
      <c r="A33" s="6" t="s">
        <v>246</v>
      </c>
      <c r="B33" s="6" t="s">
        <v>8543</v>
      </c>
      <c r="C33" s="6" t="s">
        <v>8544</v>
      </c>
      <c r="D33" s="7"/>
    </row>
    <row r="34" spans="1:4" x14ac:dyDescent="0.2">
      <c r="A34" s="8" t="s">
        <v>434</v>
      </c>
      <c r="B34" s="8" t="s">
        <v>8545</v>
      </c>
      <c r="C34" s="8" t="s">
        <v>8546</v>
      </c>
      <c r="D34" s="9"/>
    </row>
    <row r="35" spans="1:4" x14ac:dyDescent="0.2">
      <c r="A35" s="6" t="s">
        <v>55</v>
      </c>
      <c r="B35" s="6" t="s">
        <v>8547</v>
      </c>
      <c r="C35" s="6" t="s">
        <v>8548</v>
      </c>
      <c r="D35" s="7"/>
    </row>
    <row r="36" spans="1:4" x14ac:dyDescent="0.2">
      <c r="A36" s="8" t="s">
        <v>1742</v>
      </c>
      <c r="B36" s="8" t="s">
        <v>8549</v>
      </c>
      <c r="C36" s="8" t="s">
        <v>8550</v>
      </c>
      <c r="D36" s="9"/>
    </row>
    <row r="37" spans="1:4" x14ac:dyDescent="0.2">
      <c r="A37" s="6" t="s">
        <v>389</v>
      </c>
      <c r="B37" s="6" t="s">
        <v>8551</v>
      </c>
      <c r="C37" s="6" t="s">
        <v>8552</v>
      </c>
      <c r="D37" s="7"/>
    </row>
    <row r="38" spans="1:4" x14ac:dyDescent="0.2">
      <c r="A38" s="8" t="s">
        <v>142</v>
      </c>
      <c r="B38" s="8" t="s">
        <v>8551</v>
      </c>
      <c r="C38" s="8" t="s">
        <v>1905</v>
      </c>
      <c r="D38" s="9"/>
    </row>
    <row r="39" spans="1:4" x14ac:dyDescent="0.2">
      <c r="A39" s="6" t="s">
        <v>156</v>
      </c>
      <c r="B39" s="6" t="s">
        <v>8551</v>
      </c>
      <c r="C39" s="6" t="s">
        <v>1227</v>
      </c>
      <c r="D39" s="7"/>
    </row>
    <row r="40" spans="1:4" x14ac:dyDescent="0.2">
      <c r="A40" s="8" t="s">
        <v>40</v>
      </c>
      <c r="B40" s="8" t="s">
        <v>8551</v>
      </c>
      <c r="C40" s="8" t="s">
        <v>1227</v>
      </c>
      <c r="D40" s="9"/>
    </row>
    <row r="41" spans="1:4" x14ac:dyDescent="0.2">
      <c r="A41" s="6" t="s">
        <v>223</v>
      </c>
      <c r="B41" s="6" t="s">
        <v>8551</v>
      </c>
      <c r="C41" s="6" t="s">
        <v>8553</v>
      </c>
      <c r="D41" s="7"/>
    </row>
    <row r="42" spans="1:4" x14ac:dyDescent="0.2">
      <c r="A42" s="8" t="s">
        <v>87</v>
      </c>
      <c r="B42" s="8" t="s">
        <v>8551</v>
      </c>
      <c r="C42" s="8" t="s">
        <v>5727</v>
      </c>
      <c r="D42" s="9"/>
    </row>
    <row r="43" spans="1:4" x14ac:dyDescent="0.2">
      <c r="A43" s="6" t="s">
        <v>35</v>
      </c>
      <c r="B43" s="6" t="s">
        <v>8551</v>
      </c>
      <c r="C43" s="6" t="s">
        <v>8554</v>
      </c>
      <c r="D43" s="7"/>
    </row>
    <row r="44" spans="1:4" x14ac:dyDescent="0.2">
      <c r="A44" s="8" t="s">
        <v>227</v>
      </c>
      <c r="B44" s="8" t="s">
        <v>8555</v>
      </c>
      <c r="C44" s="8" t="s">
        <v>8556</v>
      </c>
      <c r="D44" s="9"/>
    </row>
    <row r="45" spans="1:4" x14ac:dyDescent="0.2">
      <c r="A45" s="6" t="s">
        <v>1081</v>
      </c>
      <c r="B45" s="6" t="s">
        <v>8557</v>
      </c>
      <c r="C45" s="6" t="s">
        <v>8558</v>
      </c>
      <c r="D45" s="7"/>
    </row>
    <row r="46" spans="1:4" x14ac:dyDescent="0.2">
      <c r="A46" s="8" t="s">
        <v>171</v>
      </c>
      <c r="B46" s="8" t="s">
        <v>8557</v>
      </c>
      <c r="C46" s="8" t="s">
        <v>8559</v>
      </c>
      <c r="D46" s="9"/>
    </row>
  </sheetData>
  <mergeCells count="1">
    <mergeCell ref="A1:E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D06AD-EED0-4B40-8A37-DFD7EE336895}">
  <dimension ref="A1:S2746"/>
  <sheetViews>
    <sheetView tabSelected="1" zoomScale="82" workbookViewId="0">
      <selection activeCell="S2746" sqref="S2746"/>
    </sheetView>
  </sheetViews>
  <sheetFormatPr baseColWidth="10" defaultRowHeight="15" x14ac:dyDescent="0.2"/>
  <cols>
    <col min="1" max="1" width="10" bestFit="1" customWidth="1"/>
    <col min="2" max="2" width="37.83203125" bestFit="1" customWidth="1"/>
    <col min="3" max="3" width="20.6640625" customWidth="1"/>
    <col min="4" max="4" width="53.33203125" customWidth="1"/>
    <col min="5" max="5" width="8.33203125" bestFit="1" customWidth="1"/>
    <col min="6" max="6" width="25" bestFit="1" customWidth="1"/>
    <col min="7" max="7" width="15.1640625" style="14" bestFit="1" customWidth="1"/>
    <col min="8" max="8" width="15" style="14" bestFit="1" customWidth="1"/>
    <col min="9" max="9" width="12" bestFit="1" customWidth="1"/>
    <col min="10" max="10" width="16.6640625" bestFit="1" customWidth="1"/>
    <col min="11" max="11" width="20.6640625" customWidth="1"/>
    <col min="12" max="12" width="50" customWidth="1"/>
    <col min="13" max="13" width="18.6640625" bestFit="1" customWidth="1"/>
    <col min="14" max="14" width="5.33203125" bestFit="1" customWidth="1"/>
    <col min="15" max="15" width="20" bestFit="1" customWidth="1"/>
    <col min="16" max="16" width="43.33203125" bestFit="1" customWidth="1"/>
    <col min="17" max="17" width="15.6640625" bestFit="1" customWidth="1"/>
    <col min="18" max="19" width="16.1640625" customWidth="1"/>
  </cols>
  <sheetData>
    <row r="1" spans="1:19" ht="28" x14ac:dyDescent="0.2">
      <c r="A1" s="5" t="s">
        <v>0</v>
      </c>
      <c r="B1" s="5" t="s">
        <v>1</v>
      </c>
      <c r="C1" s="5" t="s">
        <v>8560</v>
      </c>
      <c r="D1" s="5" t="s">
        <v>2</v>
      </c>
      <c r="E1" s="5" t="s">
        <v>3</v>
      </c>
      <c r="F1" s="5" t="s">
        <v>4</v>
      </c>
      <c r="G1" s="5" t="s">
        <v>7</v>
      </c>
      <c r="H1" s="5" t="s">
        <v>5</v>
      </c>
      <c r="I1" s="5" t="s">
        <v>6</v>
      </c>
      <c r="J1" s="5" t="s">
        <v>8</v>
      </c>
      <c r="K1" s="5" t="s">
        <v>9</v>
      </c>
      <c r="L1" s="5" t="s">
        <v>10</v>
      </c>
      <c r="M1" s="5" t="s">
        <v>11</v>
      </c>
      <c r="N1" s="5" t="s">
        <v>12</v>
      </c>
      <c r="O1" s="5" t="s">
        <v>13</v>
      </c>
      <c r="P1" s="5" t="s">
        <v>14</v>
      </c>
      <c r="Q1" s="5" t="s">
        <v>15</v>
      </c>
      <c r="R1" s="5" t="s">
        <v>8518</v>
      </c>
      <c r="S1" s="5" t="s">
        <v>8519</v>
      </c>
    </row>
    <row r="2" spans="1:19" x14ac:dyDescent="0.2">
      <c r="A2" s="1">
        <v>45658</v>
      </c>
      <c r="B2" t="s">
        <v>8507</v>
      </c>
      <c r="C2">
        <v>1</v>
      </c>
      <c r="D2" t="s">
        <v>8508</v>
      </c>
      <c r="E2" t="s">
        <v>16</v>
      </c>
      <c r="F2" t="s">
        <v>47</v>
      </c>
      <c r="G2" s="14">
        <v>320000</v>
      </c>
      <c r="H2" s="14">
        <v>282000</v>
      </c>
      <c r="I2" t="s">
        <v>22</v>
      </c>
      <c r="J2" t="s">
        <v>22</v>
      </c>
      <c r="K2" t="s">
        <v>8509</v>
      </c>
      <c r="L2" t="s">
        <v>398</v>
      </c>
      <c r="M2" t="s">
        <v>97</v>
      </c>
      <c r="N2">
        <v>2</v>
      </c>
      <c r="O2" t="s">
        <v>87</v>
      </c>
      <c r="P2" t="s">
        <v>21</v>
      </c>
      <c r="Q2" t="s">
        <v>30</v>
      </c>
      <c r="R2" t="str">
        <f>VLOOKUP($O2,'Mapa Oficinas'!$A$7:$C$46,2,FALSE)</f>
        <v>Zona Norte (GBA)</v>
      </c>
      <c r="S2" t="str">
        <f>VLOOKUP($O2,'Mapa Oficinas'!$A$7:$C$46,3,FALSE)</f>
        <v>Tigre</v>
      </c>
    </row>
    <row r="3" spans="1:19" x14ac:dyDescent="0.2">
      <c r="A3" s="1">
        <v>45658</v>
      </c>
      <c r="B3" t="s">
        <v>8510</v>
      </c>
      <c r="C3">
        <v>1</v>
      </c>
      <c r="D3" t="s">
        <v>8511</v>
      </c>
      <c r="E3" t="s">
        <v>16</v>
      </c>
      <c r="F3" t="s">
        <v>47</v>
      </c>
      <c r="G3" s="14">
        <v>315000</v>
      </c>
      <c r="H3" s="14">
        <v>308000</v>
      </c>
      <c r="I3" t="s">
        <v>22</v>
      </c>
      <c r="J3" t="s">
        <v>22</v>
      </c>
      <c r="K3" t="s">
        <v>8512</v>
      </c>
      <c r="L3" t="s">
        <v>556</v>
      </c>
      <c r="M3" t="s">
        <v>28</v>
      </c>
      <c r="N3">
        <v>2</v>
      </c>
      <c r="O3" t="s">
        <v>87</v>
      </c>
      <c r="P3" t="s">
        <v>21</v>
      </c>
      <c r="Q3" t="s">
        <v>30</v>
      </c>
      <c r="R3" t="str">
        <f>VLOOKUP($O3,'Mapa Oficinas'!$A$7:$C$46,2,FALSE)</f>
        <v>Zona Norte (GBA)</v>
      </c>
      <c r="S3" t="str">
        <f>VLOOKUP($O3,'Mapa Oficinas'!$A$7:$C$46,3,FALSE)</f>
        <v>Tigre</v>
      </c>
    </row>
    <row r="4" spans="1:19" x14ac:dyDescent="0.2">
      <c r="A4" s="1">
        <v>45659</v>
      </c>
      <c r="B4" t="s">
        <v>8496</v>
      </c>
      <c r="C4">
        <v>1</v>
      </c>
      <c r="D4" t="s">
        <v>8497</v>
      </c>
      <c r="E4" t="s">
        <v>16</v>
      </c>
      <c r="F4" t="s">
        <v>17</v>
      </c>
      <c r="G4" s="14">
        <v>125000</v>
      </c>
      <c r="H4" s="14">
        <v>115000</v>
      </c>
      <c r="I4" t="s">
        <v>22</v>
      </c>
      <c r="J4" t="s">
        <v>22</v>
      </c>
      <c r="K4" t="s">
        <v>8498</v>
      </c>
      <c r="L4" t="s">
        <v>258</v>
      </c>
      <c r="M4" t="s">
        <v>28</v>
      </c>
      <c r="N4">
        <v>2</v>
      </c>
      <c r="O4" t="s">
        <v>29</v>
      </c>
      <c r="P4" t="s">
        <v>21</v>
      </c>
      <c r="Q4" t="s">
        <v>30</v>
      </c>
      <c r="R4" t="str">
        <f>VLOOKUP($O4,'Mapa Oficinas'!$A$7:$C$46,2,FALSE)</f>
        <v>CABA</v>
      </c>
      <c r="S4" t="str">
        <f>VLOOKUP($O4,'Mapa Oficinas'!$A$7:$C$46,3,FALSE)</f>
        <v>Núñez</v>
      </c>
    </row>
    <row r="5" spans="1:19" x14ac:dyDescent="0.2">
      <c r="A5" s="1">
        <v>45659</v>
      </c>
      <c r="B5" t="s">
        <v>8504</v>
      </c>
      <c r="D5" t="s">
        <v>8505</v>
      </c>
      <c r="E5" t="s">
        <v>16</v>
      </c>
      <c r="F5" t="s">
        <v>17</v>
      </c>
      <c r="G5" s="14">
        <v>420000</v>
      </c>
      <c r="H5" s="14">
        <v>405000</v>
      </c>
      <c r="I5" t="s">
        <v>22</v>
      </c>
      <c r="J5" t="s">
        <v>22</v>
      </c>
      <c r="K5" t="s">
        <v>8506</v>
      </c>
      <c r="L5" t="s">
        <v>6803</v>
      </c>
      <c r="M5" t="s">
        <v>19</v>
      </c>
      <c r="N5">
        <v>1</v>
      </c>
      <c r="O5" t="s">
        <v>20</v>
      </c>
      <c r="P5" t="s">
        <v>146</v>
      </c>
      <c r="Q5" t="s">
        <v>30</v>
      </c>
      <c r="R5" t="str">
        <f>VLOOKUP($O5,'Mapa Oficinas'!$A$7:$C$46,2,FALSE)</f>
        <v>CABA</v>
      </c>
      <c r="S5" t="str">
        <f>VLOOKUP($O5,'Mapa Oficinas'!$A$7:$C$46,3,FALSE)</f>
        <v>Palermo</v>
      </c>
    </row>
    <row r="6" spans="1:19" x14ac:dyDescent="0.2">
      <c r="A6" s="1">
        <v>45659</v>
      </c>
      <c r="B6" t="s">
        <v>8502</v>
      </c>
      <c r="D6" t="s">
        <v>8503</v>
      </c>
      <c r="E6" t="s">
        <v>16</v>
      </c>
      <c r="F6" t="s">
        <v>17</v>
      </c>
      <c r="G6" s="14">
        <v>900000</v>
      </c>
      <c r="H6" s="14">
        <v>900000</v>
      </c>
      <c r="I6" t="s">
        <v>22</v>
      </c>
      <c r="J6" t="s">
        <v>22</v>
      </c>
      <c r="K6" t="s">
        <v>8503</v>
      </c>
      <c r="L6" t="s">
        <v>191</v>
      </c>
      <c r="M6" t="s">
        <v>19</v>
      </c>
      <c r="N6">
        <v>1</v>
      </c>
      <c r="O6" t="s">
        <v>20</v>
      </c>
      <c r="P6" t="s">
        <v>146</v>
      </c>
      <c r="Q6" t="s">
        <v>30</v>
      </c>
      <c r="R6" t="str">
        <f>VLOOKUP($O6,'Mapa Oficinas'!$A$7:$C$46,2,FALSE)</f>
        <v>CABA</v>
      </c>
      <c r="S6" t="str">
        <f>VLOOKUP($O6,'Mapa Oficinas'!$A$7:$C$46,3,FALSE)</f>
        <v>Palermo</v>
      </c>
    </row>
    <row r="7" spans="1:19" x14ac:dyDescent="0.2">
      <c r="A7" s="1">
        <v>45660</v>
      </c>
      <c r="B7" t="s">
        <v>8493</v>
      </c>
      <c r="C7">
        <v>1</v>
      </c>
      <c r="D7" t="s">
        <v>8494</v>
      </c>
      <c r="E7" t="s">
        <v>16</v>
      </c>
      <c r="F7" t="s">
        <v>17</v>
      </c>
      <c r="G7" s="14">
        <v>49900</v>
      </c>
      <c r="H7" s="14">
        <v>42000</v>
      </c>
      <c r="I7" t="s">
        <v>22</v>
      </c>
      <c r="J7" t="s">
        <v>22</v>
      </c>
      <c r="K7" t="s">
        <v>8495</v>
      </c>
      <c r="L7" t="s">
        <v>4813</v>
      </c>
      <c r="M7" t="s">
        <v>300</v>
      </c>
      <c r="N7">
        <v>2</v>
      </c>
      <c r="O7" t="s">
        <v>35</v>
      </c>
      <c r="P7" t="s">
        <v>21</v>
      </c>
      <c r="Q7" t="s">
        <v>30</v>
      </c>
      <c r="R7" t="str">
        <f>VLOOKUP($O7,'Mapa Oficinas'!$A$7:$C$46,2,FALSE)</f>
        <v>Zona Norte (GBA)</v>
      </c>
      <c r="S7" t="str">
        <f>VLOOKUP($O7,'Mapa Oficinas'!$A$7:$C$46,3,FALSE)</f>
        <v>Vicente López</v>
      </c>
    </row>
    <row r="8" spans="1:19" x14ac:dyDescent="0.2">
      <c r="A8" s="1">
        <v>45660</v>
      </c>
      <c r="B8" t="s">
        <v>6395</v>
      </c>
      <c r="C8">
        <v>1</v>
      </c>
      <c r="D8" t="s">
        <v>6396</v>
      </c>
      <c r="E8" t="s">
        <v>16</v>
      </c>
      <c r="F8" t="s">
        <v>17</v>
      </c>
      <c r="G8" s="14">
        <v>120000</v>
      </c>
      <c r="H8" s="14">
        <v>110000</v>
      </c>
      <c r="I8" t="s">
        <v>22</v>
      </c>
      <c r="J8" t="s">
        <v>22</v>
      </c>
      <c r="K8" t="s">
        <v>6397</v>
      </c>
      <c r="L8" t="s">
        <v>545</v>
      </c>
      <c r="M8" t="s">
        <v>72</v>
      </c>
      <c r="N8">
        <v>2</v>
      </c>
      <c r="O8" t="s">
        <v>50</v>
      </c>
      <c r="P8" t="s">
        <v>21</v>
      </c>
      <c r="Q8" t="s">
        <v>30</v>
      </c>
      <c r="R8" t="str">
        <f>VLOOKUP($O8,'Mapa Oficinas'!$A$7:$C$46,2,FALSE)</f>
        <v>CABA</v>
      </c>
      <c r="S8" t="str">
        <f>VLOOKUP($O8,'Mapa Oficinas'!$A$7:$C$46,3,FALSE)</f>
        <v>Villa Urquiza</v>
      </c>
    </row>
    <row r="9" spans="1:19" x14ac:dyDescent="0.2">
      <c r="A9" s="1">
        <v>45660</v>
      </c>
      <c r="B9" t="s">
        <v>8490</v>
      </c>
      <c r="C9">
        <v>1</v>
      </c>
      <c r="D9" t="s">
        <v>8491</v>
      </c>
      <c r="E9" t="s">
        <v>16</v>
      </c>
      <c r="F9" t="s">
        <v>17</v>
      </c>
      <c r="G9" s="14">
        <v>139000</v>
      </c>
      <c r="H9" s="14">
        <v>115000</v>
      </c>
      <c r="I9" t="s">
        <v>22</v>
      </c>
      <c r="J9" t="s">
        <v>22</v>
      </c>
      <c r="K9" t="s">
        <v>8492</v>
      </c>
      <c r="L9" t="s">
        <v>79</v>
      </c>
      <c r="M9" t="s">
        <v>19</v>
      </c>
      <c r="N9">
        <v>2</v>
      </c>
      <c r="O9" t="s">
        <v>103</v>
      </c>
      <c r="P9" t="s">
        <v>21</v>
      </c>
      <c r="Q9" t="s">
        <v>30</v>
      </c>
      <c r="R9" t="str">
        <f>VLOOKUP($O9,'Mapa Oficinas'!$A$7:$C$46,2,FALSE)</f>
        <v>CABA</v>
      </c>
      <c r="S9" t="str">
        <f>VLOOKUP($O9,'Mapa Oficinas'!$A$7:$C$46,3,FALSE)</f>
        <v>Barrio Parque</v>
      </c>
    </row>
    <row r="10" spans="1:19" x14ac:dyDescent="0.2">
      <c r="A10" s="1">
        <v>45663</v>
      </c>
      <c r="B10" t="s">
        <v>8479</v>
      </c>
      <c r="C10">
        <v>1</v>
      </c>
      <c r="D10" t="s">
        <v>8480</v>
      </c>
      <c r="E10" t="s">
        <v>16</v>
      </c>
      <c r="F10" t="s">
        <v>243</v>
      </c>
      <c r="G10" s="14">
        <v>58000</v>
      </c>
      <c r="H10" s="14">
        <v>63000</v>
      </c>
      <c r="I10" t="s">
        <v>22</v>
      </c>
      <c r="J10" t="s">
        <v>22</v>
      </c>
      <c r="K10" t="s">
        <v>8481</v>
      </c>
      <c r="L10" t="s">
        <v>245</v>
      </c>
      <c r="M10" t="s">
        <v>19</v>
      </c>
      <c r="N10">
        <v>2</v>
      </c>
      <c r="O10" t="s">
        <v>246</v>
      </c>
      <c r="P10" t="s">
        <v>21</v>
      </c>
      <c r="Q10" t="s">
        <v>30</v>
      </c>
      <c r="R10" t="str">
        <f>VLOOKUP($O10,'Mapa Oficinas'!$A$7:$C$46,2,FALSE)</f>
        <v>Interior - Salta</v>
      </c>
      <c r="S10" t="str">
        <f>VLOOKUP($O10,'Mapa Oficinas'!$A$7:$C$46,3,FALSE)</f>
        <v>San Lorenzo Chico</v>
      </c>
    </row>
    <row r="11" spans="1:19" x14ac:dyDescent="0.2">
      <c r="A11" s="1">
        <v>45663</v>
      </c>
      <c r="B11" t="s">
        <v>8482</v>
      </c>
      <c r="D11" t="s">
        <v>8483</v>
      </c>
      <c r="E11" t="s">
        <v>16</v>
      </c>
      <c r="F11" t="s">
        <v>38</v>
      </c>
      <c r="G11" s="14">
        <v>167000</v>
      </c>
      <c r="H11" s="14">
        <v>68000</v>
      </c>
      <c r="I11" t="s">
        <v>22</v>
      </c>
      <c r="J11" t="s">
        <v>22</v>
      </c>
      <c r="K11" t="s">
        <v>8484</v>
      </c>
      <c r="L11" t="s">
        <v>658</v>
      </c>
      <c r="M11" t="s">
        <v>300</v>
      </c>
      <c r="N11">
        <v>2</v>
      </c>
      <c r="O11" t="s">
        <v>246</v>
      </c>
      <c r="P11" t="s">
        <v>41</v>
      </c>
      <c r="Q11" t="s">
        <v>30</v>
      </c>
      <c r="R11" t="str">
        <f>VLOOKUP($O11,'Mapa Oficinas'!$A$7:$C$46,2,FALSE)</f>
        <v>Interior - Salta</v>
      </c>
      <c r="S11" t="str">
        <f>VLOOKUP($O11,'Mapa Oficinas'!$A$7:$C$46,3,FALSE)</f>
        <v>San Lorenzo Chico</v>
      </c>
    </row>
    <row r="12" spans="1:19" x14ac:dyDescent="0.2">
      <c r="A12" s="1">
        <v>45663</v>
      </c>
      <c r="C12">
        <v>1</v>
      </c>
      <c r="D12" t="s">
        <v>8487</v>
      </c>
      <c r="E12" t="s">
        <v>16</v>
      </c>
      <c r="F12" t="s">
        <v>82</v>
      </c>
      <c r="G12" s="14">
        <v>71793</v>
      </c>
      <c r="H12" s="14">
        <v>71793</v>
      </c>
      <c r="I12" t="s">
        <v>22</v>
      </c>
      <c r="J12" t="s">
        <v>22</v>
      </c>
      <c r="K12" t="s">
        <v>2121</v>
      </c>
      <c r="L12" t="s">
        <v>442</v>
      </c>
      <c r="M12" t="s">
        <v>19</v>
      </c>
      <c r="N12">
        <v>2</v>
      </c>
      <c r="O12" t="s">
        <v>98</v>
      </c>
      <c r="P12" t="s">
        <v>21</v>
      </c>
      <c r="Q12" t="s">
        <v>30</v>
      </c>
      <c r="R12" t="str">
        <f>VLOOKUP($O12,'Mapa Oficinas'!$A$7:$C$46,2,FALSE)</f>
        <v>Interior - Neuquén</v>
      </c>
      <c r="S12" t="str">
        <f>VLOOKUP($O12,'Mapa Oficinas'!$A$7:$C$46,3,FALSE)</f>
        <v>Villa La Angostura</v>
      </c>
    </row>
    <row r="13" spans="1:19" x14ac:dyDescent="0.2">
      <c r="A13" s="1">
        <v>45663</v>
      </c>
      <c r="B13" t="s">
        <v>8485</v>
      </c>
      <c r="C13">
        <v>1</v>
      </c>
      <c r="D13" t="s">
        <v>8486</v>
      </c>
      <c r="E13" t="s">
        <v>16</v>
      </c>
      <c r="F13" t="s">
        <v>82</v>
      </c>
      <c r="G13" s="14">
        <v>74784</v>
      </c>
      <c r="H13" s="14">
        <v>74184</v>
      </c>
      <c r="I13" t="s">
        <v>22</v>
      </c>
      <c r="J13" t="s">
        <v>22</v>
      </c>
      <c r="K13" t="s">
        <v>6391</v>
      </c>
      <c r="L13" t="s">
        <v>442</v>
      </c>
      <c r="M13" t="s">
        <v>19</v>
      </c>
      <c r="N13">
        <v>2</v>
      </c>
      <c r="O13" t="s">
        <v>98</v>
      </c>
      <c r="P13" t="s">
        <v>21</v>
      </c>
      <c r="Q13" t="s">
        <v>30</v>
      </c>
      <c r="R13" t="str">
        <f>VLOOKUP($O13,'Mapa Oficinas'!$A$7:$C$46,2,FALSE)</f>
        <v>Interior - Neuquén</v>
      </c>
      <c r="S13" t="str">
        <f>VLOOKUP($O13,'Mapa Oficinas'!$A$7:$C$46,3,FALSE)</f>
        <v>Villa La Angostura</v>
      </c>
    </row>
    <row r="14" spans="1:19" x14ac:dyDescent="0.2">
      <c r="A14" s="1">
        <v>45663</v>
      </c>
      <c r="B14" t="s">
        <v>8369</v>
      </c>
      <c r="C14">
        <v>1</v>
      </c>
      <c r="D14" t="s">
        <v>8370</v>
      </c>
      <c r="E14" t="s">
        <v>16</v>
      </c>
      <c r="F14" t="s">
        <v>58</v>
      </c>
      <c r="G14" s="14">
        <v>102000</v>
      </c>
      <c r="H14" s="14">
        <v>100250</v>
      </c>
      <c r="I14" t="s">
        <v>22</v>
      </c>
      <c r="J14" t="s">
        <v>22</v>
      </c>
      <c r="K14" t="s">
        <v>6400</v>
      </c>
      <c r="L14" t="s">
        <v>318</v>
      </c>
      <c r="M14" t="s">
        <v>19</v>
      </c>
      <c r="N14">
        <v>2</v>
      </c>
      <c r="O14" t="s">
        <v>50</v>
      </c>
      <c r="P14" t="s">
        <v>21</v>
      </c>
      <c r="Q14" t="s">
        <v>30</v>
      </c>
      <c r="R14" t="str">
        <f>VLOOKUP($O14,'Mapa Oficinas'!$A$7:$C$46,2,FALSE)</f>
        <v>CABA</v>
      </c>
      <c r="S14" t="str">
        <f>VLOOKUP($O14,'Mapa Oficinas'!$A$7:$C$46,3,FALSE)</f>
        <v>Villa Urquiza</v>
      </c>
    </row>
    <row r="15" spans="1:19" x14ac:dyDescent="0.2">
      <c r="A15" s="1">
        <v>45663</v>
      </c>
      <c r="B15" t="s">
        <v>8477</v>
      </c>
      <c r="C15">
        <v>1</v>
      </c>
      <c r="D15" t="s">
        <v>8478</v>
      </c>
      <c r="E15" t="s">
        <v>16</v>
      </c>
      <c r="F15" t="s">
        <v>58</v>
      </c>
      <c r="G15" s="14">
        <v>90000</v>
      </c>
      <c r="H15" s="14">
        <v>100250</v>
      </c>
      <c r="I15" t="s">
        <v>22</v>
      </c>
      <c r="J15" t="s">
        <v>22</v>
      </c>
      <c r="K15" t="s">
        <v>6400</v>
      </c>
      <c r="L15" t="s">
        <v>318</v>
      </c>
      <c r="M15" t="s">
        <v>19</v>
      </c>
      <c r="N15">
        <v>2</v>
      </c>
      <c r="O15" t="s">
        <v>50</v>
      </c>
      <c r="P15" t="s">
        <v>21</v>
      </c>
      <c r="Q15" t="s">
        <v>30</v>
      </c>
      <c r="R15" t="str">
        <f>VLOOKUP($O15,'Mapa Oficinas'!$A$7:$C$46,2,FALSE)</f>
        <v>CABA</v>
      </c>
      <c r="S15" t="str">
        <f>VLOOKUP($O15,'Mapa Oficinas'!$A$7:$C$46,3,FALSE)</f>
        <v>Villa Urquiza</v>
      </c>
    </row>
    <row r="16" spans="1:19" x14ac:dyDescent="0.2">
      <c r="A16" s="1">
        <v>45663</v>
      </c>
      <c r="B16" t="s">
        <v>8488</v>
      </c>
      <c r="D16" t="s">
        <v>8489</v>
      </c>
      <c r="E16" t="s">
        <v>16</v>
      </c>
      <c r="F16" t="s">
        <v>896</v>
      </c>
      <c r="G16" s="14">
        <v>104158</v>
      </c>
      <c r="H16" s="14">
        <v>104000</v>
      </c>
      <c r="I16" t="s">
        <v>22</v>
      </c>
      <c r="J16" t="s">
        <v>22</v>
      </c>
      <c r="K16" t="s">
        <v>6391</v>
      </c>
      <c r="L16" t="s">
        <v>442</v>
      </c>
      <c r="M16" t="s">
        <v>19</v>
      </c>
      <c r="N16">
        <v>2</v>
      </c>
      <c r="O16" t="s">
        <v>98</v>
      </c>
      <c r="P16" t="s">
        <v>41</v>
      </c>
      <c r="Q16" t="s">
        <v>30</v>
      </c>
      <c r="R16" t="str">
        <f>VLOOKUP($O16,'Mapa Oficinas'!$A$7:$C$46,2,FALSE)</f>
        <v>Interior - Neuquén</v>
      </c>
      <c r="S16" t="str">
        <f>VLOOKUP($O16,'Mapa Oficinas'!$A$7:$C$46,3,FALSE)</f>
        <v>Villa La Angostura</v>
      </c>
    </row>
    <row r="17" spans="1:19" x14ac:dyDescent="0.2">
      <c r="A17" s="1">
        <v>45663</v>
      </c>
      <c r="B17" t="s">
        <v>8473</v>
      </c>
      <c r="D17" t="s">
        <v>8474</v>
      </c>
      <c r="E17" t="s">
        <v>16</v>
      </c>
      <c r="F17" t="s">
        <v>134</v>
      </c>
      <c r="G17" s="14">
        <v>114000</v>
      </c>
      <c r="H17" s="14">
        <v>114000</v>
      </c>
      <c r="I17" t="s">
        <v>22</v>
      </c>
      <c r="J17" t="s">
        <v>22</v>
      </c>
      <c r="K17" t="s">
        <v>8475</v>
      </c>
      <c r="L17" t="s">
        <v>170</v>
      </c>
      <c r="M17" t="s">
        <v>72</v>
      </c>
      <c r="N17">
        <v>1</v>
      </c>
      <c r="O17" t="s">
        <v>171</v>
      </c>
      <c r="P17" t="s">
        <v>146</v>
      </c>
      <c r="Q17" t="s">
        <v>30</v>
      </c>
      <c r="R17" t="str">
        <f>VLOOKUP($O17,'Mapa Oficinas'!$A$7:$C$46,2,FALSE)</f>
        <v>Zona Sur (GBA)</v>
      </c>
      <c r="S17" t="str">
        <f>VLOOKUP($O17,'Mapa Oficinas'!$A$7:$C$46,3,FALSE)</f>
        <v>La Plata</v>
      </c>
    </row>
    <row r="18" spans="1:19" x14ac:dyDescent="0.2">
      <c r="A18" s="1">
        <v>45663</v>
      </c>
      <c r="B18">
        <v>10257</v>
      </c>
      <c r="D18" t="s">
        <v>8476</v>
      </c>
      <c r="E18" t="s">
        <v>16</v>
      </c>
      <c r="F18" t="s">
        <v>17</v>
      </c>
      <c r="G18" s="14">
        <v>0</v>
      </c>
      <c r="H18" s="14">
        <v>163000</v>
      </c>
      <c r="I18" t="s">
        <v>22</v>
      </c>
      <c r="J18" t="s">
        <v>22</v>
      </c>
      <c r="L18" t="s">
        <v>226</v>
      </c>
      <c r="M18" t="s">
        <v>19</v>
      </c>
      <c r="N18">
        <v>1</v>
      </c>
      <c r="O18" t="s">
        <v>103</v>
      </c>
      <c r="P18" t="s">
        <v>146</v>
      </c>
      <c r="Q18" t="s">
        <v>30</v>
      </c>
      <c r="R18" t="str">
        <f>VLOOKUP($O18,'Mapa Oficinas'!$A$7:$C$46,2,FALSE)</f>
        <v>CABA</v>
      </c>
      <c r="S18" t="str">
        <f>VLOOKUP($O18,'Mapa Oficinas'!$A$7:$C$46,3,FALSE)</f>
        <v>Barrio Parque</v>
      </c>
    </row>
    <row r="19" spans="1:19" x14ac:dyDescent="0.2">
      <c r="A19" s="1">
        <v>45664</v>
      </c>
      <c r="B19" t="s">
        <v>8468</v>
      </c>
      <c r="C19">
        <v>1</v>
      </c>
      <c r="D19" t="s">
        <v>8469</v>
      </c>
      <c r="E19" t="s">
        <v>16</v>
      </c>
      <c r="F19" t="s">
        <v>17</v>
      </c>
      <c r="G19" s="14">
        <v>99900</v>
      </c>
      <c r="H19" s="14">
        <v>85000</v>
      </c>
      <c r="I19" t="s">
        <v>22</v>
      </c>
      <c r="J19" t="s">
        <v>22</v>
      </c>
      <c r="K19" t="s">
        <v>8470</v>
      </c>
      <c r="L19" t="s">
        <v>8471</v>
      </c>
      <c r="M19" t="s">
        <v>19</v>
      </c>
      <c r="N19">
        <v>2</v>
      </c>
      <c r="O19" t="s">
        <v>142</v>
      </c>
      <c r="P19" t="s">
        <v>21</v>
      </c>
      <c r="Q19" t="s">
        <v>30</v>
      </c>
      <c r="R19" t="str">
        <f>VLOOKUP($O19,'Mapa Oficinas'!$A$7:$C$46,2,FALSE)</f>
        <v>Zona Norte (GBA)</v>
      </c>
      <c r="S19" t="str">
        <f>VLOOKUP($O19,'Mapa Oficinas'!$A$7:$C$46,3,FALSE)</f>
        <v>Nordelta</v>
      </c>
    </row>
    <row r="20" spans="1:19" x14ac:dyDescent="0.2">
      <c r="A20" s="1">
        <v>45664</v>
      </c>
      <c r="B20" t="s">
        <v>8465</v>
      </c>
      <c r="C20">
        <v>1</v>
      </c>
      <c r="D20" t="s">
        <v>8466</v>
      </c>
      <c r="E20" t="s">
        <v>16</v>
      </c>
      <c r="F20" t="s">
        <v>17</v>
      </c>
      <c r="G20" s="14">
        <v>95000</v>
      </c>
      <c r="H20" s="14">
        <v>95000</v>
      </c>
      <c r="I20" t="s">
        <v>22</v>
      </c>
      <c r="J20" t="s">
        <v>22</v>
      </c>
      <c r="K20" t="s">
        <v>8467</v>
      </c>
      <c r="L20" t="s">
        <v>164</v>
      </c>
      <c r="M20" t="s">
        <v>19</v>
      </c>
      <c r="N20">
        <v>2</v>
      </c>
      <c r="O20" t="s">
        <v>142</v>
      </c>
      <c r="P20" t="s">
        <v>21</v>
      </c>
      <c r="Q20" t="s">
        <v>30</v>
      </c>
      <c r="R20" t="str">
        <f>VLOOKUP($O20,'Mapa Oficinas'!$A$7:$C$46,2,FALSE)</f>
        <v>Zona Norte (GBA)</v>
      </c>
      <c r="S20" t="str">
        <f>VLOOKUP($O20,'Mapa Oficinas'!$A$7:$C$46,3,FALSE)</f>
        <v>Nordelta</v>
      </c>
    </row>
    <row r="21" spans="1:19" x14ac:dyDescent="0.2">
      <c r="A21" s="1">
        <v>45664</v>
      </c>
      <c r="B21" t="s">
        <v>8472</v>
      </c>
      <c r="C21">
        <v>1</v>
      </c>
      <c r="D21" t="s">
        <v>8472</v>
      </c>
      <c r="E21" t="s">
        <v>16</v>
      </c>
      <c r="F21" t="s">
        <v>47</v>
      </c>
      <c r="G21" s="14">
        <v>218000</v>
      </c>
      <c r="H21" s="14">
        <v>218000</v>
      </c>
      <c r="I21" t="s">
        <v>22</v>
      </c>
      <c r="J21" t="s">
        <v>22</v>
      </c>
      <c r="K21" t="s">
        <v>8472</v>
      </c>
      <c r="L21" t="s">
        <v>523</v>
      </c>
      <c r="M21" t="s">
        <v>28</v>
      </c>
      <c r="N21">
        <v>2</v>
      </c>
      <c r="O21" t="s">
        <v>50</v>
      </c>
      <c r="P21" t="s">
        <v>21</v>
      </c>
      <c r="Q21" t="s">
        <v>30</v>
      </c>
      <c r="R21" t="str">
        <f>VLOOKUP($O21,'Mapa Oficinas'!$A$7:$C$46,2,FALSE)</f>
        <v>CABA</v>
      </c>
      <c r="S21" t="str">
        <f>VLOOKUP($O21,'Mapa Oficinas'!$A$7:$C$46,3,FALSE)</f>
        <v>Villa Urquiza</v>
      </c>
    </row>
    <row r="22" spans="1:19" x14ac:dyDescent="0.2">
      <c r="A22" s="1">
        <v>45665</v>
      </c>
      <c r="B22" t="s">
        <v>8455</v>
      </c>
      <c r="D22" t="s">
        <v>8456</v>
      </c>
      <c r="E22" t="s">
        <v>16</v>
      </c>
      <c r="F22" t="s">
        <v>184</v>
      </c>
      <c r="G22" s="14">
        <v>0</v>
      </c>
      <c r="H22" s="14">
        <v>52500</v>
      </c>
      <c r="I22" t="s">
        <v>22</v>
      </c>
      <c r="J22" t="s">
        <v>22</v>
      </c>
      <c r="L22" t="s">
        <v>129</v>
      </c>
      <c r="M22" t="s">
        <v>97</v>
      </c>
      <c r="N22">
        <v>1</v>
      </c>
      <c r="O22" t="s">
        <v>130</v>
      </c>
      <c r="P22" t="s">
        <v>131</v>
      </c>
      <c r="Q22" t="s">
        <v>30</v>
      </c>
      <c r="R22" t="str">
        <f>VLOOKUP($O22,'Mapa Oficinas'!$A$7:$C$46,2,FALSE)</f>
        <v>Interior - Río Negro</v>
      </c>
      <c r="S22" t="str">
        <f>VLOOKUP($O22,'Mapa Oficinas'!$A$7:$C$46,3,FALSE)</f>
        <v>Bariloche</v>
      </c>
    </row>
    <row r="23" spans="1:19" x14ac:dyDescent="0.2">
      <c r="A23" s="1">
        <v>45665</v>
      </c>
      <c r="B23" t="s">
        <v>8462</v>
      </c>
      <c r="D23" t="s">
        <v>8463</v>
      </c>
      <c r="E23" t="s">
        <v>16</v>
      </c>
      <c r="F23" t="s">
        <v>17</v>
      </c>
      <c r="G23" s="14">
        <v>125000</v>
      </c>
      <c r="H23" s="14">
        <v>120000</v>
      </c>
      <c r="I23" t="s">
        <v>22</v>
      </c>
      <c r="J23" t="s">
        <v>22</v>
      </c>
      <c r="K23" t="s">
        <v>8464</v>
      </c>
      <c r="L23" t="s">
        <v>318</v>
      </c>
      <c r="M23" t="s">
        <v>19</v>
      </c>
      <c r="N23">
        <v>2</v>
      </c>
      <c r="O23" t="s">
        <v>50</v>
      </c>
      <c r="P23" t="s">
        <v>41</v>
      </c>
      <c r="Q23" t="s">
        <v>30</v>
      </c>
      <c r="R23" t="str">
        <f>VLOOKUP($O23,'Mapa Oficinas'!$A$7:$C$46,2,FALSE)</f>
        <v>CABA</v>
      </c>
      <c r="S23" t="str">
        <f>VLOOKUP($O23,'Mapa Oficinas'!$A$7:$C$46,3,FALSE)</f>
        <v>Villa Urquiza</v>
      </c>
    </row>
    <row r="24" spans="1:19" x14ac:dyDescent="0.2">
      <c r="A24" s="1">
        <v>45666</v>
      </c>
      <c r="B24" t="s">
        <v>8452</v>
      </c>
      <c r="C24">
        <v>1</v>
      </c>
      <c r="D24" t="s">
        <v>8453</v>
      </c>
      <c r="E24" t="s">
        <v>16</v>
      </c>
      <c r="F24" t="s">
        <v>134</v>
      </c>
      <c r="G24" s="14">
        <v>42000</v>
      </c>
      <c r="H24" s="14">
        <v>42000</v>
      </c>
      <c r="I24" t="s">
        <v>22</v>
      </c>
      <c r="J24" t="s">
        <v>22</v>
      </c>
      <c r="K24" t="s">
        <v>8454</v>
      </c>
      <c r="L24" t="s">
        <v>1585</v>
      </c>
      <c r="M24" t="s">
        <v>28</v>
      </c>
      <c r="N24">
        <v>2</v>
      </c>
      <c r="O24" t="s">
        <v>367</v>
      </c>
      <c r="P24" t="s">
        <v>21</v>
      </c>
      <c r="Q24" t="s">
        <v>30</v>
      </c>
      <c r="R24" t="str">
        <f>VLOOKUP($O24,'Mapa Oficinas'!$A$7:$C$46,2,FALSE)</f>
        <v>Interior - Neuquén</v>
      </c>
      <c r="S24" t="str">
        <f>VLOOKUP($O24,'Mapa Oficinas'!$A$7:$C$46,3,FALSE)</f>
        <v>San Martín de los Andes</v>
      </c>
    </row>
    <row r="25" spans="1:19" x14ac:dyDescent="0.2">
      <c r="A25" s="1">
        <v>45666</v>
      </c>
      <c r="B25" t="s">
        <v>8447</v>
      </c>
      <c r="C25">
        <v>1</v>
      </c>
      <c r="D25" t="s">
        <v>289</v>
      </c>
      <c r="E25" t="s">
        <v>16</v>
      </c>
      <c r="F25" t="s">
        <v>17</v>
      </c>
      <c r="G25" s="14">
        <v>75000</v>
      </c>
      <c r="H25" s="14">
        <v>45000</v>
      </c>
      <c r="I25" t="s">
        <v>22</v>
      </c>
      <c r="J25" t="s">
        <v>22</v>
      </c>
      <c r="K25" t="s">
        <v>290</v>
      </c>
      <c r="L25" t="s">
        <v>291</v>
      </c>
      <c r="N25">
        <v>2</v>
      </c>
      <c r="O25" t="s">
        <v>201</v>
      </c>
      <c r="P25" t="s">
        <v>21</v>
      </c>
      <c r="Q25" t="s">
        <v>30</v>
      </c>
      <c r="R25" t="str">
        <f>VLOOKUP($O25,'Mapa Oficinas'!$A$7:$C$46,2,FALSE)</f>
        <v>CABA</v>
      </c>
      <c r="S25" t="str">
        <f>VLOOKUP($O25,'Mapa Oficinas'!$A$7:$C$46,3,FALSE)</f>
        <v>Recoleta</v>
      </c>
    </row>
    <row r="26" spans="1:19" x14ac:dyDescent="0.2">
      <c r="A26" s="1">
        <v>45666</v>
      </c>
      <c r="B26" t="s">
        <v>7087</v>
      </c>
      <c r="C26">
        <v>1</v>
      </c>
      <c r="D26" t="s">
        <v>7088</v>
      </c>
      <c r="E26" t="s">
        <v>16</v>
      </c>
      <c r="F26" t="s">
        <v>47</v>
      </c>
      <c r="G26" s="14">
        <v>79000</v>
      </c>
      <c r="H26" s="14">
        <v>80000</v>
      </c>
      <c r="I26" t="s">
        <v>22</v>
      </c>
      <c r="J26" t="s">
        <v>22</v>
      </c>
      <c r="K26" t="s">
        <v>6400</v>
      </c>
      <c r="L26" t="s">
        <v>318</v>
      </c>
      <c r="M26" t="s">
        <v>19</v>
      </c>
      <c r="N26">
        <v>2</v>
      </c>
      <c r="O26" t="s">
        <v>50</v>
      </c>
      <c r="P26" t="s">
        <v>21</v>
      </c>
      <c r="Q26" t="s">
        <v>30</v>
      </c>
      <c r="R26" t="str">
        <f>VLOOKUP($O26,'Mapa Oficinas'!$A$7:$C$46,2,FALSE)</f>
        <v>CABA</v>
      </c>
      <c r="S26" t="str">
        <f>VLOOKUP($O26,'Mapa Oficinas'!$A$7:$C$46,3,FALSE)</f>
        <v>Villa Urquiza</v>
      </c>
    </row>
    <row r="27" spans="1:19" x14ac:dyDescent="0.2">
      <c r="A27" s="1">
        <v>45666</v>
      </c>
      <c r="B27" t="s">
        <v>8448</v>
      </c>
      <c r="D27" t="s">
        <v>8449</v>
      </c>
      <c r="E27" t="s">
        <v>16</v>
      </c>
      <c r="F27" t="s">
        <v>17</v>
      </c>
      <c r="G27" s="14">
        <v>110000</v>
      </c>
      <c r="H27" s="14">
        <v>110000</v>
      </c>
      <c r="I27" t="s">
        <v>22</v>
      </c>
      <c r="J27" t="s">
        <v>22</v>
      </c>
      <c r="K27" t="s">
        <v>8450</v>
      </c>
      <c r="L27" t="s">
        <v>205</v>
      </c>
      <c r="M27" t="s">
        <v>19</v>
      </c>
      <c r="N27">
        <v>1</v>
      </c>
      <c r="O27" t="s">
        <v>781</v>
      </c>
      <c r="P27" t="s">
        <v>146</v>
      </c>
      <c r="Q27" t="s">
        <v>30</v>
      </c>
      <c r="R27" t="str">
        <f>VLOOKUP($O27,'Mapa Oficinas'!$A$7:$C$46,2,FALSE)</f>
        <v>CABA</v>
      </c>
      <c r="S27" t="str">
        <f>VLOOKUP($O27,'Mapa Oficinas'!$A$7:$C$46,3,FALSE)</f>
        <v>Palermo</v>
      </c>
    </row>
    <row r="28" spans="1:19" x14ac:dyDescent="0.2">
      <c r="A28" s="1">
        <v>45666</v>
      </c>
      <c r="D28" t="s">
        <v>8451</v>
      </c>
      <c r="E28" t="s">
        <v>16</v>
      </c>
      <c r="F28" t="s">
        <v>134</v>
      </c>
      <c r="G28" s="14">
        <v>118402</v>
      </c>
      <c r="H28" s="14">
        <v>118402</v>
      </c>
      <c r="I28" t="s">
        <v>22</v>
      </c>
      <c r="J28" t="s">
        <v>22</v>
      </c>
      <c r="K28" t="s">
        <v>2121</v>
      </c>
      <c r="L28" t="s">
        <v>442</v>
      </c>
      <c r="M28" t="s">
        <v>19</v>
      </c>
      <c r="N28">
        <v>2</v>
      </c>
      <c r="O28" t="s">
        <v>98</v>
      </c>
      <c r="P28" t="s">
        <v>41</v>
      </c>
      <c r="Q28" t="s">
        <v>30</v>
      </c>
      <c r="R28" t="str">
        <f>VLOOKUP($O28,'Mapa Oficinas'!$A$7:$C$46,2,FALSE)</f>
        <v>Interior - Neuquén</v>
      </c>
      <c r="S28" t="str">
        <f>VLOOKUP($O28,'Mapa Oficinas'!$A$7:$C$46,3,FALSE)</f>
        <v>Villa La Angostura</v>
      </c>
    </row>
    <row r="29" spans="1:19" x14ac:dyDescent="0.2">
      <c r="A29" s="1">
        <v>45667</v>
      </c>
      <c r="B29" t="s">
        <v>8429</v>
      </c>
      <c r="D29" t="s">
        <v>8430</v>
      </c>
      <c r="E29" t="s">
        <v>16</v>
      </c>
      <c r="F29" t="s">
        <v>38</v>
      </c>
      <c r="G29" s="14">
        <v>45000</v>
      </c>
      <c r="H29" s="14">
        <v>40000</v>
      </c>
      <c r="I29" t="s">
        <v>22</v>
      </c>
      <c r="J29" t="s">
        <v>22</v>
      </c>
      <c r="K29" t="s">
        <v>8431</v>
      </c>
      <c r="L29" t="s">
        <v>170</v>
      </c>
      <c r="M29" t="s">
        <v>19</v>
      </c>
      <c r="N29">
        <v>2</v>
      </c>
      <c r="O29" t="s">
        <v>171</v>
      </c>
      <c r="P29" t="s">
        <v>21</v>
      </c>
      <c r="Q29" t="s">
        <v>30</v>
      </c>
      <c r="R29" t="str">
        <f>VLOOKUP($O29,'Mapa Oficinas'!$A$7:$C$46,2,FALSE)</f>
        <v>Zona Sur (GBA)</v>
      </c>
      <c r="S29" t="str">
        <f>VLOOKUP($O29,'Mapa Oficinas'!$A$7:$C$46,3,FALSE)</f>
        <v>La Plata</v>
      </c>
    </row>
    <row r="30" spans="1:19" x14ac:dyDescent="0.2">
      <c r="A30" s="1">
        <v>45667</v>
      </c>
      <c r="B30" t="s">
        <v>8432</v>
      </c>
      <c r="D30" t="s">
        <v>8165</v>
      </c>
      <c r="E30" t="s">
        <v>16</v>
      </c>
      <c r="F30" t="s">
        <v>82</v>
      </c>
      <c r="G30" s="14">
        <v>45000</v>
      </c>
      <c r="H30" s="14">
        <v>45000</v>
      </c>
      <c r="I30" t="s">
        <v>22</v>
      </c>
      <c r="J30" t="s">
        <v>22</v>
      </c>
      <c r="K30" t="s">
        <v>8166</v>
      </c>
      <c r="L30" t="s">
        <v>2072</v>
      </c>
      <c r="M30" t="s">
        <v>19</v>
      </c>
      <c r="N30">
        <v>1</v>
      </c>
      <c r="O30" t="s">
        <v>65</v>
      </c>
      <c r="P30" t="s">
        <v>66</v>
      </c>
      <c r="Q30" t="s">
        <v>30</v>
      </c>
      <c r="R30" t="str">
        <f>VLOOKUP($O30,'Mapa Oficinas'!$A$7:$C$46,2,FALSE)</f>
        <v>Interior - Mendoza</v>
      </c>
      <c r="S30" t="str">
        <f>VLOOKUP($O30,'Mapa Oficinas'!$A$7:$C$46,3,FALSE)</f>
        <v>Capital Mendoza</v>
      </c>
    </row>
    <row r="31" spans="1:19" x14ac:dyDescent="0.2">
      <c r="A31" s="1">
        <v>45667</v>
      </c>
      <c r="B31" t="s">
        <v>8440</v>
      </c>
      <c r="D31" t="s">
        <v>8441</v>
      </c>
      <c r="E31" t="s">
        <v>16</v>
      </c>
      <c r="F31" t="s">
        <v>243</v>
      </c>
      <c r="G31" s="14">
        <v>45000</v>
      </c>
      <c r="H31" s="14">
        <v>45000</v>
      </c>
      <c r="I31" t="s">
        <v>22</v>
      </c>
      <c r="J31" t="s">
        <v>22</v>
      </c>
      <c r="K31" t="s">
        <v>8442</v>
      </c>
      <c r="L31" t="s">
        <v>247</v>
      </c>
      <c r="M31" t="s">
        <v>97</v>
      </c>
      <c r="N31">
        <v>2</v>
      </c>
      <c r="O31" t="s">
        <v>246</v>
      </c>
      <c r="P31" t="s">
        <v>21</v>
      </c>
      <c r="Q31" t="s">
        <v>30</v>
      </c>
      <c r="R31" t="str">
        <f>VLOOKUP($O31,'Mapa Oficinas'!$A$7:$C$46,2,FALSE)</f>
        <v>Interior - Salta</v>
      </c>
      <c r="S31" t="str">
        <f>VLOOKUP($O31,'Mapa Oficinas'!$A$7:$C$46,3,FALSE)</f>
        <v>San Lorenzo Chico</v>
      </c>
    </row>
    <row r="32" spans="1:19" x14ac:dyDescent="0.2">
      <c r="A32" s="1">
        <v>45667</v>
      </c>
      <c r="B32" t="s">
        <v>8433</v>
      </c>
      <c r="D32" t="s">
        <v>8434</v>
      </c>
      <c r="E32" t="s">
        <v>16</v>
      </c>
      <c r="F32" t="s">
        <v>17</v>
      </c>
      <c r="G32" s="14">
        <v>70000</v>
      </c>
      <c r="H32" s="14">
        <v>55000</v>
      </c>
      <c r="I32" t="s">
        <v>22</v>
      </c>
      <c r="J32" t="s">
        <v>22</v>
      </c>
      <c r="K32" t="s">
        <v>8435</v>
      </c>
      <c r="L32" t="s">
        <v>8436</v>
      </c>
      <c r="M32" t="s">
        <v>28</v>
      </c>
      <c r="N32">
        <v>2</v>
      </c>
      <c r="O32" t="s">
        <v>65</v>
      </c>
      <c r="P32" t="s">
        <v>21</v>
      </c>
      <c r="Q32" t="s">
        <v>30</v>
      </c>
      <c r="R32" t="str">
        <f>VLOOKUP($O32,'Mapa Oficinas'!$A$7:$C$46,2,FALSE)</f>
        <v>Interior - Mendoza</v>
      </c>
      <c r="S32" t="str">
        <f>VLOOKUP($O32,'Mapa Oficinas'!$A$7:$C$46,3,FALSE)</f>
        <v>Capital Mendoza</v>
      </c>
    </row>
    <row r="33" spans="1:19" x14ac:dyDescent="0.2">
      <c r="A33" s="1">
        <v>45667</v>
      </c>
      <c r="D33" t="s">
        <v>8443</v>
      </c>
      <c r="E33" t="s">
        <v>16</v>
      </c>
      <c r="F33" t="s">
        <v>17</v>
      </c>
      <c r="G33" s="14">
        <v>88000</v>
      </c>
      <c r="H33" s="14">
        <v>88000</v>
      </c>
      <c r="I33" t="s">
        <v>22</v>
      </c>
      <c r="J33" t="s">
        <v>22</v>
      </c>
      <c r="K33" t="s">
        <v>8443</v>
      </c>
      <c r="L33" t="s">
        <v>237</v>
      </c>
      <c r="M33" t="s">
        <v>28</v>
      </c>
      <c r="N33">
        <v>2</v>
      </c>
      <c r="O33" t="s">
        <v>35</v>
      </c>
      <c r="P33" t="s">
        <v>21</v>
      </c>
      <c r="Q33" t="s">
        <v>30</v>
      </c>
      <c r="R33" t="str">
        <f>VLOOKUP($O33,'Mapa Oficinas'!$A$7:$C$46,2,FALSE)</f>
        <v>Zona Norte (GBA)</v>
      </c>
      <c r="S33" t="str">
        <f>VLOOKUP($O33,'Mapa Oficinas'!$A$7:$C$46,3,FALSE)</f>
        <v>Vicente López</v>
      </c>
    </row>
    <row r="34" spans="1:19" x14ac:dyDescent="0.2">
      <c r="A34" s="1">
        <v>45667</v>
      </c>
      <c r="B34" t="s">
        <v>8422</v>
      </c>
      <c r="D34" t="s">
        <v>8423</v>
      </c>
      <c r="E34" t="s">
        <v>16</v>
      </c>
      <c r="F34" t="s">
        <v>17</v>
      </c>
      <c r="G34" s="14">
        <v>115000</v>
      </c>
      <c r="H34" s="14">
        <v>105000</v>
      </c>
      <c r="I34" t="s">
        <v>22</v>
      </c>
      <c r="J34" t="s">
        <v>22</v>
      </c>
      <c r="K34" t="s">
        <v>8424</v>
      </c>
      <c r="L34" t="s">
        <v>3434</v>
      </c>
      <c r="M34" t="s">
        <v>28</v>
      </c>
      <c r="N34">
        <v>1</v>
      </c>
      <c r="O34" t="s">
        <v>55</v>
      </c>
      <c r="P34" t="s">
        <v>66</v>
      </c>
      <c r="Q34" t="s">
        <v>30</v>
      </c>
      <c r="R34" t="str">
        <f>VLOOKUP($O34,'Mapa Oficinas'!$A$7:$C$46,2,FALSE)</f>
        <v>Interior - Santa Fe</v>
      </c>
      <c r="S34" t="str">
        <f>VLOOKUP($O34,'Mapa Oficinas'!$A$7:$C$46,3,FALSE)</f>
        <v>Capital Santa Fe</v>
      </c>
    </row>
    <row r="35" spans="1:19" x14ac:dyDescent="0.2">
      <c r="A35" s="1">
        <v>45667</v>
      </c>
      <c r="B35" t="s">
        <v>420</v>
      </c>
      <c r="D35" t="s">
        <v>420</v>
      </c>
      <c r="E35" t="s">
        <v>16</v>
      </c>
      <c r="F35" t="s">
        <v>17</v>
      </c>
      <c r="G35" s="14">
        <v>163000</v>
      </c>
      <c r="H35" s="14">
        <v>163000</v>
      </c>
      <c r="I35" t="s">
        <v>22</v>
      </c>
      <c r="J35" t="s">
        <v>22</v>
      </c>
      <c r="K35" t="s">
        <v>8425</v>
      </c>
      <c r="M35" t="s">
        <v>19</v>
      </c>
      <c r="N35">
        <v>1</v>
      </c>
      <c r="O35" t="s">
        <v>252</v>
      </c>
      <c r="P35" t="s">
        <v>146</v>
      </c>
      <c r="Q35" t="s">
        <v>30</v>
      </c>
      <c r="R35" t="str">
        <f>VLOOKUP($O35,'Mapa Oficinas'!$A$7:$C$46,2,FALSE)</f>
        <v>CABA</v>
      </c>
      <c r="S35" t="str">
        <f>VLOOKUP($O35,'Mapa Oficinas'!$A$7:$C$46,3,FALSE)</f>
        <v>Belgrano</v>
      </c>
    </row>
    <row r="36" spans="1:19" x14ac:dyDescent="0.2">
      <c r="A36" s="1">
        <v>45667</v>
      </c>
      <c r="B36" t="s">
        <v>8444</v>
      </c>
      <c r="D36" t="s">
        <v>8445</v>
      </c>
      <c r="E36" t="s">
        <v>16</v>
      </c>
      <c r="F36" t="s">
        <v>17</v>
      </c>
      <c r="G36" s="14">
        <v>175000</v>
      </c>
      <c r="H36" s="14">
        <v>165000</v>
      </c>
      <c r="I36" t="s">
        <v>22</v>
      </c>
      <c r="J36" t="s">
        <v>22</v>
      </c>
      <c r="K36" t="s">
        <v>8446</v>
      </c>
      <c r="L36" t="s">
        <v>107</v>
      </c>
      <c r="M36" t="s">
        <v>72</v>
      </c>
      <c r="N36">
        <v>2</v>
      </c>
      <c r="O36" t="s">
        <v>35</v>
      </c>
      <c r="P36" t="s">
        <v>21</v>
      </c>
      <c r="Q36" t="s">
        <v>30</v>
      </c>
      <c r="R36" t="str">
        <f>VLOOKUP($O36,'Mapa Oficinas'!$A$7:$C$46,2,FALSE)</f>
        <v>Zona Norte (GBA)</v>
      </c>
      <c r="S36" t="str">
        <f>VLOOKUP($O36,'Mapa Oficinas'!$A$7:$C$46,3,FALSE)</f>
        <v>Vicente López</v>
      </c>
    </row>
    <row r="37" spans="1:19" x14ac:dyDescent="0.2">
      <c r="A37" s="1">
        <v>45667</v>
      </c>
      <c r="B37" t="s">
        <v>8426</v>
      </c>
      <c r="D37" t="s">
        <v>8427</v>
      </c>
      <c r="E37" t="s">
        <v>16</v>
      </c>
      <c r="F37" t="s">
        <v>17</v>
      </c>
      <c r="G37" s="14">
        <v>179000</v>
      </c>
      <c r="H37" s="14">
        <v>170000</v>
      </c>
      <c r="I37" t="s">
        <v>22</v>
      </c>
      <c r="J37" t="s">
        <v>22</v>
      </c>
      <c r="K37" t="s">
        <v>8428</v>
      </c>
      <c r="L37" t="s">
        <v>1064</v>
      </c>
      <c r="M37" t="s">
        <v>19</v>
      </c>
      <c r="N37">
        <v>2</v>
      </c>
      <c r="O37" t="s">
        <v>252</v>
      </c>
      <c r="P37" t="s">
        <v>21</v>
      </c>
      <c r="Q37" t="s">
        <v>30</v>
      </c>
      <c r="R37" t="str">
        <f>VLOOKUP($O37,'Mapa Oficinas'!$A$7:$C$46,2,FALSE)</f>
        <v>CABA</v>
      </c>
      <c r="S37" t="str">
        <f>VLOOKUP($O37,'Mapa Oficinas'!$A$7:$C$46,3,FALSE)</f>
        <v>Belgrano</v>
      </c>
    </row>
    <row r="38" spans="1:19" x14ac:dyDescent="0.2">
      <c r="A38" s="1">
        <v>45667</v>
      </c>
      <c r="B38" t="s">
        <v>8437</v>
      </c>
      <c r="D38" t="s">
        <v>8438</v>
      </c>
      <c r="E38" t="s">
        <v>16</v>
      </c>
      <c r="F38" t="s">
        <v>17</v>
      </c>
      <c r="G38" s="14">
        <v>170000</v>
      </c>
      <c r="H38" s="14">
        <v>170000</v>
      </c>
      <c r="I38" t="s">
        <v>22</v>
      </c>
      <c r="J38" t="s">
        <v>22</v>
      </c>
      <c r="K38" t="s">
        <v>8439</v>
      </c>
      <c r="L38" t="s">
        <v>6433</v>
      </c>
      <c r="M38" t="s">
        <v>72</v>
      </c>
      <c r="N38">
        <v>2</v>
      </c>
      <c r="O38" t="s">
        <v>151</v>
      </c>
      <c r="P38" t="s">
        <v>21</v>
      </c>
      <c r="Q38" t="s">
        <v>30</v>
      </c>
      <c r="R38" t="str">
        <f>VLOOKUP($O38,'Mapa Oficinas'!$A$7:$C$46,2,FALSE)</f>
        <v>Interior - Neuquén</v>
      </c>
      <c r="S38" t="str">
        <f>VLOOKUP($O38,'Mapa Oficinas'!$A$7:$C$46,3,FALSE)</f>
        <v>Capital Neuquén</v>
      </c>
    </row>
    <row r="39" spans="1:19" x14ac:dyDescent="0.2">
      <c r="A39" s="1">
        <v>45667</v>
      </c>
      <c r="B39" t="s">
        <v>8419</v>
      </c>
      <c r="D39" t="s">
        <v>8420</v>
      </c>
      <c r="E39" t="s">
        <v>16</v>
      </c>
      <c r="F39" t="s">
        <v>17</v>
      </c>
      <c r="G39" s="14">
        <v>215000</v>
      </c>
      <c r="H39" s="14">
        <v>200000</v>
      </c>
      <c r="I39" t="s">
        <v>22</v>
      </c>
      <c r="J39" t="s">
        <v>22</v>
      </c>
      <c r="K39" t="s">
        <v>8421</v>
      </c>
      <c r="L39" t="s">
        <v>191</v>
      </c>
      <c r="M39" t="s">
        <v>19</v>
      </c>
      <c r="N39">
        <v>2</v>
      </c>
      <c r="O39" t="s">
        <v>201</v>
      </c>
      <c r="P39" t="s">
        <v>21</v>
      </c>
      <c r="Q39" t="s">
        <v>30</v>
      </c>
      <c r="R39" t="str">
        <f>VLOOKUP($O39,'Mapa Oficinas'!$A$7:$C$46,2,FALSE)</f>
        <v>CABA</v>
      </c>
      <c r="S39" t="str">
        <f>VLOOKUP($O39,'Mapa Oficinas'!$A$7:$C$46,3,FALSE)</f>
        <v>Recoleta</v>
      </c>
    </row>
    <row r="40" spans="1:19" x14ac:dyDescent="0.2">
      <c r="A40" s="1">
        <v>45669</v>
      </c>
      <c r="B40" t="s">
        <v>8410</v>
      </c>
      <c r="D40" t="s">
        <v>8411</v>
      </c>
      <c r="E40" t="s">
        <v>16</v>
      </c>
      <c r="F40" t="s">
        <v>17</v>
      </c>
      <c r="G40" s="14">
        <v>105000</v>
      </c>
      <c r="H40" s="14">
        <v>105000</v>
      </c>
      <c r="I40" t="s">
        <v>22</v>
      </c>
      <c r="J40" t="s">
        <v>22</v>
      </c>
      <c r="K40" t="s">
        <v>8412</v>
      </c>
      <c r="L40" t="s">
        <v>277</v>
      </c>
      <c r="M40" t="s">
        <v>19</v>
      </c>
      <c r="N40">
        <v>2</v>
      </c>
      <c r="O40" t="s">
        <v>142</v>
      </c>
      <c r="P40" t="s">
        <v>41</v>
      </c>
      <c r="Q40" t="s">
        <v>30</v>
      </c>
      <c r="R40" t="str">
        <f>VLOOKUP($O40,'Mapa Oficinas'!$A$7:$C$46,2,FALSE)</f>
        <v>Zona Norte (GBA)</v>
      </c>
      <c r="S40" t="str">
        <f>VLOOKUP($O40,'Mapa Oficinas'!$A$7:$C$46,3,FALSE)</f>
        <v>Nordelta</v>
      </c>
    </row>
    <row r="41" spans="1:19" x14ac:dyDescent="0.2">
      <c r="A41" s="1">
        <v>45669</v>
      </c>
      <c r="B41" t="s">
        <v>8413</v>
      </c>
      <c r="D41" t="s">
        <v>8414</v>
      </c>
      <c r="E41" t="s">
        <v>16</v>
      </c>
      <c r="F41" t="s">
        <v>17</v>
      </c>
      <c r="G41" s="14">
        <v>150000</v>
      </c>
      <c r="H41" s="14">
        <v>155000</v>
      </c>
      <c r="I41" t="s">
        <v>22</v>
      </c>
      <c r="J41" t="s">
        <v>22</v>
      </c>
      <c r="K41" t="s">
        <v>8414</v>
      </c>
      <c r="L41" t="s">
        <v>1274</v>
      </c>
      <c r="M41" t="s">
        <v>28</v>
      </c>
      <c r="N41">
        <v>1</v>
      </c>
      <c r="O41" t="s">
        <v>142</v>
      </c>
      <c r="P41" t="s">
        <v>66</v>
      </c>
      <c r="Q41" t="s">
        <v>30</v>
      </c>
      <c r="R41" t="str">
        <f>VLOOKUP($O41,'Mapa Oficinas'!$A$7:$C$46,2,FALSE)</f>
        <v>Zona Norte (GBA)</v>
      </c>
      <c r="S41" t="str">
        <f>VLOOKUP($O41,'Mapa Oficinas'!$A$7:$C$46,3,FALSE)</f>
        <v>Nordelta</v>
      </c>
    </row>
    <row r="42" spans="1:19" x14ac:dyDescent="0.2">
      <c r="A42" s="1">
        <v>45669</v>
      </c>
      <c r="B42" t="s">
        <v>8415</v>
      </c>
      <c r="D42" t="s">
        <v>8416</v>
      </c>
      <c r="E42" t="s">
        <v>16</v>
      </c>
      <c r="F42" t="s">
        <v>17</v>
      </c>
      <c r="G42" s="14">
        <v>175000</v>
      </c>
      <c r="H42" s="14">
        <v>175000</v>
      </c>
      <c r="I42" t="s">
        <v>22</v>
      </c>
      <c r="J42" t="s">
        <v>22</v>
      </c>
      <c r="K42" t="s">
        <v>8416</v>
      </c>
      <c r="L42" t="s">
        <v>1765</v>
      </c>
      <c r="M42" t="s">
        <v>28</v>
      </c>
      <c r="N42">
        <v>2</v>
      </c>
      <c r="O42" t="s">
        <v>142</v>
      </c>
      <c r="P42" t="s">
        <v>21</v>
      </c>
      <c r="Q42" t="s">
        <v>30</v>
      </c>
      <c r="R42" t="str">
        <f>VLOOKUP($O42,'Mapa Oficinas'!$A$7:$C$46,2,FALSE)</f>
        <v>Zona Norte (GBA)</v>
      </c>
      <c r="S42" t="str">
        <f>VLOOKUP($O42,'Mapa Oficinas'!$A$7:$C$46,3,FALSE)</f>
        <v>Nordelta</v>
      </c>
    </row>
    <row r="43" spans="1:19" x14ac:dyDescent="0.2">
      <c r="A43" s="1">
        <v>45669</v>
      </c>
      <c r="B43" t="s">
        <v>8417</v>
      </c>
      <c r="D43" t="s">
        <v>8417</v>
      </c>
      <c r="E43" t="s">
        <v>16</v>
      </c>
      <c r="F43" t="s">
        <v>17</v>
      </c>
      <c r="G43" s="14">
        <v>307200</v>
      </c>
      <c r="H43" s="14">
        <v>206700</v>
      </c>
      <c r="I43" t="s">
        <v>22</v>
      </c>
      <c r="J43" t="s">
        <v>22</v>
      </c>
      <c r="K43" t="s">
        <v>8418</v>
      </c>
      <c r="L43" t="s">
        <v>676</v>
      </c>
      <c r="M43" t="s">
        <v>19</v>
      </c>
      <c r="N43">
        <v>2</v>
      </c>
      <c r="O43" t="s">
        <v>142</v>
      </c>
      <c r="P43" t="s">
        <v>276</v>
      </c>
      <c r="Q43" t="s">
        <v>30</v>
      </c>
      <c r="R43" t="str">
        <f>VLOOKUP($O43,'Mapa Oficinas'!$A$7:$C$46,2,FALSE)</f>
        <v>Zona Norte (GBA)</v>
      </c>
      <c r="S43" t="str">
        <f>VLOOKUP($O43,'Mapa Oficinas'!$A$7:$C$46,3,FALSE)</f>
        <v>Nordelta</v>
      </c>
    </row>
    <row r="44" spans="1:19" x14ac:dyDescent="0.2">
      <c r="A44" s="1">
        <v>45670</v>
      </c>
      <c r="B44" t="s">
        <v>8407</v>
      </c>
      <c r="D44" t="s">
        <v>8408</v>
      </c>
      <c r="E44" t="s">
        <v>16</v>
      </c>
      <c r="F44" t="s">
        <v>134</v>
      </c>
      <c r="G44" s="14">
        <v>44150</v>
      </c>
      <c r="H44" s="14">
        <v>44146</v>
      </c>
      <c r="I44" t="s">
        <v>22</v>
      </c>
      <c r="J44" t="s">
        <v>22</v>
      </c>
      <c r="K44" t="s">
        <v>2966</v>
      </c>
      <c r="L44" t="s">
        <v>5880</v>
      </c>
      <c r="M44" t="s">
        <v>97</v>
      </c>
      <c r="N44">
        <v>2</v>
      </c>
      <c r="O44" t="s">
        <v>130</v>
      </c>
      <c r="P44" t="s">
        <v>21</v>
      </c>
      <c r="Q44" t="s">
        <v>30</v>
      </c>
      <c r="R44" t="str">
        <f>VLOOKUP($O44,'Mapa Oficinas'!$A$7:$C$46,2,FALSE)</f>
        <v>Interior - Río Negro</v>
      </c>
      <c r="S44" t="str">
        <f>VLOOKUP($O44,'Mapa Oficinas'!$A$7:$C$46,3,FALSE)</f>
        <v>Bariloche</v>
      </c>
    </row>
    <row r="45" spans="1:19" x14ac:dyDescent="0.2">
      <c r="A45" s="1">
        <v>45670</v>
      </c>
      <c r="B45" t="s">
        <v>8409</v>
      </c>
      <c r="D45" t="s">
        <v>8409</v>
      </c>
      <c r="E45" t="s">
        <v>16</v>
      </c>
      <c r="F45" t="s">
        <v>47</v>
      </c>
      <c r="G45" s="14">
        <v>55000</v>
      </c>
      <c r="H45" s="14">
        <v>55000</v>
      </c>
      <c r="I45" t="s">
        <v>22</v>
      </c>
      <c r="J45" t="s">
        <v>22</v>
      </c>
      <c r="K45" t="s">
        <v>8409</v>
      </c>
      <c r="L45" t="s">
        <v>523</v>
      </c>
      <c r="M45" t="s">
        <v>19</v>
      </c>
      <c r="N45">
        <v>2</v>
      </c>
      <c r="O45" t="s">
        <v>50</v>
      </c>
      <c r="P45" t="s">
        <v>21</v>
      </c>
      <c r="Q45" t="s">
        <v>30</v>
      </c>
      <c r="R45" t="str">
        <f>VLOOKUP($O45,'Mapa Oficinas'!$A$7:$C$46,2,FALSE)</f>
        <v>CABA</v>
      </c>
      <c r="S45" t="str">
        <f>VLOOKUP($O45,'Mapa Oficinas'!$A$7:$C$46,3,FALSE)</f>
        <v>Villa Urquiza</v>
      </c>
    </row>
    <row r="46" spans="1:19" x14ac:dyDescent="0.2">
      <c r="A46" s="1">
        <v>45670</v>
      </c>
      <c r="B46" t="s">
        <v>132</v>
      </c>
      <c r="D46" t="s">
        <v>133</v>
      </c>
      <c r="E46" t="s">
        <v>16</v>
      </c>
      <c r="F46" t="s">
        <v>134</v>
      </c>
      <c r="G46" s="14">
        <v>90000</v>
      </c>
      <c r="H46" s="14">
        <v>90000</v>
      </c>
      <c r="I46" t="s">
        <v>22</v>
      </c>
      <c r="J46" t="s">
        <v>22</v>
      </c>
      <c r="K46" t="s">
        <v>135</v>
      </c>
      <c r="L46" t="s">
        <v>136</v>
      </c>
      <c r="M46" t="s">
        <v>19</v>
      </c>
      <c r="N46">
        <v>2</v>
      </c>
      <c r="O46" t="s">
        <v>130</v>
      </c>
      <c r="P46" t="s">
        <v>21</v>
      </c>
      <c r="Q46" t="s">
        <v>30</v>
      </c>
      <c r="R46" t="str">
        <f>VLOOKUP($O46,'Mapa Oficinas'!$A$7:$C$46,2,FALSE)</f>
        <v>Interior - Río Negro</v>
      </c>
      <c r="S46" t="str">
        <f>VLOOKUP($O46,'Mapa Oficinas'!$A$7:$C$46,3,FALSE)</f>
        <v>Bariloche</v>
      </c>
    </row>
    <row r="47" spans="1:19" x14ac:dyDescent="0.2">
      <c r="A47" s="1">
        <v>45671</v>
      </c>
      <c r="B47" t="s">
        <v>4406</v>
      </c>
      <c r="D47" t="s">
        <v>4407</v>
      </c>
      <c r="E47" t="s">
        <v>16</v>
      </c>
      <c r="F47" t="s">
        <v>38</v>
      </c>
      <c r="G47" s="14">
        <v>50500</v>
      </c>
      <c r="H47" s="14">
        <v>73400</v>
      </c>
      <c r="I47" t="s">
        <v>22</v>
      </c>
      <c r="J47" t="s">
        <v>22</v>
      </c>
      <c r="K47" t="s">
        <v>4408</v>
      </c>
      <c r="L47" t="s">
        <v>170</v>
      </c>
      <c r="M47" t="s">
        <v>19</v>
      </c>
      <c r="N47">
        <v>2</v>
      </c>
      <c r="O47" t="s">
        <v>171</v>
      </c>
      <c r="P47" t="s">
        <v>21</v>
      </c>
      <c r="Q47" t="s">
        <v>30</v>
      </c>
      <c r="R47" t="str">
        <f>VLOOKUP($O47,'Mapa Oficinas'!$A$7:$C$46,2,FALSE)</f>
        <v>Zona Sur (GBA)</v>
      </c>
      <c r="S47" t="str">
        <f>VLOOKUP($O47,'Mapa Oficinas'!$A$7:$C$46,3,FALSE)</f>
        <v>La Plata</v>
      </c>
    </row>
    <row r="48" spans="1:19" x14ac:dyDescent="0.2">
      <c r="A48" s="1">
        <v>45671</v>
      </c>
      <c r="B48" t="s">
        <v>8396</v>
      </c>
      <c r="D48" t="s">
        <v>8397</v>
      </c>
      <c r="E48" t="s">
        <v>16</v>
      </c>
      <c r="F48" t="s">
        <v>17</v>
      </c>
      <c r="G48" s="14">
        <v>145000</v>
      </c>
      <c r="H48" s="14">
        <v>137000</v>
      </c>
      <c r="I48" t="s">
        <v>22</v>
      </c>
      <c r="J48" t="s">
        <v>22</v>
      </c>
      <c r="K48" t="s">
        <v>8398</v>
      </c>
      <c r="L48" t="s">
        <v>398</v>
      </c>
      <c r="M48" t="s">
        <v>19</v>
      </c>
      <c r="N48">
        <v>2</v>
      </c>
      <c r="O48" t="s">
        <v>103</v>
      </c>
      <c r="P48" t="s">
        <v>21</v>
      </c>
      <c r="Q48" t="s">
        <v>30</v>
      </c>
      <c r="R48" t="str">
        <f>VLOOKUP($O48,'Mapa Oficinas'!$A$7:$C$46,2,FALSE)</f>
        <v>CABA</v>
      </c>
      <c r="S48" t="str">
        <f>VLOOKUP($O48,'Mapa Oficinas'!$A$7:$C$46,3,FALSE)</f>
        <v>Barrio Parque</v>
      </c>
    </row>
    <row r="49" spans="1:19" x14ac:dyDescent="0.2">
      <c r="A49" s="1">
        <v>45671</v>
      </c>
      <c r="B49">
        <v>10262</v>
      </c>
      <c r="D49" t="s">
        <v>8394</v>
      </c>
      <c r="E49" t="s">
        <v>16</v>
      </c>
      <c r="F49" t="s">
        <v>17</v>
      </c>
      <c r="G49" s="14">
        <v>0</v>
      </c>
      <c r="H49" s="14">
        <v>140000</v>
      </c>
      <c r="I49" t="s">
        <v>22</v>
      </c>
      <c r="J49" t="s">
        <v>22</v>
      </c>
      <c r="K49" t="s">
        <v>8395</v>
      </c>
      <c r="L49" t="s">
        <v>7569</v>
      </c>
      <c r="M49" t="s">
        <v>19</v>
      </c>
      <c r="N49">
        <v>1</v>
      </c>
      <c r="O49" t="s">
        <v>103</v>
      </c>
      <c r="P49" t="s">
        <v>146</v>
      </c>
      <c r="Q49" t="s">
        <v>30</v>
      </c>
      <c r="R49" t="str">
        <f>VLOOKUP($O49,'Mapa Oficinas'!$A$7:$C$46,2,FALSE)</f>
        <v>CABA</v>
      </c>
      <c r="S49" t="str">
        <f>VLOOKUP($O49,'Mapa Oficinas'!$A$7:$C$46,3,FALSE)</f>
        <v>Barrio Parque</v>
      </c>
    </row>
    <row r="50" spans="1:19" x14ac:dyDescent="0.2">
      <c r="A50" s="1">
        <v>45671</v>
      </c>
      <c r="B50" t="s">
        <v>8404</v>
      </c>
      <c r="D50" t="s">
        <v>8405</v>
      </c>
      <c r="E50" t="s">
        <v>16</v>
      </c>
      <c r="F50" t="s">
        <v>53</v>
      </c>
      <c r="G50" s="14">
        <v>150000</v>
      </c>
      <c r="H50" s="14">
        <v>145000</v>
      </c>
      <c r="I50" t="s">
        <v>22</v>
      </c>
      <c r="J50" t="s">
        <v>22</v>
      </c>
      <c r="K50" t="s">
        <v>8406</v>
      </c>
      <c r="L50" t="s">
        <v>54</v>
      </c>
      <c r="M50" t="s">
        <v>28</v>
      </c>
      <c r="N50">
        <v>1</v>
      </c>
      <c r="O50" t="s">
        <v>55</v>
      </c>
      <c r="P50" t="s">
        <v>131</v>
      </c>
      <c r="Q50" t="s">
        <v>30</v>
      </c>
      <c r="R50" t="str">
        <f>VLOOKUP($O50,'Mapa Oficinas'!$A$7:$C$46,2,FALSE)</f>
        <v>Interior - Santa Fe</v>
      </c>
      <c r="S50" t="str">
        <f>VLOOKUP($O50,'Mapa Oficinas'!$A$7:$C$46,3,FALSE)</f>
        <v>Capital Santa Fe</v>
      </c>
    </row>
    <row r="51" spans="1:19" x14ac:dyDescent="0.2">
      <c r="A51" s="1">
        <v>45671</v>
      </c>
      <c r="B51" t="s">
        <v>8399</v>
      </c>
      <c r="D51" t="s">
        <v>8400</v>
      </c>
      <c r="E51" t="s">
        <v>16</v>
      </c>
      <c r="F51" t="s">
        <v>17</v>
      </c>
      <c r="G51" s="14">
        <v>150000</v>
      </c>
      <c r="H51" s="14">
        <v>161000</v>
      </c>
      <c r="I51" t="s">
        <v>22</v>
      </c>
      <c r="J51" t="s">
        <v>22</v>
      </c>
      <c r="K51" t="s">
        <v>8401</v>
      </c>
      <c r="L51" t="s">
        <v>8402</v>
      </c>
      <c r="M51" t="s">
        <v>28</v>
      </c>
      <c r="N51">
        <v>2</v>
      </c>
      <c r="O51" t="s">
        <v>142</v>
      </c>
      <c r="P51" t="s">
        <v>41</v>
      </c>
      <c r="Q51" t="s">
        <v>30</v>
      </c>
      <c r="R51" t="str">
        <f>VLOOKUP($O51,'Mapa Oficinas'!$A$7:$C$46,2,FALSE)</f>
        <v>Zona Norte (GBA)</v>
      </c>
      <c r="S51" t="str">
        <f>VLOOKUP($O51,'Mapa Oficinas'!$A$7:$C$46,3,FALSE)</f>
        <v>Nordelta</v>
      </c>
    </row>
    <row r="52" spans="1:19" x14ac:dyDescent="0.2">
      <c r="A52" s="1">
        <v>45671</v>
      </c>
      <c r="B52">
        <v>10225</v>
      </c>
      <c r="D52" t="s">
        <v>8403</v>
      </c>
      <c r="E52" t="s">
        <v>16</v>
      </c>
      <c r="F52" t="s">
        <v>17</v>
      </c>
      <c r="G52" s="14">
        <v>0</v>
      </c>
      <c r="H52" s="14">
        <v>300000</v>
      </c>
      <c r="I52" t="s">
        <v>22</v>
      </c>
      <c r="J52" t="s">
        <v>22</v>
      </c>
      <c r="L52" t="s">
        <v>277</v>
      </c>
      <c r="M52" t="s">
        <v>19</v>
      </c>
      <c r="N52">
        <v>2</v>
      </c>
      <c r="O52" t="s">
        <v>103</v>
      </c>
      <c r="P52" t="s">
        <v>21</v>
      </c>
      <c r="Q52" t="s">
        <v>30</v>
      </c>
      <c r="R52" t="str">
        <f>VLOOKUP($O52,'Mapa Oficinas'!$A$7:$C$46,2,FALSE)</f>
        <v>CABA</v>
      </c>
      <c r="S52" t="str">
        <f>VLOOKUP($O52,'Mapa Oficinas'!$A$7:$C$46,3,FALSE)</f>
        <v>Barrio Parque</v>
      </c>
    </row>
    <row r="53" spans="1:19" x14ac:dyDescent="0.2">
      <c r="A53" s="1">
        <v>45672</v>
      </c>
      <c r="B53">
        <v>10159</v>
      </c>
      <c r="D53" t="s">
        <v>8392</v>
      </c>
      <c r="E53" t="s">
        <v>16</v>
      </c>
      <c r="F53" t="s">
        <v>1708</v>
      </c>
      <c r="G53" s="14">
        <v>0</v>
      </c>
      <c r="H53" s="14">
        <v>77500</v>
      </c>
      <c r="I53" t="s">
        <v>22</v>
      </c>
      <c r="J53" t="s">
        <v>22</v>
      </c>
      <c r="L53" t="s">
        <v>604</v>
      </c>
      <c r="M53" t="s">
        <v>28</v>
      </c>
      <c r="N53">
        <v>2</v>
      </c>
      <c r="O53" t="s">
        <v>103</v>
      </c>
      <c r="P53" t="s">
        <v>36</v>
      </c>
      <c r="Q53" t="s">
        <v>30</v>
      </c>
      <c r="R53" t="str">
        <f>VLOOKUP($O53,'Mapa Oficinas'!$A$7:$C$46,2,FALSE)</f>
        <v>CABA</v>
      </c>
      <c r="S53" t="str">
        <f>VLOOKUP($O53,'Mapa Oficinas'!$A$7:$C$46,3,FALSE)</f>
        <v>Barrio Parque</v>
      </c>
    </row>
    <row r="54" spans="1:19" x14ac:dyDescent="0.2">
      <c r="A54" s="1">
        <v>45672</v>
      </c>
      <c r="B54" t="s">
        <v>8389</v>
      </c>
      <c r="D54" t="s">
        <v>8390</v>
      </c>
      <c r="E54" t="s">
        <v>16</v>
      </c>
      <c r="F54" t="s">
        <v>17</v>
      </c>
      <c r="G54" s="14">
        <v>96000</v>
      </c>
      <c r="H54" s="14">
        <v>95000</v>
      </c>
      <c r="I54" t="s">
        <v>22</v>
      </c>
      <c r="J54" t="s">
        <v>22</v>
      </c>
      <c r="K54" t="s">
        <v>6552</v>
      </c>
      <c r="L54" t="s">
        <v>141</v>
      </c>
      <c r="M54" t="s">
        <v>19</v>
      </c>
      <c r="N54">
        <v>2</v>
      </c>
      <c r="O54" t="s">
        <v>103</v>
      </c>
      <c r="P54" t="s">
        <v>21</v>
      </c>
      <c r="Q54" t="s">
        <v>30</v>
      </c>
      <c r="R54" t="str">
        <f>VLOOKUP($O54,'Mapa Oficinas'!$A$7:$C$46,2,FALSE)</f>
        <v>CABA</v>
      </c>
      <c r="S54" t="str">
        <f>VLOOKUP($O54,'Mapa Oficinas'!$A$7:$C$46,3,FALSE)</f>
        <v>Barrio Parque</v>
      </c>
    </row>
    <row r="55" spans="1:19" x14ac:dyDescent="0.2">
      <c r="A55" s="1">
        <v>45672</v>
      </c>
      <c r="B55">
        <v>10271</v>
      </c>
      <c r="D55" t="s">
        <v>8391</v>
      </c>
      <c r="E55" t="s">
        <v>16</v>
      </c>
      <c r="F55" t="s">
        <v>17</v>
      </c>
      <c r="G55" s="14">
        <v>0</v>
      </c>
      <c r="H55" s="14">
        <v>134000</v>
      </c>
      <c r="I55" t="s">
        <v>22</v>
      </c>
      <c r="J55" t="s">
        <v>22</v>
      </c>
      <c r="L55" t="s">
        <v>576</v>
      </c>
      <c r="M55" t="s">
        <v>19</v>
      </c>
      <c r="N55">
        <v>1</v>
      </c>
      <c r="O55" t="s">
        <v>103</v>
      </c>
      <c r="P55" t="s">
        <v>146</v>
      </c>
      <c r="Q55" t="s">
        <v>30</v>
      </c>
      <c r="R55" t="str">
        <f>VLOOKUP($O55,'Mapa Oficinas'!$A$7:$C$46,2,FALSE)</f>
        <v>CABA</v>
      </c>
      <c r="S55" t="str">
        <f>VLOOKUP($O55,'Mapa Oficinas'!$A$7:$C$46,3,FALSE)</f>
        <v>Barrio Parque</v>
      </c>
    </row>
    <row r="56" spans="1:19" x14ac:dyDescent="0.2">
      <c r="A56" s="15">
        <v>45672</v>
      </c>
      <c r="B56" s="16"/>
      <c r="C56" s="16">
        <v>1</v>
      </c>
      <c r="D56" s="16" t="s">
        <v>8393</v>
      </c>
      <c r="E56" s="16" t="s">
        <v>16</v>
      </c>
      <c r="F56" s="16" t="s">
        <v>82</v>
      </c>
      <c r="G56" s="17">
        <v>213000</v>
      </c>
      <c r="H56" s="17">
        <v>213000</v>
      </c>
      <c r="I56" s="16" t="s">
        <v>22</v>
      </c>
      <c r="J56" s="16" t="s">
        <v>22</v>
      </c>
      <c r="K56" s="16"/>
      <c r="L56" s="16" t="s">
        <v>649</v>
      </c>
      <c r="M56" s="16" t="s">
        <v>19</v>
      </c>
      <c r="N56" s="16">
        <v>2</v>
      </c>
      <c r="O56" s="16" t="s">
        <v>98</v>
      </c>
      <c r="P56" s="16" t="s">
        <v>44</v>
      </c>
      <c r="Q56" s="16" t="s">
        <v>30</v>
      </c>
      <c r="R56" t="str">
        <f>VLOOKUP($O56,'Mapa Oficinas'!$A$7:$C$46,2,FALSE)</f>
        <v>Interior - Neuquén</v>
      </c>
      <c r="S56" t="str">
        <f>VLOOKUP($O56,'Mapa Oficinas'!$A$7:$C$46,3,FALSE)</f>
        <v>Villa La Angostura</v>
      </c>
    </row>
    <row r="57" spans="1:19" x14ac:dyDescent="0.2">
      <c r="A57" s="15">
        <v>45672</v>
      </c>
      <c r="B57" s="16"/>
      <c r="C57" s="16">
        <v>0</v>
      </c>
      <c r="D57" s="16" t="s">
        <v>8393</v>
      </c>
      <c r="E57" s="16" t="s">
        <v>16</v>
      </c>
      <c r="F57" s="16" t="s">
        <v>17</v>
      </c>
      <c r="G57" s="17">
        <v>213000</v>
      </c>
      <c r="H57" s="17">
        <v>213000</v>
      </c>
      <c r="I57" s="16" t="s">
        <v>22</v>
      </c>
      <c r="J57" s="16" t="s">
        <v>22</v>
      </c>
      <c r="K57" s="16"/>
      <c r="L57" s="16" t="s">
        <v>649</v>
      </c>
      <c r="M57" s="16" t="s">
        <v>19</v>
      </c>
      <c r="N57" s="16">
        <v>2</v>
      </c>
      <c r="O57" s="16" t="s">
        <v>367</v>
      </c>
      <c r="P57" s="16" t="s">
        <v>44</v>
      </c>
      <c r="Q57" s="16" t="s">
        <v>30</v>
      </c>
      <c r="R57" t="str">
        <f>VLOOKUP($O57,'Mapa Oficinas'!$A$7:$C$46,2,FALSE)</f>
        <v>Interior - Neuquén</v>
      </c>
      <c r="S57" t="str">
        <f>VLOOKUP($O57,'Mapa Oficinas'!$A$7:$C$46,3,FALSE)</f>
        <v>San Martín de los Andes</v>
      </c>
    </row>
    <row r="58" spans="1:19" x14ac:dyDescent="0.2">
      <c r="A58" s="1">
        <v>45673</v>
      </c>
      <c r="B58" t="s">
        <v>8381</v>
      </c>
      <c r="D58" t="s">
        <v>8382</v>
      </c>
      <c r="E58" t="s">
        <v>16</v>
      </c>
      <c r="F58" t="s">
        <v>17</v>
      </c>
      <c r="G58" s="14">
        <v>59000</v>
      </c>
      <c r="H58" s="14">
        <v>59000</v>
      </c>
      <c r="I58" t="s">
        <v>22</v>
      </c>
      <c r="J58" t="s">
        <v>22</v>
      </c>
      <c r="K58" t="s">
        <v>8383</v>
      </c>
      <c r="L58" t="s">
        <v>1651</v>
      </c>
      <c r="M58" t="s">
        <v>19</v>
      </c>
      <c r="N58">
        <v>2</v>
      </c>
      <c r="O58" t="s">
        <v>151</v>
      </c>
      <c r="P58" t="s">
        <v>276</v>
      </c>
      <c r="Q58" t="s">
        <v>30</v>
      </c>
      <c r="R58" t="str">
        <f>VLOOKUP($O58,'Mapa Oficinas'!$A$7:$C$46,2,FALSE)</f>
        <v>Interior - Neuquén</v>
      </c>
      <c r="S58" t="str">
        <f>VLOOKUP($O58,'Mapa Oficinas'!$A$7:$C$46,3,FALSE)</f>
        <v>Capital Neuquén</v>
      </c>
    </row>
    <row r="59" spans="1:19" x14ac:dyDescent="0.2">
      <c r="A59" s="1">
        <v>45673</v>
      </c>
      <c r="B59" t="s">
        <v>8387</v>
      </c>
      <c r="D59" t="s">
        <v>8388</v>
      </c>
      <c r="E59" t="s">
        <v>16</v>
      </c>
      <c r="F59" t="s">
        <v>17</v>
      </c>
      <c r="G59" s="14">
        <v>65500</v>
      </c>
      <c r="H59" s="14">
        <v>65000</v>
      </c>
      <c r="I59" t="s">
        <v>22</v>
      </c>
      <c r="J59" t="s">
        <v>22</v>
      </c>
      <c r="K59" t="s">
        <v>7969</v>
      </c>
      <c r="L59" t="s">
        <v>560</v>
      </c>
      <c r="M59" t="s">
        <v>19</v>
      </c>
      <c r="N59">
        <v>2</v>
      </c>
      <c r="O59" t="s">
        <v>20</v>
      </c>
      <c r="P59" t="s">
        <v>276</v>
      </c>
      <c r="Q59" t="s">
        <v>30</v>
      </c>
      <c r="R59" t="str">
        <f>VLOOKUP($O59,'Mapa Oficinas'!$A$7:$C$46,2,FALSE)</f>
        <v>CABA</v>
      </c>
      <c r="S59" t="str">
        <f>VLOOKUP($O59,'Mapa Oficinas'!$A$7:$C$46,3,FALSE)</f>
        <v>Palermo</v>
      </c>
    </row>
    <row r="60" spans="1:19" x14ac:dyDescent="0.2">
      <c r="A60" s="1">
        <v>45673</v>
      </c>
      <c r="B60" t="s">
        <v>8369</v>
      </c>
      <c r="D60" t="s">
        <v>8370</v>
      </c>
      <c r="E60" t="s">
        <v>16</v>
      </c>
      <c r="F60" t="s">
        <v>47</v>
      </c>
      <c r="G60" s="14">
        <v>102000</v>
      </c>
      <c r="H60" s="14">
        <v>75500</v>
      </c>
      <c r="I60" t="s">
        <v>22</v>
      </c>
      <c r="J60" t="s">
        <v>22</v>
      </c>
      <c r="K60" t="s">
        <v>6400</v>
      </c>
      <c r="L60" t="s">
        <v>318</v>
      </c>
      <c r="M60" t="s">
        <v>19</v>
      </c>
      <c r="N60">
        <v>2</v>
      </c>
      <c r="O60" t="s">
        <v>50</v>
      </c>
      <c r="P60" t="s">
        <v>21</v>
      </c>
      <c r="Q60" t="s">
        <v>30</v>
      </c>
      <c r="R60" t="str">
        <f>VLOOKUP($O60,'Mapa Oficinas'!$A$7:$C$46,2,FALSE)</f>
        <v>CABA</v>
      </c>
      <c r="S60" t="str">
        <f>VLOOKUP($O60,'Mapa Oficinas'!$A$7:$C$46,3,FALSE)</f>
        <v>Villa Urquiza</v>
      </c>
    </row>
    <row r="61" spans="1:19" x14ac:dyDescent="0.2">
      <c r="A61" s="1">
        <v>45673</v>
      </c>
      <c r="B61" t="s">
        <v>8378</v>
      </c>
      <c r="D61" t="s">
        <v>8379</v>
      </c>
      <c r="E61" t="s">
        <v>16</v>
      </c>
      <c r="F61" t="s">
        <v>17</v>
      </c>
      <c r="G61" s="14">
        <v>85000</v>
      </c>
      <c r="H61" s="14">
        <v>82000</v>
      </c>
      <c r="I61" t="s">
        <v>22</v>
      </c>
      <c r="J61" t="s">
        <v>22</v>
      </c>
      <c r="K61" t="s">
        <v>8380</v>
      </c>
      <c r="L61" t="s">
        <v>717</v>
      </c>
      <c r="M61" t="s">
        <v>19</v>
      </c>
      <c r="N61">
        <v>2</v>
      </c>
      <c r="O61" t="s">
        <v>103</v>
      </c>
      <c r="P61" t="s">
        <v>21</v>
      </c>
      <c r="Q61" t="s">
        <v>30</v>
      </c>
      <c r="R61" t="str">
        <f>VLOOKUP($O61,'Mapa Oficinas'!$A$7:$C$46,2,FALSE)</f>
        <v>CABA</v>
      </c>
      <c r="S61" t="str">
        <f>VLOOKUP($O61,'Mapa Oficinas'!$A$7:$C$46,3,FALSE)</f>
        <v>Barrio Parque</v>
      </c>
    </row>
    <row r="62" spans="1:19" x14ac:dyDescent="0.2">
      <c r="A62" s="1">
        <v>45673</v>
      </c>
      <c r="B62" t="s">
        <v>4837</v>
      </c>
      <c r="D62" t="s">
        <v>4838</v>
      </c>
      <c r="E62" t="s">
        <v>16</v>
      </c>
      <c r="F62" t="s">
        <v>38</v>
      </c>
      <c r="G62" s="14">
        <v>750</v>
      </c>
      <c r="H62" s="14">
        <v>100000</v>
      </c>
      <c r="I62" t="s">
        <v>22</v>
      </c>
      <c r="J62" t="s">
        <v>22</v>
      </c>
      <c r="K62" t="s">
        <v>4838</v>
      </c>
      <c r="L62" t="s">
        <v>34</v>
      </c>
      <c r="M62" t="s">
        <v>19</v>
      </c>
      <c r="N62">
        <v>2</v>
      </c>
      <c r="O62" t="s">
        <v>40</v>
      </c>
      <c r="P62" t="s">
        <v>21</v>
      </c>
      <c r="Q62" t="s">
        <v>30</v>
      </c>
      <c r="R62" t="str">
        <f>VLOOKUP($O62,'Mapa Oficinas'!$A$7:$C$46,2,FALSE)</f>
        <v>Zona Norte (GBA)</v>
      </c>
      <c r="S62" t="str">
        <f>VLOOKUP($O62,'Mapa Oficinas'!$A$7:$C$46,3,FALSE)</f>
        <v>Pilar</v>
      </c>
    </row>
    <row r="63" spans="1:19" x14ac:dyDescent="0.2">
      <c r="A63" s="1">
        <v>45673</v>
      </c>
      <c r="B63" t="s">
        <v>8371</v>
      </c>
      <c r="D63" t="s">
        <v>8372</v>
      </c>
      <c r="E63" t="s">
        <v>16</v>
      </c>
      <c r="F63" t="s">
        <v>58</v>
      </c>
      <c r="G63" s="14">
        <v>114999</v>
      </c>
      <c r="H63" s="14">
        <v>105000</v>
      </c>
      <c r="I63" t="s">
        <v>22</v>
      </c>
      <c r="J63" t="s">
        <v>22</v>
      </c>
      <c r="K63" t="s">
        <v>8373</v>
      </c>
      <c r="L63" t="s">
        <v>512</v>
      </c>
      <c r="M63" t="s">
        <v>19</v>
      </c>
      <c r="N63">
        <v>2</v>
      </c>
      <c r="O63" t="s">
        <v>50</v>
      </c>
      <c r="P63" t="s">
        <v>21</v>
      </c>
      <c r="Q63" t="s">
        <v>30</v>
      </c>
      <c r="R63" t="str">
        <f>VLOOKUP($O63,'Mapa Oficinas'!$A$7:$C$46,2,FALSE)</f>
        <v>CABA</v>
      </c>
      <c r="S63" t="str">
        <f>VLOOKUP($O63,'Mapa Oficinas'!$A$7:$C$46,3,FALSE)</f>
        <v>Villa Urquiza</v>
      </c>
    </row>
    <row r="64" spans="1:19" x14ac:dyDescent="0.2">
      <c r="A64" s="1">
        <v>45673</v>
      </c>
      <c r="B64" t="s">
        <v>8384</v>
      </c>
      <c r="D64" t="s">
        <v>8385</v>
      </c>
      <c r="E64" t="s">
        <v>16</v>
      </c>
      <c r="F64" t="s">
        <v>17</v>
      </c>
      <c r="G64" s="14">
        <v>115000</v>
      </c>
      <c r="H64" s="14">
        <v>115000</v>
      </c>
      <c r="I64" t="s">
        <v>22</v>
      </c>
      <c r="J64" t="s">
        <v>22</v>
      </c>
      <c r="K64" t="s">
        <v>8386</v>
      </c>
      <c r="L64" t="s">
        <v>1077</v>
      </c>
      <c r="M64" t="s">
        <v>19</v>
      </c>
      <c r="N64">
        <v>2</v>
      </c>
      <c r="O64" t="s">
        <v>20</v>
      </c>
      <c r="P64" t="s">
        <v>41</v>
      </c>
      <c r="Q64" t="s">
        <v>30</v>
      </c>
      <c r="R64" t="str">
        <f>VLOOKUP($O64,'Mapa Oficinas'!$A$7:$C$46,2,FALSE)</f>
        <v>CABA</v>
      </c>
      <c r="S64" t="str">
        <f>VLOOKUP($O64,'Mapa Oficinas'!$A$7:$C$46,3,FALSE)</f>
        <v>Palermo</v>
      </c>
    </row>
    <row r="65" spans="1:19" x14ac:dyDescent="0.2">
      <c r="A65" s="1">
        <v>45673</v>
      </c>
      <c r="B65" t="s">
        <v>6757</v>
      </c>
      <c r="D65" t="s">
        <v>6758</v>
      </c>
      <c r="E65" t="s">
        <v>16</v>
      </c>
      <c r="F65" t="s">
        <v>38</v>
      </c>
      <c r="G65" s="14">
        <v>850</v>
      </c>
      <c r="H65" s="14">
        <v>125000</v>
      </c>
      <c r="I65" t="s">
        <v>22</v>
      </c>
      <c r="J65" t="s">
        <v>22</v>
      </c>
      <c r="K65" t="s">
        <v>6758</v>
      </c>
      <c r="L65" t="s">
        <v>34</v>
      </c>
      <c r="M65" t="s">
        <v>19</v>
      </c>
      <c r="N65">
        <v>2</v>
      </c>
      <c r="O65" t="s">
        <v>40</v>
      </c>
      <c r="P65" t="s">
        <v>41</v>
      </c>
      <c r="Q65" t="s">
        <v>30</v>
      </c>
      <c r="R65" t="str">
        <f>VLOOKUP($O65,'Mapa Oficinas'!$A$7:$C$46,2,FALSE)</f>
        <v>Zona Norte (GBA)</v>
      </c>
      <c r="S65" t="str">
        <f>VLOOKUP($O65,'Mapa Oficinas'!$A$7:$C$46,3,FALSE)</f>
        <v>Pilar</v>
      </c>
    </row>
    <row r="66" spans="1:19" x14ac:dyDescent="0.2">
      <c r="A66" s="1">
        <v>45673</v>
      </c>
      <c r="B66" t="s">
        <v>8374</v>
      </c>
      <c r="D66" t="s">
        <v>8375</v>
      </c>
      <c r="E66" t="s">
        <v>16</v>
      </c>
      <c r="F66" t="s">
        <v>17</v>
      </c>
      <c r="G66" s="14">
        <v>169900</v>
      </c>
      <c r="H66" s="14">
        <v>163000</v>
      </c>
      <c r="I66" t="s">
        <v>22</v>
      </c>
      <c r="J66" t="s">
        <v>22</v>
      </c>
      <c r="K66" t="s">
        <v>8376</v>
      </c>
      <c r="L66" t="s">
        <v>8377</v>
      </c>
      <c r="M66" t="s">
        <v>28</v>
      </c>
      <c r="N66">
        <v>2</v>
      </c>
      <c r="O66" t="s">
        <v>50</v>
      </c>
      <c r="P66" t="s">
        <v>21</v>
      </c>
      <c r="Q66" t="s">
        <v>30</v>
      </c>
      <c r="R66" t="str">
        <f>VLOOKUP($O66,'Mapa Oficinas'!$A$7:$C$46,2,FALSE)</f>
        <v>CABA</v>
      </c>
      <c r="S66" t="str">
        <f>VLOOKUP($O66,'Mapa Oficinas'!$A$7:$C$46,3,FALSE)</f>
        <v>Villa Urquiza</v>
      </c>
    </row>
    <row r="67" spans="1:19" x14ac:dyDescent="0.2">
      <c r="A67" s="1">
        <v>45674</v>
      </c>
      <c r="B67" t="s">
        <v>8367</v>
      </c>
      <c r="D67" t="s">
        <v>8368</v>
      </c>
      <c r="E67" t="s">
        <v>16</v>
      </c>
      <c r="F67" t="s">
        <v>17</v>
      </c>
      <c r="G67" s="14">
        <v>36500</v>
      </c>
      <c r="H67" s="14">
        <v>36500</v>
      </c>
      <c r="I67" t="s">
        <v>22</v>
      </c>
      <c r="J67" t="s">
        <v>22</v>
      </c>
      <c r="K67" t="s">
        <v>8368</v>
      </c>
      <c r="L67" t="s">
        <v>617</v>
      </c>
      <c r="M67" t="s">
        <v>72</v>
      </c>
      <c r="N67">
        <v>2</v>
      </c>
      <c r="O67" t="s">
        <v>35</v>
      </c>
      <c r="P67" t="s">
        <v>21</v>
      </c>
      <c r="Q67" t="s">
        <v>30</v>
      </c>
      <c r="R67" t="str">
        <f>VLOOKUP($O67,'Mapa Oficinas'!$A$7:$C$46,2,FALSE)</f>
        <v>Zona Norte (GBA)</v>
      </c>
      <c r="S67" t="str">
        <f>VLOOKUP($O67,'Mapa Oficinas'!$A$7:$C$46,3,FALSE)</f>
        <v>Vicente López</v>
      </c>
    </row>
    <row r="68" spans="1:19" x14ac:dyDescent="0.2">
      <c r="A68" s="1">
        <v>45674</v>
      </c>
      <c r="B68" t="s">
        <v>8363</v>
      </c>
      <c r="D68" t="s">
        <v>8364</v>
      </c>
      <c r="E68" t="s">
        <v>16</v>
      </c>
      <c r="F68" t="s">
        <v>134</v>
      </c>
      <c r="G68" s="14">
        <v>50000</v>
      </c>
      <c r="H68" s="14">
        <v>40000</v>
      </c>
      <c r="I68" t="s">
        <v>22</v>
      </c>
      <c r="J68" t="s">
        <v>22</v>
      </c>
      <c r="K68" t="s">
        <v>8365</v>
      </c>
      <c r="L68" t="s">
        <v>8366</v>
      </c>
      <c r="M68" t="s">
        <v>97</v>
      </c>
      <c r="N68">
        <v>2</v>
      </c>
      <c r="O68" t="s">
        <v>367</v>
      </c>
      <c r="P68" t="s">
        <v>21</v>
      </c>
      <c r="Q68" t="s">
        <v>30</v>
      </c>
      <c r="R68" t="str">
        <f>VLOOKUP($O68,'Mapa Oficinas'!$A$7:$C$46,2,FALSE)</f>
        <v>Interior - Neuquén</v>
      </c>
      <c r="S68" t="str">
        <f>VLOOKUP($O68,'Mapa Oficinas'!$A$7:$C$46,3,FALSE)</f>
        <v>San Martín de los Andes</v>
      </c>
    </row>
    <row r="69" spans="1:19" x14ac:dyDescent="0.2">
      <c r="A69" s="1">
        <v>45674</v>
      </c>
      <c r="B69" t="s">
        <v>8360</v>
      </c>
      <c r="D69" t="s">
        <v>8361</v>
      </c>
      <c r="E69" t="s">
        <v>16</v>
      </c>
      <c r="F69" t="s">
        <v>243</v>
      </c>
      <c r="G69" s="14">
        <v>47000</v>
      </c>
      <c r="H69" s="14">
        <v>47000</v>
      </c>
      <c r="I69" t="s">
        <v>22</v>
      </c>
      <c r="J69" t="s">
        <v>22</v>
      </c>
      <c r="K69" t="s">
        <v>8362</v>
      </c>
      <c r="L69" t="s">
        <v>426</v>
      </c>
      <c r="M69" t="s">
        <v>19</v>
      </c>
      <c r="N69">
        <v>1</v>
      </c>
      <c r="O69" t="s">
        <v>246</v>
      </c>
      <c r="P69" t="s">
        <v>131</v>
      </c>
      <c r="Q69" t="s">
        <v>30</v>
      </c>
      <c r="R69" t="str">
        <f>VLOOKUP($O69,'Mapa Oficinas'!$A$7:$C$46,2,FALSE)</f>
        <v>Interior - Salta</v>
      </c>
      <c r="S69" t="str">
        <f>VLOOKUP($O69,'Mapa Oficinas'!$A$7:$C$46,3,FALSE)</f>
        <v>San Lorenzo Chico</v>
      </c>
    </row>
    <row r="70" spans="1:19" x14ac:dyDescent="0.2">
      <c r="A70" s="1">
        <v>45674</v>
      </c>
      <c r="B70" t="s">
        <v>8353</v>
      </c>
      <c r="D70" t="s">
        <v>8354</v>
      </c>
      <c r="E70" t="s">
        <v>16</v>
      </c>
      <c r="F70" t="s">
        <v>38</v>
      </c>
      <c r="G70" s="14">
        <v>88000</v>
      </c>
      <c r="H70" s="14">
        <v>86500</v>
      </c>
      <c r="I70" t="s">
        <v>22</v>
      </c>
      <c r="J70" t="s">
        <v>22</v>
      </c>
      <c r="K70" t="s">
        <v>594</v>
      </c>
      <c r="L70" t="s">
        <v>136</v>
      </c>
      <c r="M70" t="s">
        <v>19</v>
      </c>
      <c r="N70">
        <v>2</v>
      </c>
      <c r="O70" t="s">
        <v>130</v>
      </c>
      <c r="P70" t="s">
        <v>21</v>
      </c>
      <c r="Q70" t="s">
        <v>30</v>
      </c>
      <c r="R70" t="str">
        <f>VLOOKUP($O70,'Mapa Oficinas'!$A$7:$C$46,2,FALSE)</f>
        <v>Interior - Río Negro</v>
      </c>
      <c r="S70" t="str">
        <f>VLOOKUP($O70,'Mapa Oficinas'!$A$7:$C$46,3,FALSE)</f>
        <v>Bariloche</v>
      </c>
    </row>
    <row r="71" spans="1:19" x14ac:dyDescent="0.2">
      <c r="A71" s="1">
        <v>45674</v>
      </c>
      <c r="B71" t="s">
        <v>8355</v>
      </c>
      <c r="D71" t="s">
        <v>1894</v>
      </c>
      <c r="E71" t="s">
        <v>16</v>
      </c>
      <c r="F71" t="s">
        <v>134</v>
      </c>
      <c r="G71" s="14">
        <v>84502</v>
      </c>
      <c r="H71" s="14">
        <v>89892</v>
      </c>
      <c r="I71" t="s">
        <v>22</v>
      </c>
      <c r="J71" t="s">
        <v>22</v>
      </c>
      <c r="K71" t="s">
        <v>1477</v>
      </c>
      <c r="L71" t="s">
        <v>136</v>
      </c>
      <c r="M71" t="s">
        <v>19</v>
      </c>
      <c r="N71">
        <v>2</v>
      </c>
      <c r="O71" t="s">
        <v>130</v>
      </c>
      <c r="P71" t="s">
        <v>21</v>
      </c>
      <c r="Q71" t="s">
        <v>30</v>
      </c>
      <c r="R71" t="str">
        <f>VLOOKUP($O71,'Mapa Oficinas'!$A$7:$C$46,2,FALSE)</f>
        <v>Interior - Río Negro</v>
      </c>
      <c r="S71" t="str">
        <f>VLOOKUP($O71,'Mapa Oficinas'!$A$7:$C$46,3,FALSE)</f>
        <v>Bariloche</v>
      </c>
    </row>
    <row r="72" spans="1:19" x14ac:dyDescent="0.2">
      <c r="A72" s="1">
        <v>45675</v>
      </c>
      <c r="B72" t="s">
        <v>8348</v>
      </c>
      <c r="D72" t="s">
        <v>8349</v>
      </c>
      <c r="E72" t="s">
        <v>16</v>
      </c>
      <c r="F72" t="s">
        <v>53</v>
      </c>
      <c r="G72" s="14">
        <v>52000</v>
      </c>
      <c r="H72" s="14">
        <v>47000</v>
      </c>
      <c r="I72" t="s">
        <v>22</v>
      </c>
      <c r="J72" t="s">
        <v>22</v>
      </c>
      <c r="K72" t="s">
        <v>8350</v>
      </c>
      <c r="L72" t="s">
        <v>54</v>
      </c>
      <c r="M72" t="s">
        <v>28</v>
      </c>
      <c r="N72">
        <v>1</v>
      </c>
      <c r="O72" t="s">
        <v>55</v>
      </c>
      <c r="P72" t="s">
        <v>66</v>
      </c>
      <c r="Q72" t="s">
        <v>30</v>
      </c>
      <c r="R72" t="str">
        <f>VLOOKUP($O72,'Mapa Oficinas'!$A$7:$C$46,2,FALSE)</f>
        <v>Interior - Santa Fe</v>
      </c>
      <c r="S72" t="str">
        <f>VLOOKUP($O72,'Mapa Oficinas'!$A$7:$C$46,3,FALSE)</f>
        <v>Capital Santa Fe</v>
      </c>
    </row>
    <row r="73" spans="1:19" x14ac:dyDescent="0.2">
      <c r="A73" s="1">
        <v>45677</v>
      </c>
      <c r="B73" t="s">
        <v>8338</v>
      </c>
      <c r="D73" t="s">
        <v>8339</v>
      </c>
      <c r="E73" t="s">
        <v>16</v>
      </c>
      <c r="F73" t="s">
        <v>17</v>
      </c>
      <c r="G73" s="14">
        <v>95000</v>
      </c>
      <c r="H73" s="14">
        <v>80000</v>
      </c>
      <c r="I73" t="s">
        <v>22</v>
      </c>
      <c r="J73" t="s">
        <v>22</v>
      </c>
      <c r="K73" t="s">
        <v>8340</v>
      </c>
      <c r="L73" t="s">
        <v>1870</v>
      </c>
      <c r="M73" t="s">
        <v>97</v>
      </c>
      <c r="N73">
        <v>2</v>
      </c>
      <c r="O73" t="s">
        <v>29</v>
      </c>
      <c r="P73" t="s">
        <v>21</v>
      </c>
      <c r="Q73" t="s">
        <v>30</v>
      </c>
      <c r="R73" t="str">
        <f>VLOOKUP($O73,'Mapa Oficinas'!$A$7:$C$46,2,FALSE)</f>
        <v>CABA</v>
      </c>
      <c r="S73" t="str">
        <f>VLOOKUP($O73,'Mapa Oficinas'!$A$7:$C$46,3,FALSE)</f>
        <v>Núñez</v>
      </c>
    </row>
    <row r="74" spans="1:19" x14ac:dyDescent="0.2">
      <c r="A74" s="1">
        <v>45677</v>
      </c>
      <c r="B74" t="s">
        <v>8344</v>
      </c>
      <c r="D74" t="s">
        <v>8345</v>
      </c>
      <c r="E74" t="s">
        <v>16</v>
      </c>
      <c r="F74" t="s">
        <v>58</v>
      </c>
      <c r="G74" s="14">
        <v>89000</v>
      </c>
      <c r="H74" s="14">
        <v>83000</v>
      </c>
      <c r="I74" t="s">
        <v>22</v>
      </c>
      <c r="J74" t="s">
        <v>22</v>
      </c>
      <c r="K74" t="s">
        <v>8346</v>
      </c>
      <c r="L74" t="s">
        <v>37</v>
      </c>
      <c r="M74" t="s">
        <v>300</v>
      </c>
      <c r="N74">
        <v>2</v>
      </c>
      <c r="O74" t="s">
        <v>50</v>
      </c>
      <c r="P74" t="s">
        <v>21</v>
      </c>
      <c r="Q74" t="s">
        <v>30</v>
      </c>
      <c r="R74" t="str">
        <f>VLOOKUP($O74,'Mapa Oficinas'!$A$7:$C$46,2,FALSE)</f>
        <v>CABA</v>
      </c>
      <c r="S74" t="str">
        <f>VLOOKUP($O74,'Mapa Oficinas'!$A$7:$C$46,3,FALSE)</f>
        <v>Villa Urquiza</v>
      </c>
    </row>
    <row r="75" spans="1:19" x14ac:dyDescent="0.2">
      <c r="A75" s="1">
        <v>45677</v>
      </c>
      <c r="B75" t="s">
        <v>8341</v>
      </c>
      <c r="D75" t="s">
        <v>8342</v>
      </c>
      <c r="E75" t="s">
        <v>16</v>
      </c>
      <c r="F75" t="s">
        <v>17</v>
      </c>
      <c r="G75" s="14">
        <v>196000</v>
      </c>
      <c r="H75" s="14">
        <v>196000</v>
      </c>
      <c r="I75" t="s">
        <v>22</v>
      </c>
      <c r="J75" t="s">
        <v>22</v>
      </c>
      <c r="K75" t="s">
        <v>8343</v>
      </c>
      <c r="L75" t="s">
        <v>189</v>
      </c>
      <c r="M75" t="s">
        <v>72</v>
      </c>
      <c r="N75">
        <v>2</v>
      </c>
      <c r="O75" t="s">
        <v>151</v>
      </c>
      <c r="P75" t="s">
        <v>21</v>
      </c>
      <c r="Q75" t="s">
        <v>30</v>
      </c>
      <c r="R75" t="str">
        <f>VLOOKUP($O75,'Mapa Oficinas'!$A$7:$C$46,2,FALSE)</f>
        <v>Interior - Neuquén</v>
      </c>
      <c r="S75" t="str">
        <f>VLOOKUP($O75,'Mapa Oficinas'!$A$7:$C$46,3,FALSE)</f>
        <v>Capital Neuquén</v>
      </c>
    </row>
    <row r="76" spans="1:19" x14ac:dyDescent="0.2">
      <c r="A76" s="1">
        <v>45678</v>
      </c>
      <c r="B76" t="s">
        <v>8330</v>
      </c>
      <c r="D76" t="s">
        <v>8331</v>
      </c>
      <c r="E76" t="s">
        <v>16</v>
      </c>
      <c r="F76" t="s">
        <v>17</v>
      </c>
      <c r="G76" s="14">
        <v>69000</v>
      </c>
      <c r="H76" s="14">
        <v>70500</v>
      </c>
      <c r="I76" t="s">
        <v>22</v>
      </c>
      <c r="J76" t="s">
        <v>22</v>
      </c>
      <c r="K76" t="s">
        <v>8332</v>
      </c>
      <c r="L76" t="s">
        <v>7774</v>
      </c>
      <c r="M76" t="s">
        <v>28</v>
      </c>
      <c r="N76">
        <v>2</v>
      </c>
      <c r="O76" t="s">
        <v>50</v>
      </c>
      <c r="P76" t="s">
        <v>21</v>
      </c>
      <c r="Q76" t="s">
        <v>30</v>
      </c>
      <c r="R76" t="str">
        <f>VLOOKUP($O76,'Mapa Oficinas'!$A$7:$C$46,2,FALSE)</f>
        <v>CABA</v>
      </c>
      <c r="S76" t="str">
        <f>VLOOKUP($O76,'Mapa Oficinas'!$A$7:$C$46,3,FALSE)</f>
        <v>Villa Urquiza</v>
      </c>
    </row>
    <row r="77" spans="1:19" x14ac:dyDescent="0.2">
      <c r="A77" s="1">
        <v>45678</v>
      </c>
      <c r="B77" t="s">
        <v>6430</v>
      </c>
      <c r="D77" t="s">
        <v>6431</v>
      </c>
      <c r="E77" t="s">
        <v>16</v>
      </c>
      <c r="F77" t="s">
        <v>17</v>
      </c>
      <c r="G77" s="14">
        <v>125000</v>
      </c>
      <c r="H77" s="14">
        <v>136000</v>
      </c>
      <c r="I77" t="s">
        <v>22</v>
      </c>
      <c r="J77" t="s">
        <v>22</v>
      </c>
      <c r="K77" t="s">
        <v>6432</v>
      </c>
      <c r="L77" t="s">
        <v>6433</v>
      </c>
      <c r="M77" t="s">
        <v>19</v>
      </c>
      <c r="N77">
        <v>2</v>
      </c>
      <c r="O77" t="s">
        <v>151</v>
      </c>
      <c r="P77" t="s">
        <v>21</v>
      </c>
      <c r="Q77" t="s">
        <v>30</v>
      </c>
      <c r="R77" t="str">
        <f>VLOOKUP($O77,'Mapa Oficinas'!$A$7:$C$46,2,FALSE)</f>
        <v>Interior - Neuquén</v>
      </c>
      <c r="S77" t="str">
        <f>VLOOKUP($O77,'Mapa Oficinas'!$A$7:$C$46,3,FALSE)</f>
        <v>Capital Neuquén</v>
      </c>
    </row>
    <row r="78" spans="1:19" x14ac:dyDescent="0.2">
      <c r="A78" s="1">
        <v>45678</v>
      </c>
      <c r="B78" t="s">
        <v>8333</v>
      </c>
      <c r="D78" t="s">
        <v>8334</v>
      </c>
      <c r="E78" t="s">
        <v>16</v>
      </c>
      <c r="F78" t="s">
        <v>184</v>
      </c>
      <c r="G78" s="14">
        <v>140000</v>
      </c>
      <c r="H78" s="14">
        <v>140000</v>
      </c>
      <c r="I78" t="s">
        <v>22</v>
      </c>
      <c r="J78" t="s">
        <v>22</v>
      </c>
      <c r="K78" t="s">
        <v>7761</v>
      </c>
      <c r="L78" t="s">
        <v>7762</v>
      </c>
      <c r="M78" t="s">
        <v>72</v>
      </c>
      <c r="N78">
        <v>2</v>
      </c>
      <c r="O78" t="s">
        <v>130</v>
      </c>
      <c r="P78" t="s">
        <v>41</v>
      </c>
      <c r="Q78" t="s">
        <v>30</v>
      </c>
      <c r="R78" t="str">
        <f>VLOOKUP($O78,'Mapa Oficinas'!$A$7:$C$46,2,FALSE)</f>
        <v>Interior - Río Negro</v>
      </c>
      <c r="S78" t="str">
        <f>VLOOKUP($O78,'Mapa Oficinas'!$A$7:$C$46,3,FALSE)</f>
        <v>Bariloche</v>
      </c>
    </row>
    <row r="79" spans="1:19" x14ac:dyDescent="0.2">
      <c r="A79" s="1">
        <v>45678</v>
      </c>
      <c r="B79" t="s">
        <v>8335</v>
      </c>
      <c r="D79" t="s">
        <v>8336</v>
      </c>
      <c r="E79" t="s">
        <v>16</v>
      </c>
      <c r="F79" t="s">
        <v>17</v>
      </c>
      <c r="G79" s="14">
        <v>220000</v>
      </c>
      <c r="H79" s="14">
        <v>185000</v>
      </c>
      <c r="I79" t="s">
        <v>22</v>
      </c>
      <c r="J79" t="s">
        <v>22</v>
      </c>
      <c r="K79" t="s">
        <v>8336</v>
      </c>
      <c r="L79" t="s">
        <v>3473</v>
      </c>
      <c r="M79" t="s">
        <v>28</v>
      </c>
      <c r="N79">
        <v>1</v>
      </c>
      <c r="O79" t="s">
        <v>781</v>
      </c>
      <c r="P79" t="s">
        <v>146</v>
      </c>
      <c r="Q79" t="s">
        <v>30</v>
      </c>
      <c r="R79" t="str">
        <f>VLOOKUP($O79,'Mapa Oficinas'!$A$7:$C$46,2,FALSE)</f>
        <v>CABA</v>
      </c>
      <c r="S79" t="str">
        <f>VLOOKUP($O79,'Mapa Oficinas'!$A$7:$C$46,3,FALSE)</f>
        <v>Palermo</v>
      </c>
    </row>
    <row r="80" spans="1:19" x14ac:dyDescent="0.2">
      <c r="A80" s="1">
        <v>45678</v>
      </c>
      <c r="B80" t="s">
        <v>8327</v>
      </c>
      <c r="D80" t="s">
        <v>8328</v>
      </c>
      <c r="E80" t="s">
        <v>16</v>
      </c>
      <c r="F80" t="s">
        <v>17</v>
      </c>
      <c r="G80" s="14">
        <v>220000</v>
      </c>
      <c r="H80" s="14">
        <v>220000</v>
      </c>
      <c r="I80" t="s">
        <v>22</v>
      </c>
      <c r="J80" t="s">
        <v>22</v>
      </c>
      <c r="L80" t="s">
        <v>8329</v>
      </c>
      <c r="M80" t="s">
        <v>28</v>
      </c>
      <c r="N80">
        <v>2</v>
      </c>
      <c r="O80" t="s">
        <v>359</v>
      </c>
      <c r="P80" t="s">
        <v>21</v>
      </c>
      <c r="Q80" t="s">
        <v>30</v>
      </c>
      <c r="R80" t="str">
        <f>VLOOKUP($O80,'Mapa Oficinas'!$A$7:$C$46,2,FALSE)</f>
        <v>CABA</v>
      </c>
      <c r="S80" t="str">
        <f>VLOOKUP($O80,'Mapa Oficinas'!$A$7:$C$46,3,FALSE)</f>
        <v>Palermo</v>
      </c>
    </row>
    <row r="81" spans="1:19" x14ac:dyDescent="0.2">
      <c r="A81" s="1">
        <v>45679</v>
      </c>
      <c r="B81" t="s">
        <v>8323</v>
      </c>
      <c r="D81" t="s">
        <v>8324</v>
      </c>
      <c r="E81" t="s">
        <v>16</v>
      </c>
      <c r="F81" t="s">
        <v>82</v>
      </c>
      <c r="G81" s="14">
        <v>68000</v>
      </c>
      <c r="H81" s="14">
        <v>68000</v>
      </c>
      <c r="I81" t="s">
        <v>22</v>
      </c>
      <c r="J81" t="s">
        <v>22</v>
      </c>
      <c r="K81" t="s">
        <v>5000</v>
      </c>
      <c r="L81" t="s">
        <v>366</v>
      </c>
      <c r="M81" t="s">
        <v>97</v>
      </c>
      <c r="N81">
        <v>2</v>
      </c>
      <c r="O81" t="s">
        <v>367</v>
      </c>
      <c r="P81" t="s">
        <v>21</v>
      </c>
      <c r="Q81" t="s">
        <v>30</v>
      </c>
      <c r="R81" t="str">
        <f>VLOOKUP($O81,'Mapa Oficinas'!$A$7:$C$46,2,FALSE)</f>
        <v>Interior - Neuquén</v>
      </c>
      <c r="S81" t="str">
        <f>VLOOKUP($O81,'Mapa Oficinas'!$A$7:$C$46,3,FALSE)</f>
        <v>San Martín de los Andes</v>
      </c>
    </row>
    <row r="82" spans="1:19" x14ac:dyDescent="0.2">
      <c r="A82" s="1">
        <v>45679</v>
      </c>
      <c r="B82" t="s">
        <v>8320</v>
      </c>
      <c r="D82" t="s">
        <v>8321</v>
      </c>
      <c r="E82" t="s">
        <v>16</v>
      </c>
      <c r="F82" t="s">
        <v>17</v>
      </c>
      <c r="G82" s="14">
        <v>82000</v>
      </c>
      <c r="H82" s="14">
        <v>80000</v>
      </c>
      <c r="I82" t="s">
        <v>22</v>
      </c>
      <c r="J82" t="s">
        <v>22</v>
      </c>
      <c r="K82" t="s">
        <v>8322</v>
      </c>
      <c r="L82" t="s">
        <v>821</v>
      </c>
      <c r="M82" t="s">
        <v>19</v>
      </c>
      <c r="N82">
        <v>2</v>
      </c>
      <c r="O82" t="s">
        <v>151</v>
      </c>
      <c r="P82" t="s">
        <v>21</v>
      </c>
      <c r="Q82" t="s">
        <v>30</v>
      </c>
      <c r="R82" t="str">
        <f>VLOOKUP($O82,'Mapa Oficinas'!$A$7:$C$46,2,FALSE)</f>
        <v>Interior - Neuquén</v>
      </c>
      <c r="S82" t="str">
        <f>VLOOKUP($O82,'Mapa Oficinas'!$A$7:$C$46,3,FALSE)</f>
        <v>Capital Neuquén</v>
      </c>
    </row>
    <row r="83" spans="1:19" x14ac:dyDescent="0.2">
      <c r="A83" s="1">
        <v>45680</v>
      </c>
      <c r="B83" t="s">
        <v>8310</v>
      </c>
      <c r="D83" t="s">
        <v>8311</v>
      </c>
      <c r="E83" t="s">
        <v>16</v>
      </c>
      <c r="F83" t="s">
        <v>58</v>
      </c>
      <c r="G83" s="14">
        <v>98000</v>
      </c>
      <c r="H83" s="14">
        <v>92000</v>
      </c>
      <c r="I83" t="s">
        <v>22</v>
      </c>
      <c r="J83" t="s">
        <v>22</v>
      </c>
      <c r="K83" t="s">
        <v>8312</v>
      </c>
      <c r="L83" t="s">
        <v>2412</v>
      </c>
      <c r="M83" t="s">
        <v>19</v>
      </c>
      <c r="N83">
        <v>2</v>
      </c>
      <c r="O83" t="s">
        <v>50</v>
      </c>
      <c r="P83" t="s">
        <v>21</v>
      </c>
      <c r="Q83" t="s">
        <v>30</v>
      </c>
      <c r="R83" t="str">
        <f>VLOOKUP($O83,'Mapa Oficinas'!$A$7:$C$46,2,FALSE)</f>
        <v>CABA</v>
      </c>
      <c r="S83" t="str">
        <f>VLOOKUP($O83,'Mapa Oficinas'!$A$7:$C$46,3,FALSE)</f>
        <v>Villa Urquiza</v>
      </c>
    </row>
    <row r="84" spans="1:19" x14ac:dyDescent="0.2">
      <c r="A84" s="1">
        <v>45680</v>
      </c>
      <c r="B84" t="s">
        <v>8309</v>
      </c>
      <c r="D84" t="s">
        <v>8309</v>
      </c>
      <c r="E84" t="s">
        <v>16</v>
      </c>
      <c r="F84" t="s">
        <v>47</v>
      </c>
      <c r="G84" s="14">
        <v>92000</v>
      </c>
      <c r="H84" s="14">
        <v>92000</v>
      </c>
      <c r="I84" t="s">
        <v>22</v>
      </c>
      <c r="J84" t="s">
        <v>22</v>
      </c>
      <c r="K84" t="s">
        <v>8309</v>
      </c>
      <c r="L84" t="s">
        <v>523</v>
      </c>
      <c r="M84" t="s">
        <v>19</v>
      </c>
      <c r="N84">
        <v>2</v>
      </c>
      <c r="O84" t="s">
        <v>50</v>
      </c>
      <c r="P84" t="s">
        <v>21</v>
      </c>
      <c r="Q84" t="s">
        <v>30</v>
      </c>
      <c r="R84" t="str">
        <f>VLOOKUP($O84,'Mapa Oficinas'!$A$7:$C$46,2,FALSE)</f>
        <v>CABA</v>
      </c>
      <c r="S84" t="str">
        <f>VLOOKUP($O84,'Mapa Oficinas'!$A$7:$C$46,3,FALSE)</f>
        <v>Villa Urquiza</v>
      </c>
    </row>
    <row r="85" spans="1:19" x14ac:dyDescent="0.2">
      <c r="A85" s="1">
        <v>45681</v>
      </c>
      <c r="B85" t="s">
        <v>8296</v>
      </c>
      <c r="D85" t="s">
        <v>8297</v>
      </c>
      <c r="E85" t="s">
        <v>16</v>
      </c>
      <c r="F85" t="s">
        <v>17</v>
      </c>
      <c r="G85" s="14">
        <v>79900</v>
      </c>
      <c r="H85" s="14">
        <v>70000</v>
      </c>
      <c r="I85" t="s">
        <v>22</v>
      </c>
      <c r="J85" t="s">
        <v>22</v>
      </c>
      <c r="K85" t="s">
        <v>8298</v>
      </c>
      <c r="L85" t="s">
        <v>4278</v>
      </c>
      <c r="M85" t="s">
        <v>28</v>
      </c>
      <c r="N85">
        <v>2</v>
      </c>
      <c r="O85" t="s">
        <v>50</v>
      </c>
      <c r="P85" t="s">
        <v>36</v>
      </c>
      <c r="Q85" t="s">
        <v>30</v>
      </c>
      <c r="R85" t="str">
        <f>VLOOKUP($O85,'Mapa Oficinas'!$A$7:$C$46,2,FALSE)</f>
        <v>CABA</v>
      </c>
      <c r="S85" t="str">
        <f>VLOOKUP($O85,'Mapa Oficinas'!$A$7:$C$46,3,FALSE)</f>
        <v>Villa Urquiza</v>
      </c>
    </row>
    <row r="86" spans="1:19" x14ac:dyDescent="0.2">
      <c r="A86" s="1">
        <v>45681</v>
      </c>
      <c r="B86" t="s">
        <v>8302</v>
      </c>
      <c r="D86" t="s">
        <v>8303</v>
      </c>
      <c r="E86" t="s">
        <v>16</v>
      </c>
      <c r="F86" t="s">
        <v>82</v>
      </c>
      <c r="G86" s="14">
        <v>99000</v>
      </c>
      <c r="H86" s="14">
        <v>90000</v>
      </c>
      <c r="I86" t="s">
        <v>22</v>
      </c>
      <c r="J86" t="s">
        <v>22</v>
      </c>
      <c r="K86" t="s">
        <v>8304</v>
      </c>
      <c r="L86" t="s">
        <v>3434</v>
      </c>
      <c r="M86" t="s">
        <v>28</v>
      </c>
      <c r="N86">
        <v>2</v>
      </c>
      <c r="O86" t="s">
        <v>55</v>
      </c>
      <c r="P86" t="s">
        <v>41</v>
      </c>
      <c r="Q86" t="s">
        <v>30</v>
      </c>
      <c r="R86" t="str">
        <f>VLOOKUP($O86,'Mapa Oficinas'!$A$7:$C$46,2,FALSE)</f>
        <v>Interior - Santa Fe</v>
      </c>
      <c r="S86" t="str">
        <f>VLOOKUP($O86,'Mapa Oficinas'!$A$7:$C$46,3,FALSE)</f>
        <v>Capital Santa Fe</v>
      </c>
    </row>
    <row r="87" spans="1:19" x14ac:dyDescent="0.2">
      <c r="A87" s="1">
        <v>45681</v>
      </c>
      <c r="B87" t="s">
        <v>4946</v>
      </c>
      <c r="D87" t="s">
        <v>4947</v>
      </c>
      <c r="E87" t="s">
        <v>16</v>
      </c>
      <c r="F87" t="s">
        <v>38</v>
      </c>
      <c r="G87" s="14">
        <v>162000</v>
      </c>
      <c r="H87" s="14">
        <v>140000</v>
      </c>
      <c r="I87" t="s">
        <v>22</v>
      </c>
      <c r="J87" t="s">
        <v>22</v>
      </c>
      <c r="K87" t="s">
        <v>4948</v>
      </c>
      <c r="L87" t="s">
        <v>4949</v>
      </c>
      <c r="M87" t="s">
        <v>19</v>
      </c>
      <c r="N87">
        <v>2</v>
      </c>
      <c r="O87" t="s">
        <v>40</v>
      </c>
      <c r="P87" t="s">
        <v>44</v>
      </c>
      <c r="Q87" t="s">
        <v>30</v>
      </c>
      <c r="R87" t="str">
        <f>VLOOKUP($O87,'Mapa Oficinas'!$A$7:$C$46,2,FALSE)</f>
        <v>Zona Norte (GBA)</v>
      </c>
      <c r="S87" t="str">
        <f>VLOOKUP($O87,'Mapa Oficinas'!$A$7:$C$46,3,FALSE)</f>
        <v>Pilar</v>
      </c>
    </row>
    <row r="88" spans="1:19" x14ac:dyDescent="0.2">
      <c r="A88" s="1">
        <v>45682</v>
      </c>
      <c r="B88" t="s">
        <v>8293</v>
      </c>
      <c r="D88" t="s">
        <v>8294</v>
      </c>
      <c r="E88" t="s">
        <v>16</v>
      </c>
      <c r="F88" t="s">
        <v>38</v>
      </c>
      <c r="G88" s="14">
        <v>51000</v>
      </c>
      <c r="H88" s="14">
        <v>47000</v>
      </c>
      <c r="I88" t="s">
        <v>22</v>
      </c>
      <c r="J88" t="s">
        <v>22</v>
      </c>
      <c r="K88" t="s">
        <v>8294</v>
      </c>
      <c r="L88" t="s">
        <v>8295</v>
      </c>
      <c r="M88" t="s">
        <v>28</v>
      </c>
      <c r="N88">
        <v>2</v>
      </c>
      <c r="O88" t="s">
        <v>171</v>
      </c>
      <c r="P88" t="s">
        <v>21</v>
      </c>
      <c r="Q88" t="s">
        <v>30</v>
      </c>
      <c r="R88" t="str">
        <f>VLOOKUP($O88,'Mapa Oficinas'!$A$7:$C$46,2,FALSE)</f>
        <v>Zona Sur (GBA)</v>
      </c>
      <c r="S88" t="str">
        <f>VLOOKUP($O88,'Mapa Oficinas'!$A$7:$C$46,3,FALSE)</f>
        <v>La Plata</v>
      </c>
    </row>
    <row r="89" spans="1:19" x14ac:dyDescent="0.2">
      <c r="A89" s="1">
        <v>45682</v>
      </c>
      <c r="B89" t="s">
        <v>8290</v>
      </c>
      <c r="D89" t="s">
        <v>8291</v>
      </c>
      <c r="E89" t="s">
        <v>16</v>
      </c>
      <c r="F89" t="s">
        <v>17</v>
      </c>
      <c r="G89" s="14">
        <v>328000</v>
      </c>
      <c r="H89" s="14">
        <v>289000</v>
      </c>
      <c r="I89" t="s">
        <v>22</v>
      </c>
      <c r="J89" t="s">
        <v>22</v>
      </c>
      <c r="K89" t="s">
        <v>8292</v>
      </c>
      <c r="L89" t="s">
        <v>79</v>
      </c>
      <c r="M89" t="s">
        <v>72</v>
      </c>
      <c r="N89">
        <v>2</v>
      </c>
      <c r="O89" t="s">
        <v>201</v>
      </c>
      <c r="P89" t="s">
        <v>21</v>
      </c>
      <c r="Q89" t="s">
        <v>30</v>
      </c>
      <c r="R89" t="str">
        <f>VLOOKUP($O89,'Mapa Oficinas'!$A$7:$C$46,2,FALSE)</f>
        <v>CABA</v>
      </c>
      <c r="S89" t="str">
        <f>VLOOKUP($O89,'Mapa Oficinas'!$A$7:$C$46,3,FALSE)</f>
        <v>Recoleta</v>
      </c>
    </row>
    <row r="90" spans="1:19" x14ac:dyDescent="0.2">
      <c r="A90" s="1">
        <v>45683</v>
      </c>
      <c r="B90" t="s">
        <v>8286</v>
      </c>
      <c r="D90" t="s">
        <v>8287</v>
      </c>
      <c r="E90" t="s">
        <v>16</v>
      </c>
      <c r="F90" t="s">
        <v>17</v>
      </c>
      <c r="G90" s="14">
        <v>135268</v>
      </c>
      <c r="H90" s="14">
        <v>163500</v>
      </c>
      <c r="I90" t="s">
        <v>22</v>
      </c>
      <c r="J90" t="s">
        <v>22</v>
      </c>
      <c r="K90" t="s">
        <v>8288</v>
      </c>
      <c r="L90" t="s">
        <v>8289</v>
      </c>
      <c r="M90" t="s">
        <v>97</v>
      </c>
      <c r="N90">
        <v>2</v>
      </c>
      <c r="O90" t="s">
        <v>142</v>
      </c>
      <c r="P90" t="s">
        <v>276</v>
      </c>
      <c r="Q90" t="s">
        <v>30</v>
      </c>
      <c r="R90" t="str">
        <f>VLOOKUP($O90,'Mapa Oficinas'!$A$7:$C$46,2,FALSE)</f>
        <v>Zona Norte (GBA)</v>
      </c>
      <c r="S90" t="str">
        <f>VLOOKUP($O90,'Mapa Oficinas'!$A$7:$C$46,3,FALSE)</f>
        <v>Nordelta</v>
      </c>
    </row>
    <row r="91" spans="1:19" x14ac:dyDescent="0.2">
      <c r="A91" s="1">
        <v>45683</v>
      </c>
      <c r="B91" t="s">
        <v>6715</v>
      </c>
      <c r="D91" t="s">
        <v>6716</v>
      </c>
      <c r="E91" t="s">
        <v>16</v>
      </c>
      <c r="F91" t="s">
        <v>17</v>
      </c>
      <c r="G91" s="14">
        <v>279000</v>
      </c>
      <c r="H91" s="14">
        <v>260000</v>
      </c>
      <c r="I91" t="s">
        <v>22</v>
      </c>
      <c r="J91" t="s">
        <v>22</v>
      </c>
      <c r="K91" t="s">
        <v>6717</v>
      </c>
      <c r="L91" t="s">
        <v>6718</v>
      </c>
      <c r="M91" t="s">
        <v>28</v>
      </c>
      <c r="N91">
        <v>2</v>
      </c>
      <c r="O91" t="s">
        <v>142</v>
      </c>
      <c r="P91" t="s">
        <v>41</v>
      </c>
      <c r="Q91" t="s">
        <v>30</v>
      </c>
      <c r="R91" t="str">
        <f>VLOOKUP($O91,'Mapa Oficinas'!$A$7:$C$46,2,FALSE)</f>
        <v>Zona Norte (GBA)</v>
      </c>
      <c r="S91" t="str">
        <f>VLOOKUP($O91,'Mapa Oficinas'!$A$7:$C$46,3,FALSE)</f>
        <v>Nordelta</v>
      </c>
    </row>
    <row r="92" spans="1:19" x14ac:dyDescent="0.2">
      <c r="A92" s="1">
        <v>45684</v>
      </c>
      <c r="B92" t="s">
        <v>4253</v>
      </c>
      <c r="D92" t="s">
        <v>4254</v>
      </c>
      <c r="E92" t="s">
        <v>16</v>
      </c>
      <c r="F92" t="s">
        <v>127</v>
      </c>
      <c r="G92" s="14">
        <v>44880</v>
      </c>
      <c r="H92" s="14">
        <v>43320</v>
      </c>
      <c r="I92" t="s">
        <v>22</v>
      </c>
      <c r="J92" t="s">
        <v>22</v>
      </c>
      <c r="K92" t="s">
        <v>4255</v>
      </c>
      <c r="L92" t="s">
        <v>4256</v>
      </c>
      <c r="M92" t="s">
        <v>97</v>
      </c>
      <c r="N92">
        <v>2</v>
      </c>
      <c r="O92" t="s">
        <v>142</v>
      </c>
      <c r="P92" t="s">
        <v>41</v>
      </c>
      <c r="Q92" t="s">
        <v>30</v>
      </c>
      <c r="R92" t="str">
        <f>VLOOKUP($O92,'Mapa Oficinas'!$A$7:$C$46,2,FALSE)</f>
        <v>Zona Norte (GBA)</v>
      </c>
      <c r="S92" t="str">
        <f>VLOOKUP($O92,'Mapa Oficinas'!$A$7:$C$46,3,FALSE)</f>
        <v>Nordelta</v>
      </c>
    </row>
    <row r="93" spans="1:19" x14ac:dyDescent="0.2">
      <c r="A93" s="1">
        <v>45684</v>
      </c>
      <c r="B93" t="s">
        <v>8269</v>
      </c>
      <c r="D93" t="s">
        <v>8270</v>
      </c>
      <c r="E93" t="s">
        <v>16</v>
      </c>
      <c r="F93" t="s">
        <v>17</v>
      </c>
      <c r="G93" s="14">
        <v>55000</v>
      </c>
      <c r="H93" s="14">
        <v>53000</v>
      </c>
      <c r="I93" t="s">
        <v>22</v>
      </c>
      <c r="J93" t="s">
        <v>22</v>
      </c>
      <c r="K93" t="s">
        <v>8271</v>
      </c>
      <c r="L93" t="s">
        <v>164</v>
      </c>
      <c r="M93" t="s">
        <v>72</v>
      </c>
      <c r="N93">
        <v>2</v>
      </c>
      <c r="O93" t="s">
        <v>103</v>
      </c>
      <c r="P93" t="s">
        <v>276</v>
      </c>
      <c r="Q93" t="s">
        <v>30</v>
      </c>
      <c r="R93" t="str">
        <f>VLOOKUP($O93,'Mapa Oficinas'!$A$7:$C$46,2,FALSE)</f>
        <v>CABA</v>
      </c>
      <c r="S93" t="str">
        <f>VLOOKUP($O93,'Mapa Oficinas'!$A$7:$C$46,3,FALSE)</f>
        <v>Barrio Parque</v>
      </c>
    </row>
    <row r="94" spans="1:19" x14ac:dyDescent="0.2">
      <c r="A94" s="1">
        <v>45684</v>
      </c>
      <c r="B94" t="s">
        <v>8275</v>
      </c>
      <c r="D94" t="s">
        <v>8276</v>
      </c>
      <c r="E94" t="s">
        <v>16</v>
      </c>
      <c r="F94" t="s">
        <v>17</v>
      </c>
      <c r="G94" s="14">
        <v>99000</v>
      </c>
      <c r="H94" s="14">
        <v>95000</v>
      </c>
      <c r="I94" t="s">
        <v>22</v>
      </c>
      <c r="J94" t="s">
        <v>22</v>
      </c>
      <c r="K94" t="s">
        <v>8277</v>
      </c>
      <c r="L94" t="s">
        <v>1564</v>
      </c>
      <c r="M94" t="s">
        <v>28</v>
      </c>
      <c r="N94">
        <v>2</v>
      </c>
      <c r="O94" t="s">
        <v>198</v>
      </c>
      <c r="P94" t="s">
        <v>21</v>
      </c>
      <c r="Q94" t="s">
        <v>30</v>
      </c>
      <c r="R94" t="str">
        <f>VLOOKUP($O94,'Mapa Oficinas'!$A$7:$C$46,2,FALSE)</f>
        <v>CABA</v>
      </c>
      <c r="S94" t="str">
        <f>VLOOKUP($O94,'Mapa Oficinas'!$A$7:$C$46,3,FALSE)</f>
        <v>Caballito</v>
      </c>
    </row>
    <row r="95" spans="1:19" x14ac:dyDescent="0.2">
      <c r="A95" s="1">
        <v>45684</v>
      </c>
      <c r="B95" t="s">
        <v>8284</v>
      </c>
      <c r="D95" t="s">
        <v>8282</v>
      </c>
      <c r="E95" t="s">
        <v>16</v>
      </c>
      <c r="F95" t="s">
        <v>127</v>
      </c>
      <c r="G95" s="14">
        <v>107200</v>
      </c>
      <c r="H95" s="14">
        <v>100380</v>
      </c>
      <c r="I95" t="s">
        <v>22</v>
      </c>
      <c r="J95" t="s">
        <v>22</v>
      </c>
      <c r="K95" t="s">
        <v>8285</v>
      </c>
      <c r="L95" t="s">
        <v>4594</v>
      </c>
      <c r="M95" t="s">
        <v>97</v>
      </c>
      <c r="N95">
        <v>2</v>
      </c>
      <c r="O95" t="s">
        <v>142</v>
      </c>
      <c r="P95" t="s">
        <v>41</v>
      </c>
      <c r="Q95" t="s">
        <v>30</v>
      </c>
      <c r="R95" t="str">
        <f>VLOOKUP($O95,'Mapa Oficinas'!$A$7:$C$46,2,FALSE)</f>
        <v>Zona Norte (GBA)</v>
      </c>
      <c r="S95" t="str">
        <f>VLOOKUP($O95,'Mapa Oficinas'!$A$7:$C$46,3,FALSE)</f>
        <v>Nordelta</v>
      </c>
    </row>
    <row r="96" spans="1:19" x14ac:dyDescent="0.2">
      <c r="A96" s="1">
        <v>45684</v>
      </c>
      <c r="B96" t="s">
        <v>8266</v>
      </c>
      <c r="D96" t="s">
        <v>8267</v>
      </c>
      <c r="E96" t="s">
        <v>16</v>
      </c>
      <c r="F96" t="s">
        <v>17</v>
      </c>
      <c r="G96" s="14">
        <v>145000</v>
      </c>
      <c r="H96" s="14">
        <v>135000</v>
      </c>
      <c r="I96" t="s">
        <v>22</v>
      </c>
      <c r="J96" t="s">
        <v>22</v>
      </c>
      <c r="K96" t="s">
        <v>8268</v>
      </c>
      <c r="L96" t="s">
        <v>111</v>
      </c>
      <c r="M96" t="s">
        <v>19</v>
      </c>
      <c r="N96">
        <v>2</v>
      </c>
      <c r="O96" t="s">
        <v>103</v>
      </c>
      <c r="P96" t="s">
        <v>21</v>
      </c>
      <c r="Q96" t="s">
        <v>30</v>
      </c>
      <c r="R96" t="str">
        <f>VLOOKUP($O96,'Mapa Oficinas'!$A$7:$C$46,2,FALSE)</f>
        <v>CABA</v>
      </c>
      <c r="S96" t="str">
        <f>VLOOKUP($O96,'Mapa Oficinas'!$A$7:$C$46,3,FALSE)</f>
        <v>Barrio Parque</v>
      </c>
    </row>
    <row r="97" spans="1:19" x14ac:dyDescent="0.2">
      <c r="A97" s="1">
        <v>45684</v>
      </c>
      <c r="B97" t="s">
        <v>8272</v>
      </c>
      <c r="D97" t="s">
        <v>8273</v>
      </c>
      <c r="E97" t="s">
        <v>16</v>
      </c>
      <c r="F97" t="s">
        <v>17</v>
      </c>
      <c r="G97" s="14">
        <v>180000</v>
      </c>
      <c r="H97" s="14">
        <v>145000</v>
      </c>
      <c r="I97" t="s">
        <v>22</v>
      </c>
      <c r="J97" t="s">
        <v>22</v>
      </c>
      <c r="K97" t="s">
        <v>8274</v>
      </c>
      <c r="L97" t="s">
        <v>3865</v>
      </c>
      <c r="M97" t="s">
        <v>97</v>
      </c>
      <c r="N97">
        <v>2</v>
      </c>
      <c r="O97" t="s">
        <v>201</v>
      </c>
      <c r="P97" t="s">
        <v>21</v>
      </c>
      <c r="Q97" t="s">
        <v>30</v>
      </c>
      <c r="R97" t="str">
        <f>VLOOKUP($O97,'Mapa Oficinas'!$A$7:$C$46,2,FALSE)</f>
        <v>CABA</v>
      </c>
      <c r="S97" t="str">
        <f>VLOOKUP($O97,'Mapa Oficinas'!$A$7:$C$46,3,FALSE)</f>
        <v>Recoleta</v>
      </c>
    </row>
    <row r="98" spans="1:19" x14ac:dyDescent="0.2">
      <c r="A98" s="15">
        <v>45684</v>
      </c>
      <c r="B98" s="16" t="s">
        <v>8281</v>
      </c>
      <c r="C98" s="16">
        <v>1</v>
      </c>
      <c r="D98" s="16" t="s">
        <v>8282</v>
      </c>
      <c r="E98" s="16" t="s">
        <v>16</v>
      </c>
      <c r="F98" s="16" t="s">
        <v>127</v>
      </c>
      <c r="G98" s="17">
        <v>156200</v>
      </c>
      <c r="H98" s="17">
        <v>147630</v>
      </c>
      <c r="I98" s="16" t="s">
        <v>22</v>
      </c>
      <c r="J98" s="16" t="s">
        <v>22</v>
      </c>
      <c r="K98" s="16" t="s">
        <v>8283</v>
      </c>
      <c r="L98" s="16" t="s">
        <v>4594</v>
      </c>
      <c r="M98" s="16" t="s">
        <v>97</v>
      </c>
      <c r="N98" s="16">
        <v>2</v>
      </c>
      <c r="O98" s="16" t="s">
        <v>142</v>
      </c>
      <c r="P98" s="16" t="s">
        <v>41</v>
      </c>
      <c r="Q98" s="16" t="s">
        <v>30</v>
      </c>
      <c r="R98" t="str">
        <f>VLOOKUP($O98,'Mapa Oficinas'!$A$7:$C$46,2,FALSE)</f>
        <v>Zona Norte (GBA)</v>
      </c>
      <c r="S98" t="str">
        <f>VLOOKUP($O98,'Mapa Oficinas'!$A$7:$C$46,3,FALSE)</f>
        <v>Nordelta</v>
      </c>
    </row>
    <row r="99" spans="1:19" x14ac:dyDescent="0.2">
      <c r="A99" s="15">
        <v>45684</v>
      </c>
      <c r="B99" s="16" t="s">
        <v>8281</v>
      </c>
      <c r="C99" s="16">
        <v>0</v>
      </c>
      <c r="D99" s="16" t="s">
        <v>8282</v>
      </c>
      <c r="E99" s="16" t="s">
        <v>16</v>
      </c>
      <c r="F99" s="16" t="s">
        <v>17</v>
      </c>
      <c r="G99" s="17">
        <v>156200</v>
      </c>
      <c r="H99" s="17">
        <v>158235</v>
      </c>
      <c r="I99" s="16" t="s">
        <v>22</v>
      </c>
      <c r="J99" s="16" t="s">
        <v>22</v>
      </c>
      <c r="K99" s="16" t="s">
        <v>8283</v>
      </c>
      <c r="L99" s="16" t="s">
        <v>4594</v>
      </c>
      <c r="M99" s="16" t="s">
        <v>97</v>
      </c>
      <c r="N99" s="16">
        <v>2</v>
      </c>
      <c r="O99" s="16" t="s">
        <v>142</v>
      </c>
      <c r="P99" s="16" t="s">
        <v>41</v>
      </c>
      <c r="Q99" s="16" t="s">
        <v>30</v>
      </c>
      <c r="R99" t="str">
        <f>VLOOKUP($O99,'Mapa Oficinas'!$A$7:$C$46,2,FALSE)</f>
        <v>Zona Norte (GBA)</v>
      </c>
      <c r="S99" t="str">
        <f>VLOOKUP($O99,'Mapa Oficinas'!$A$7:$C$46,3,FALSE)</f>
        <v>Nordelta</v>
      </c>
    </row>
    <row r="100" spans="1:19" x14ac:dyDescent="0.2">
      <c r="A100" s="1">
        <v>45684</v>
      </c>
      <c r="B100" t="s">
        <v>8278</v>
      </c>
      <c r="D100" t="s">
        <v>8279</v>
      </c>
      <c r="E100" t="s">
        <v>16</v>
      </c>
      <c r="F100" t="s">
        <v>17</v>
      </c>
      <c r="G100" s="14">
        <v>199000</v>
      </c>
      <c r="H100" s="14">
        <v>191000</v>
      </c>
      <c r="I100" t="s">
        <v>22</v>
      </c>
      <c r="J100" t="s">
        <v>22</v>
      </c>
      <c r="K100" t="s">
        <v>8280</v>
      </c>
      <c r="L100" t="s">
        <v>102</v>
      </c>
      <c r="M100" t="s">
        <v>72</v>
      </c>
      <c r="N100">
        <v>2</v>
      </c>
      <c r="O100" t="s">
        <v>198</v>
      </c>
      <c r="P100" t="s">
        <v>276</v>
      </c>
      <c r="Q100" t="s">
        <v>30</v>
      </c>
      <c r="R100" t="str">
        <f>VLOOKUP($O100,'Mapa Oficinas'!$A$7:$C$46,2,FALSE)</f>
        <v>CABA</v>
      </c>
      <c r="S100" t="str">
        <f>VLOOKUP($O100,'Mapa Oficinas'!$A$7:$C$46,3,FALSE)</f>
        <v>Caballito</v>
      </c>
    </row>
    <row r="101" spans="1:19" x14ac:dyDescent="0.2">
      <c r="A101" s="1">
        <v>45684</v>
      </c>
      <c r="B101" t="s">
        <v>7213</v>
      </c>
      <c r="D101" t="s">
        <v>7214</v>
      </c>
      <c r="E101" t="s">
        <v>16</v>
      </c>
      <c r="F101" t="s">
        <v>134</v>
      </c>
      <c r="G101" s="14">
        <v>238023</v>
      </c>
      <c r="H101" s="14">
        <v>254805</v>
      </c>
      <c r="I101" t="s">
        <v>22</v>
      </c>
      <c r="J101" t="s">
        <v>22</v>
      </c>
      <c r="K101" t="s">
        <v>6441</v>
      </c>
      <c r="L101" t="s">
        <v>136</v>
      </c>
      <c r="M101" t="s">
        <v>19</v>
      </c>
      <c r="N101">
        <v>2</v>
      </c>
      <c r="O101" t="s">
        <v>130</v>
      </c>
      <c r="P101" t="s">
        <v>41</v>
      </c>
      <c r="Q101" t="s">
        <v>30</v>
      </c>
      <c r="R101" t="str">
        <f>VLOOKUP($O101,'Mapa Oficinas'!$A$7:$C$46,2,FALSE)</f>
        <v>Interior - Río Negro</v>
      </c>
      <c r="S101" t="str">
        <f>VLOOKUP($O101,'Mapa Oficinas'!$A$7:$C$46,3,FALSE)</f>
        <v>Bariloche</v>
      </c>
    </row>
    <row r="102" spans="1:19" x14ac:dyDescent="0.2">
      <c r="A102" s="1">
        <v>45685</v>
      </c>
      <c r="B102" t="s">
        <v>8260</v>
      </c>
      <c r="D102" t="s">
        <v>8260</v>
      </c>
      <c r="E102" t="s">
        <v>16</v>
      </c>
      <c r="F102" t="s">
        <v>17</v>
      </c>
      <c r="G102" s="14">
        <v>65000</v>
      </c>
      <c r="H102" s="14">
        <v>65000</v>
      </c>
      <c r="I102" t="s">
        <v>22</v>
      </c>
      <c r="J102" t="s">
        <v>22</v>
      </c>
      <c r="K102" t="s">
        <v>8260</v>
      </c>
      <c r="L102" t="s">
        <v>5403</v>
      </c>
      <c r="M102" t="s">
        <v>19</v>
      </c>
      <c r="N102">
        <v>2</v>
      </c>
      <c r="O102" t="s">
        <v>50</v>
      </c>
      <c r="P102" t="s">
        <v>21</v>
      </c>
      <c r="Q102" t="s">
        <v>30</v>
      </c>
      <c r="R102" t="str">
        <f>VLOOKUP($O102,'Mapa Oficinas'!$A$7:$C$46,2,FALSE)</f>
        <v>CABA</v>
      </c>
      <c r="S102" t="str">
        <f>VLOOKUP($O102,'Mapa Oficinas'!$A$7:$C$46,3,FALSE)</f>
        <v>Villa Urquiza</v>
      </c>
    </row>
    <row r="103" spans="1:19" x14ac:dyDescent="0.2">
      <c r="A103" s="1">
        <v>45685</v>
      </c>
      <c r="B103" t="s">
        <v>8256</v>
      </c>
      <c r="D103" t="s">
        <v>8257</v>
      </c>
      <c r="E103" t="s">
        <v>16</v>
      </c>
      <c r="F103" t="s">
        <v>17</v>
      </c>
      <c r="G103" s="14">
        <v>109990</v>
      </c>
      <c r="H103" s="14">
        <v>102000</v>
      </c>
      <c r="I103" t="s">
        <v>22</v>
      </c>
      <c r="J103" t="s">
        <v>22</v>
      </c>
      <c r="K103" t="s">
        <v>8258</v>
      </c>
      <c r="L103" t="s">
        <v>191</v>
      </c>
      <c r="M103" t="s">
        <v>19</v>
      </c>
      <c r="N103">
        <v>2</v>
      </c>
      <c r="O103" t="s">
        <v>50</v>
      </c>
      <c r="P103" t="s">
        <v>41</v>
      </c>
      <c r="Q103" t="s">
        <v>30</v>
      </c>
      <c r="R103" t="str">
        <f>VLOOKUP($O103,'Mapa Oficinas'!$A$7:$C$46,2,FALSE)</f>
        <v>CABA</v>
      </c>
      <c r="S103" t="str">
        <f>VLOOKUP($O103,'Mapa Oficinas'!$A$7:$C$46,3,FALSE)</f>
        <v>Villa Urquiza</v>
      </c>
    </row>
    <row r="104" spans="1:19" x14ac:dyDescent="0.2">
      <c r="A104" s="1">
        <v>45685</v>
      </c>
      <c r="B104" t="s">
        <v>8264</v>
      </c>
      <c r="D104" t="s">
        <v>8264</v>
      </c>
      <c r="E104" t="s">
        <v>16</v>
      </c>
      <c r="F104" t="s">
        <v>17</v>
      </c>
      <c r="G104" s="14">
        <v>200000</v>
      </c>
      <c r="H104" s="14">
        <v>200000</v>
      </c>
      <c r="I104" t="s">
        <v>22</v>
      </c>
      <c r="J104" t="s">
        <v>22</v>
      </c>
      <c r="K104" t="s">
        <v>8265</v>
      </c>
      <c r="L104" t="s">
        <v>23</v>
      </c>
      <c r="M104" t="s">
        <v>28</v>
      </c>
      <c r="N104">
        <v>2</v>
      </c>
      <c r="O104" t="s">
        <v>35</v>
      </c>
      <c r="P104" t="s">
        <v>21</v>
      </c>
      <c r="Q104" t="s">
        <v>30</v>
      </c>
      <c r="R104" t="str">
        <f>VLOOKUP($O104,'Mapa Oficinas'!$A$7:$C$46,2,FALSE)</f>
        <v>Zona Norte (GBA)</v>
      </c>
      <c r="S104" t="str">
        <f>VLOOKUP($O104,'Mapa Oficinas'!$A$7:$C$46,3,FALSE)</f>
        <v>Vicente López</v>
      </c>
    </row>
    <row r="105" spans="1:19" x14ac:dyDescent="0.2">
      <c r="A105" s="1">
        <v>45685</v>
      </c>
      <c r="B105">
        <v>10284</v>
      </c>
      <c r="D105" t="s">
        <v>8259</v>
      </c>
      <c r="E105" t="s">
        <v>16</v>
      </c>
      <c r="F105" t="s">
        <v>38</v>
      </c>
      <c r="G105" s="14">
        <v>0</v>
      </c>
      <c r="H105" s="14">
        <v>203000</v>
      </c>
      <c r="I105" t="s">
        <v>22</v>
      </c>
      <c r="J105" t="s">
        <v>22</v>
      </c>
      <c r="L105" t="s">
        <v>595</v>
      </c>
      <c r="M105" t="s">
        <v>28</v>
      </c>
      <c r="N105">
        <v>2</v>
      </c>
      <c r="O105" t="s">
        <v>103</v>
      </c>
      <c r="P105" t="s">
        <v>256</v>
      </c>
      <c r="Q105" t="s">
        <v>30</v>
      </c>
      <c r="R105" t="str">
        <f>VLOOKUP($O105,'Mapa Oficinas'!$A$7:$C$46,2,FALSE)</f>
        <v>CABA</v>
      </c>
      <c r="S105" t="str">
        <f>VLOOKUP($O105,'Mapa Oficinas'!$A$7:$C$46,3,FALSE)</f>
        <v>Barrio Parque</v>
      </c>
    </row>
    <row r="106" spans="1:19" x14ac:dyDescent="0.2">
      <c r="A106" s="1">
        <v>45686</v>
      </c>
      <c r="B106" t="s">
        <v>8250</v>
      </c>
      <c r="D106" t="s">
        <v>8251</v>
      </c>
      <c r="E106" t="s">
        <v>16</v>
      </c>
      <c r="F106" t="s">
        <v>47</v>
      </c>
      <c r="G106" s="14">
        <v>130000</v>
      </c>
      <c r="H106" s="14">
        <v>130000</v>
      </c>
      <c r="I106" t="s">
        <v>22</v>
      </c>
      <c r="J106" t="s">
        <v>22</v>
      </c>
      <c r="K106" t="s">
        <v>8252</v>
      </c>
      <c r="L106" t="s">
        <v>282</v>
      </c>
      <c r="M106" t="s">
        <v>19</v>
      </c>
      <c r="N106">
        <v>2</v>
      </c>
      <c r="O106" t="s">
        <v>50</v>
      </c>
      <c r="P106" t="s">
        <v>21</v>
      </c>
      <c r="Q106" t="s">
        <v>30</v>
      </c>
      <c r="R106" t="str">
        <f>VLOOKUP($O106,'Mapa Oficinas'!$A$7:$C$46,2,FALSE)</f>
        <v>CABA</v>
      </c>
      <c r="S106" t="str">
        <f>VLOOKUP($O106,'Mapa Oficinas'!$A$7:$C$46,3,FALSE)</f>
        <v>Villa Urquiza</v>
      </c>
    </row>
    <row r="107" spans="1:19" x14ac:dyDescent="0.2">
      <c r="A107" s="1">
        <v>45686</v>
      </c>
      <c r="B107" t="s">
        <v>8249</v>
      </c>
      <c r="D107" t="s">
        <v>8249</v>
      </c>
      <c r="E107" t="s">
        <v>16</v>
      </c>
      <c r="F107" t="s">
        <v>17</v>
      </c>
      <c r="G107" s="14">
        <v>128000</v>
      </c>
      <c r="H107" s="14">
        <v>147000</v>
      </c>
      <c r="I107" t="s">
        <v>22</v>
      </c>
      <c r="J107" t="s">
        <v>22</v>
      </c>
      <c r="K107" t="s">
        <v>8249</v>
      </c>
      <c r="L107" t="s">
        <v>523</v>
      </c>
      <c r="M107" t="s">
        <v>97</v>
      </c>
      <c r="N107">
        <v>2</v>
      </c>
      <c r="O107" t="s">
        <v>50</v>
      </c>
      <c r="P107" t="s">
        <v>21</v>
      </c>
      <c r="Q107" t="s">
        <v>30</v>
      </c>
      <c r="R107" t="str">
        <f>VLOOKUP($O107,'Mapa Oficinas'!$A$7:$C$46,2,FALSE)</f>
        <v>CABA</v>
      </c>
      <c r="S107" t="str">
        <f>VLOOKUP($O107,'Mapa Oficinas'!$A$7:$C$46,3,FALSE)</f>
        <v>Villa Urquiza</v>
      </c>
    </row>
    <row r="108" spans="1:19" x14ac:dyDescent="0.2">
      <c r="A108" s="1">
        <v>45686</v>
      </c>
      <c r="B108" t="s">
        <v>8246</v>
      </c>
      <c r="D108" t="s">
        <v>8247</v>
      </c>
      <c r="E108" t="s">
        <v>16</v>
      </c>
      <c r="F108" t="s">
        <v>38</v>
      </c>
      <c r="G108" s="14">
        <v>360000</v>
      </c>
      <c r="H108" s="14">
        <v>335000</v>
      </c>
      <c r="I108" t="s">
        <v>22</v>
      </c>
      <c r="J108" t="s">
        <v>22</v>
      </c>
      <c r="K108" t="s">
        <v>8248</v>
      </c>
      <c r="L108" t="s">
        <v>1581</v>
      </c>
      <c r="M108" t="s">
        <v>19</v>
      </c>
      <c r="N108">
        <v>2</v>
      </c>
      <c r="O108" t="s">
        <v>87</v>
      </c>
      <c r="P108" t="s">
        <v>276</v>
      </c>
      <c r="Q108" t="s">
        <v>30</v>
      </c>
      <c r="R108" t="str">
        <f>VLOOKUP($O108,'Mapa Oficinas'!$A$7:$C$46,2,FALSE)</f>
        <v>Zona Norte (GBA)</v>
      </c>
      <c r="S108" t="str">
        <f>VLOOKUP($O108,'Mapa Oficinas'!$A$7:$C$46,3,FALSE)</f>
        <v>Tigre</v>
      </c>
    </row>
    <row r="109" spans="1:19" x14ac:dyDescent="0.2">
      <c r="A109" s="1">
        <v>45687</v>
      </c>
      <c r="B109" t="s">
        <v>8226</v>
      </c>
      <c r="D109" t="s">
        <v>8227</v>
      </c>
      <c r="E109" t="s">
        <v>16</v>
      </c>
      <c r="F109" t="s">
        <v>17</v>
      </c>
      <c r="G109" s="14">
        <v>44000</v>
      </c>
      <c r="H109" s="14">
        <v>44000</v>
      </c>
      <c r="I109" t="s">
        <v>22</v>
      </c>
      <c r="J109" t="s">
        <v>22</v>
      </c>
      <c r="K109" t="s">
        <v>8228</v>
      </c>
      <c r="L109" t="s">
        <v>8229</v>
      </c>
      <c r="M109" t="s">
        <v>28</v>
      </c>
      <c r="N109">
        <v>2</v>
      </c>
      <c r="O109" t="s">
        <v>151</v>
      </c>
      <c r="P109" t="s">
        <v>21</v>
      </c>
      <c r="Q109" t="s">
        <v>30</v>
      </c>
      <c r="R109" t="str">
        <f>VLOOKUP($O109,'Mapa Oficinas'!$A$7:$C$46,2,FALSE)</f>
        <v>Interior - Neuquén</v>
      </c>
      <c r="S109" t="str">
        <f>VLOOKUP($O109,'Mapa Oficinas'!$A$7:$C$46,3,FALSE)</f>
        <v>Capital Neuquén</v>
      </c>
    </row>
    <row r="110" spans="1:19" x14ac:dyDescent="0.2">
      <c r="A110" s="1">
        <v>45687</v>
      </c>
      <c r="B110" t="s">
        <v>8217</v>
      </c>
      <c r="D110" t="s">
        <v>8218</v>
      </c>
      <c r="E110" t="s">
        <v>16</v>
      </c>
      <c r="F110" t="s">
        <v>17</v>
      </c>
      <c r="G110" s="14">
        <v>49000</v>
      </c>
      <c r="H110" s="14">
        <v>46000</v>
      </c>
      <c r="I110" t="s">
        <v>22</v>
      </c>
      <c r="J110" t="s">
        <v>22</v>
      </c>
      <c r="K110" t="s">
        <v>8219</v>
      </c>
      <c r="L110" t="s">
        <v>2667</v>
      </c>
      <c r="M110" t="s">
        <v>72</v>
      </c>
      <c r="N110">
        <v>2</v>
      </c>
      <c r="O110" t="s">
        <v>201</v>
      </c>
      <c r="P110" t="s">
        <v>276</v>
      </c>
      <c r="Q110" t="s">
        <v>30</v>
      </c>
      <c r="R110" t="str">
        <f>VLOOKUP($O110,'Mapa Oficinas'!$A$7:$C$46,2,FALSE)</f>
        <v>CABA</v>
      </c>
      <c r="S110" t="str">
        <f>VLOOKUP($O110,'Mapa Oficinas'!$A$7:$C$46,3,FALSE)</f>
        <v>Recoleta</v>
      </c>
    </row>
    <row r="111" spans="1:19" x14ac:dyDescent="0.2">
      <c r="A111" s="1">
        <v>45687</v>
      </c>
      <c r="B111" t="s">
        <v>8233</v>
      </c>
      <c r="D111" t="s">
        <v>8234</v>
      </c>
      <c r="E111" t="s">
        <v>16</v>
      </c>
      <c r="F111" t="s">
        <v>17</v>
      </c>
      <c r="G111" s="14">
        <v>49000</v>
      </c>
      <c r="H111" s="14">
        <v>49000</v>
      </c>
      <c r="I111" t="s">
        <v>22</v>
      </c>
      <c r="J111" t="s">
        <v>22</v>
      </c>
      <c r="K111" t="s">
        <v>8235</v>
      </c>
      <c r="L111" t="s">
        <v>5892</v>
      </c>
      <c r="M111" t="s">
        <v>97</v>
      </c>
      <c r="N111">
        <v>2</v>
      </c>
      <c r="O111" t="s">
        <v>151</v>
      </c>
      <c r="P111" t="s">
        <v>21</v>
      </c>
      <c r="Q111" t="s">
        <v>30</v>
      </c>
      <c r="R111" t="str">
        <f>VLOOKUP($O111,'Mapa Oficinas'!$A$7:$C$46,2,FALSE)</f>
        <v>Interior - Neuquén</v>
      </c>
      <c r="S111" t="str">
        <f>VLOOKUP($O111,'Mapa Oficinas'!$A$7:$C$46,3,FALSE)</f>
        <v>Capital Neuquén</v>
      </c>
    </row>
    <row r="112" spans="1:19" x14ac:dyDescent="0.2">
      <c r="A112" s="1">
        <v>45687</v>
      </c>
      <c r="B112" t="s">
        <v>8243</v>
      </c>
      <c r="D112" t="s">
        <v>8244</v>
      </c>
      <c r="E112" t="s">
        <v>16</v>
      </c>
      <c r="F112" t="s">
        <v>17</v>
      </c>
      <c r="G112" s="14">
        <v>55000</v>
      </c>
      <c r="H112" s="14">
        <v>50000</v>
      </c>
      <c r="I112" t="s">
        <v>22</v>
      </c>
      <c r="J112" t="s">
        <v>22</v>
      </c>
      <c r="K112" t="s">
        <v>8245</v>
      </c>
      <c r="L112" t="s">
        <v>102</v>
      </c>
      <c r="M112" t="s">
        <v>19</v>
      </c>
      <c r="N112">
        <v>2</v>
      </c>
      <c r="O112" t="s">
        <v>227</v>
      </c>
      <c r="P112" t="s">
        <v>21</v>
      </c>
      <c r="Q112" t="s">
        <v>30</v>
      </c>
      <c r="R112" t="str">
        <f>VLOOKUP($O112,'Mapa Oficinas'!$A$7:$C$46,2,FALSE)</f>
        <v>Zona Oeste (GBA)</v>
      </c>
      <c r="S112" t="str">
        <f>VLOOKUP($O112,'Mapa Oficinas'!$A$7:$C$46,3,FALSE)</f>
        <v>Parque Leloir</v>
      </c>
    </row>
    <row r="113" spans="1:19" x14ac:dyDescent="0.2">
      <c r="A113" s="1">
        <v>45687</v>
      </c>
      <c r="B113" t="s">
        <v>8230</v>
      </c>
      <c r="D113" t="s">
        <v>8231</v>
      </c>
      <c r="E113" t="s">
        <v>16</v>
      </c>
      <c r="F113" t="s">
        <v>17</v>
      </c>
      <c r="G113" s="14">
        <v>63000</v>
      </c>
      <c r="H113" s="14">
        <v>63000</v>
      </c>
      <c r="I113" t="s">
        <v>22</v>
      </c>
      <c r="J113" t="s">
        <v>22</v>
      </c>
      <c r="K113" t="s">
        <v>8232</v>
      </c>
      <c r="L113" t="s">
        <v>1651</v>
      </c>
      <c r="M113" t="s">
        <v>19</v>
      </c>
      <c r="N113">
        <v>2</v>
      </c>
      <c r="O113" t="s">
        <v>151</v>
      </c>
      <c r="P113" t="s">
        <v>41</v>
      </c>
      <c r="Q113" t="s">
        <v>30</v>
      </c>
      <c r="R113" t="str">
        <f>VLOOKUP($O113,'Mapa Oficinas'!$A$7:$C$46,2,FALSE)</f>
        <v>Interior - Neuquén</v>
      </c>
      <c r="S113" t="str">
        <f>VLOOKUP($O113,'Mapa Oficinas'!$A$7:$C$46,3,FALSE)</f>
        <v>Capital Neuquén</v>
      </c>
    </row>
    <row r="114" spans="1:19" x14ac:dyDescent="0.2">
      <c r="A114" s="1">
        <v>45687</v>
      </c>
      <c r="B114" t="s">
        <v>7862</v>
      </c>
      <c r="D114" t="s">
        <v>2442</v>
      </c>
      <c r="E114" t="s">
        <v>16</v>
      </c>
      <c r="F114" t="s">
        <v>17</v>
      </c>
      <c r="G114" s="14">
        <v>77500</v>
      </c>
      <c r="H114" s="14">
        <v>75000</v>
      </c>
      <c r="I114" t="s">
        <v>22</v>
      </c>
      <c r="J114" t="s">
        <v>22</v>
      </c>
      <c r="K114" t="s">
        <v>7863</v>
      </c>
      <c r="L114" t="s">
        <v>1353</v>
      </c>
      <c r="M114" t="s">
        <v>19</v>
      </c>
      <c r="N114">
        <v>2</v>
      </c>
      <c r="O114" t="s">
        <v>151</v>
      </c>
      <c r="P114" t="s">
        <v>276</v>
      </c>
      <c r="Q114" t="s">
        <v>30</v>
      </c>
      <c r="R114" t="str">
        <f>VLOOKUP($O114,'Mapa Oficinas'!$A$7:$C$46,2,FALSE)</f>
        <v>Interior - Neuquén</v>
      </c>
      <c r="S114" t="str">
        <f>VLOOKUP($O114,'Mapa Oficinas'!$A$7:$C$46,3,FALSE)</f>
        <v>Capital Neuquén</v>
      </c>
    </row>
    <row r="115" spans="1:19" x14ac:dyDescent="0.2">
      <c r="A115" s="1">
        <v>45687</v>
      </c>
      <c r="B115" t="s">
        <v>8208</v>
      </c>
      <c r="D115" t="s">
        <v>8209</v>
      </c>
      <c r="E115" t="s">
        <v>16</v>
      </c>
      <c r="F115" t="s">
        <v>17</v>
      </c>
      <c r="G115" s="14">
        <v>92000</v>
      </c>
      <c r="H115" s="14">
        <v>84000</v>
      </c>
      <c r="I115" t="s">
        <v>22</v>
      </c>
      <c r="J115" t="s">
        <v>22</v>
      </c>
      <c r="K115" t="s">
        <v>8210</v>
      </c>
      <c r="L115" t="s">
        <v>71</v>
      </c>
      <c r="M115" t="s">
        <v>19</v>
      </c>
      <c r="N115">
        <v>2</v>
      </c>
      <c r="O115" t="s">
        <v>103</v>
      </c>
      <c r="P115" t="s">
        <v>276</v>
      </c>
      <c r="Q115" t="s">
        <v>30</v>
      </c>
      <c r="R115" t="str">
        <f>VLOOKUP($O115,'Mapa Oficinas'!$A$7:$C$46,2,FALSE)</f>
        <v>CABA</v>
      </c>
      <c r="S115" t="str">
        <f>VLOOKUP($O115,'Mapa Oficinas'!$A$7:$C$46,3,FALSE)</f>
        <v>Barrio Parque</v>
      </c>
    </row>
    <row r="116" spans="1:19" x14ac:dyDescent="0.2">
      <c r="A116" s="1">
        <v>45687</v>
      </c>
      <c r="B116" t="s">
        <v>8216</v>
      </c>
      <c r="D116" t="s">
        <v>8216</v>
      </c>
      <c r="E116" t="s">
        <v>16</v>
      </c>
      <c r="F116" t="s">
        <v>47</v>
      </c>
      <c r="G116" s="14">
        <v>88000</v>
      </c>
      <c r="H116" s="14">
        <v>88000</v>
      </c>
      <c r="I116" t="s">
        <v>22</v>
      </c>
      <c r="J116" t="s">
        <v>22</v>
      </c>
      <c r="K116" t="s">
        <v>8216</v>
      </c>
      <c r="L116" t="s">
        <v>523</v>
      </c>
      <c r="M116" t="s">
        <v>28</v>
      </c>
      <c r="N116">
        <v>2</v>
      </c>
      <c r="O116" t="s">
        <v>50</v>
      </c>
      <c r="P116" t="s">
        <v>21</v>
      </c>
      <c r="Q116" t="s">
        <v>30</v>
      </c>
      <c r="R116" t="str">
        <f>VLOOKUP($O116,'Mapa Oficinas'!$A$7:$C$46,2,FALSE)</f>
        <v>CABA</v>
      </c>
      <c r="S116" t="str">
        <f>VLOOKUP($O116,'Mapa Oficinas'!$A$7:$C$46,3,FALSE)</f>
        <v>Villa Urquiza</v>
      </c>
    </row>
    <row r="117" spans="1:19" x14ac:dyDescent="0.2">
      <c r="A117" s="1">
        <v>45687</v>
      </c>
      <c r="B117" t="s">
        <v>8220</v>
      </c>
      <c r="D117" t="s">
        <v>8221</v>
      </c>
      <c r="E117" t="s">
        <v>16</v>
      </c>
      <c r="F117" t="s">
        <v>17</v>
      </c>
      <c r="G117" s="14">
        <v>100000</v>
      </c>
      <c r="H117" s="14">
        <v>90000</v>
      </c>
      <c r="I117" t="s">
        <v>22</v>
      </c>
      <c r="J117" t="s">
        <v>22</v>
      </c>
      <c r="K117" t="s">
        <v>8222</v>
      </c>
      <c r="L117" t="s">
        <v>821</v>
      </c>
      <c r="M117" t="s">
        <v>28</v>
      </c>
      <c r="N117">
        <v>2</v>
      </c>
      <c r="O117" t="s">
        <v>151</v>
      </c>
      <c r="P117" t="s">
        <v>276</v>
      </c>
      <c r="Q117" t="s">
        <v>30</v>
      </c>
      <c r="R117" t="str">
        <f>VLOOKUP($O117,'Mapa Oficinas'!$A$7:$C$46,2,FALSE)</f>
        <v>Interior - Neuquén</v>
      </c>
      <c r="S117" t="str">
        <f>VLOOKUP($O117,'Mapa Oficinas'!$A$7:$C$46,3,FALSE)</f>
        <v>Capital Neuquén</v>
      </c>
    </row>
    <row r="118" spans="1:19" x14ac:dyDescent="0.2">
      <c r="A118" s="1">
        <v>45687</v>
      </c>
      <c r="B118" t="s">
        <v>8239</v>
      </c>
      <c r="D118" t="s">
        <v>8240</v>
      </c>
      <c r="E118" t="s">
        <v>16</v>
      </c>
      <c r="F118" t="s">
        <v>17</v>
      </c>
      <c r="G118" s="14">
        <v>99990</v>
      </c>
      <c r="H118" s="14">
        <v>91000</v>
      </c>
      <c r="I118" t="s">
        <v>22</v>
      </c>
      <c r="J118" t="s">
        <v>22</v>
      </c>
      <c r="K118" t="s">
        <v>8241</v>
      </c>
      <c r="L118" t="s">
        <v>8242</v>
      </c>
      <c r="M118" t="s">
        <v>19</v>
      </c>
      <c r="N118">
        <v>2</v>
      </c>
      <c r="O118" t="s">
        <v>20</v>
      </c>
      <c r="P118" t="s">
        <v>21</v>
      </c>
      <c r="Q118" t="s">
        <v>30</v>
      </c>
      <c r="R118" t="str">
        <f>VLOOKUP($O118,'Mapa Oficinas'!$A$7:$C$46,2,FALSE)</f>
        <v>CABA</v>
      </c>
      <c r="S118" t="str">
        <f>VLOOKUP($O118,'Mapa Oficinas'!$A$7:$C$46,3,FALSE)</f>
        <v>Palermo</v>
      </c>
    </row>
    <row r="119" spans="1:19" x14ac:dyDescent="0.2">
      <c r="A119" s="1">
        <v>45687</v>
      </c>
      <c r="B119" t="s">
        <v>8211</v>
      </c>
      <c r="D119" t="s">
        <v>8212</v>
      </c>
      <c r="E119" t="s">
        <v>16</v>
      </c>
      <c r="F119" t="s">
        <v>17</v>
      </c>
      <c r="G119" s="14">
        <v>200000</v>
      </c>
      <c r="H119" s="14">
        <v>180000</v>
      </c>
      <c r="I119" t="s">
        <v>22</v>
      </c>
      <c r="J119" t="s">
        <v>22</v>
      </c>
      <c r="K119" t="s">
        <v>8213</v>
      </c>
      <c r="L119" t="s">
        <v>856</v>
      </c>
      <c r="M119" t="s">
        <v>19</v>
      </c>
      <c r="N119">
        <v>2</v>
      </c>
      <c r="O119" t="s">
        <v>103</v>
      </c>
      <c r="P119" t="s">
        <v>276</v>
      </c>
      <c r="Q119" t="s">
        <v>30</v>
      </c>
      <c r="R119" t="str">
        <f>VLOOKUP($O119,'Mapa Oficinas'!$A$7:$C$46,2,FALSE)</f>
        <v>CABA</v>
      </c>
      <c r="S119" t="str">
        <f>VLOOKUP($O119,'Mapa Oficinas'!$A$7:$C$46,3,FALSE)</f>
        <v>Barrio Parque</v>
      </c>
    </row>
    <row r="120" spans="1:19" x14ac:dyDescent="0.2">
      <c r="A120" s="1">
        <v>45687</v>
      </c>
      <c r="B120" t="s">
        <v>8223</v>
      </c>
      <c r="D120" t="s">
        <v>8224</v>
      </c>
      <c r="E120" t="s">
        <v>16</v>
      </c>
      <c r="F120" t="s">
        <v>17</v>
      </c>
      <c r="G120" s="14">
        <v>365000</v>
      </c>
      <c r="H120" s="14">
        <v>342000</v>
      </c>
      <c r="I120" t="s">
        <v>22</v>
      </c>
      <c r="J120" t="s">
        <v>22</v>
      </c>
      <c r="K120" t="s">
        <v>8225</v>
      </c>
      <c r="L120" t="s">
        <v>564</v>
      </c>
      <c r="M120" t="s">
        <v>19</v>
      </c>
      <c r="N120">
        <v>2</v>
      </c>
      <c r="O120" t="s">
        <v>142</v>
      </c>
      <c r="P120" t="s">
        <v>21</v>
      </c>
      <c r="Q120" t="s">
        <v>30</v>
      </c>
      <c r="R120" t="str">
        <f>VLOOKUP($O120,'Mapa Oficinas'!$A$7:$C$46,2,FALSE)</f>
        <v>Zona Norte (GBA)</v>
      </c>
      <c r="S120" t="str">
        <f>VLOOKUP($O120,'Mapa Oficinas'!$A$7:$C$46,3,FALSE)</f>
        <v>Nordelta</v>
      </c>
    </row>
    <row r="121" spans="1:19" x14ac:dyDescent="0.2">
      <c r="A121" s="1">
        <v>45688</v>
      </c>
      <c r="B121" t="s">
        <v>8206</v>
      </c>
      <c r="D121" t="s">
        <v>8207</v>
      </c>
      <c r="E121" t="s">
        <v>16</v>
      </c>
      <c r="F121" t="s">
        <v>17</v>
      </c>
      <c r="G121" s="14">
        <v>144000</v>
      </c>
      <c r="H121" s="14">
        <v>135000</v>
      </c>
      <c r="I121" t="s">
        <v>22</v>
      </c>
      <c r="J121" t="s">
        <v>22</v>
      </c>
      <c r="K121" t="s">
        <v>8207</v>
      </c>
      <c r="L121" t="s">
        <v>607</v>
      </c>
      <c r="M121" t="s">
        <v>19</v>
      </c>
      <c r="N121">
        <v>2</v>
      </c>
      <c r="O121" t="s">
        <v>40</v>
      </c>
      <c r="P121" t="s">
        <v>21</v>
      </c>
      <c r="Q121" t="s">
        <v>30</v>
      </c>
      <c r="R121" t="str">
        <f>VLOOKUP($O121,'Mapa Oficinas'!$A$7:$C$46,2,FALSE)</f>
        <v>Zona Norte (GBA)</v>
      </c>
      <c r="S121" t="str">
        <f>VLOOKUP($O121,'Mapa Oficinas'!$A$7:$C$46,3,FALSE)</f>
        <v>Pilar</v>
      </c>
    </row>
    <row r="122" spans="1:19" x14ac:dyDescent="0.2">
      <c r="A122" s="1">
        <v>45688</v>
      </c>
      <c r="B122" t="s">
        <v>8204</v>
      </c>
      <c r="D122" t="s">
        <v>546</v>
      </c>
      <c r="E122" t="s">
        <v>16</v>
      </c>
      <c r="F122" t="s">
        <v>17</v>
      </c>
      <c r="G122" s="14">
        <v>175689</v>
      </c>
      <c r="H122" s="14">
        <v>175689</v>
      </c>
      <c r="I122" t="s">
        <v>22</v>
      </c>
      <c r="J122" t="s">
        <v>22</v>
      </c>
      <c r="K122" t="s">
        <v>8205</v>
      </c>
      <c r="L122" t="s">
        <v>191</v>
      </c>
      <c r="M122" t="s">
        <v>19</v>
      </c>
      <c r="N122">
        <v>2</v>
      </c>
      <c r="O122" t="s">
        <v>29</v>
      </c>
      <c r="P122" t="s">
        <v>36</v>
      </c>
      <c r="Q122" t="s">
        <v>30</v>
      </c>
      <c r="R122" t="str">
        <f>VLOOKUP($O122,'Mapa Oficinas'!$A$7:$C$46,2,FALSE)</f>
        <v>CABA</v>
      </c>
      <c r="S122" t="str">
        <f>VLOOKUP($O122,'Mapa Oficinas'!$A$7:$C$46,3,FALSE)</f>
        <v>Núñez</v>
      </c>
    </row>
    <row r="123" spans="1:19" x14ac:dyDescent="0.2">
      <c r="A123" s="1">
        <v>45688</v>
      </c>
      <c r="B123" t="s">
        <v>8201</v>
      </c>
      <c r="D123" t="s">
        <v>8202</v>
      </c>
      <c r="E123" t="s">
        <v>16</v>
      </c>
      <c r="F123" t="s">
        <v>17</v>
      </c>
      <c r="G123" s="14">
        <v>189000</v>
      </c>
      <c r="H123" s="14">
        <v>185000</v>
      </c>
      <c r="I123" t="s">
        <v>22</v>
      </c>
      <c r="J123" t="s">
        <v>22</v>
      </c>
      <c r="K123" t="s">
        <v>8203</v>
      </c>
      <c r="L123" t="s">
        <v>102</v>
      </c>
      <c r="M123" t="s">
        <v>19</v>
      </c>
      <c r="N123">
        <v>2</v>
      </c>
      <c r="O123" t="s">
        <v>103</v>
      </c>
      <c r="P123" t="s">
        <v>21</v>
      </c>
      <c r="Q123" t="s">
        <v>30</v>
      </c>
      <c r="R123" t="str">
        <f>VLOOKUP($O123,'Mapa Oficinas'!$A$7:$C$46,2,FALSE)</f>
        <v>CABA</v>
      </c>
      <c r="S123" t="str">
        <f>VLOOKUP($O123,'Mapa Oficinas'!$A$7:$C$46,3,FALSE)</f>
        <v>Barrio Parque</v>
      </c>
    </row>
    <row r="124" spans="1:19" x14ac:dyDescent="0.2">
      <c r="A124" s="1">
        <v>45688</v>
      </c>
      <c r="B124">
        <v>10227</v>
      </c>
      <c r="D124" t="s">
        <v>8197</v>
      </c>
      <c r="E124" t="s">
        <v>16</v>
      </c>
      <c r="F124" t="s">
        <v>127</v>
      </c>
      <c r="G124" s="14">
        <v>0</v>
      </c>
      <c r="H124" s="14">
        <v>385000</v>
      </c>
      <c r="I124" t="s">
        <v>22</v>
      </c>
      <c r="J124" t="s">
        <v>22</v>
      </c>
      <c r="L124" t="s">
        <v>277</v>
      </c>
      <c r="M124" t="s">
        <v>19</v>
      </c>
      <c r="N124">
        <v>1</v>
      </c>
      <c r="O124" t="s">
        <v>103</v>
      </c>
      <c r="P124" t="s">
        <v>146</v>
      </c>
      <c r="Q124" t="s">
        <v>30</v>
      </c>
      <c r="R124" t="str">
        <f>VLOOKUP($O124,'Mapa Oficinas'!$A$7:$C$46,2,FALSE)</f>
        <v>CABA</v>
      </c>
      <c r="S124" t="str">
        <f>VLOOKUP($O124,'Mapa Oficinas'!$A$7:$C$46,3,FALSE)</f>
        <v>Barrio Parque</v>
      </c>
    </row>
    <row r="125" spans="1:19" x14ac:dyDescent="0.2">
      <c r="A125" s="1">
        <v>45688</v>
      </c>
      <c r="B125" t="s">
        <v>8198</v>
      </c>
      <c r="D125" t="s">
        <v>8199</v>
      </c>
      <c r="E125" t="s">
        <v>16</v>
      </c>
      <c r="F125" t="s">
        <v>17</v>
      </c>
      <c r="G125" s="14">
        <v>600000</v>
      </c>
      <c r="H125" s="14">
        <v>580000</v>
      </c>
      <c r="I125" t="s">
        <v>22</v>
      </c>
      <c r="J125" t="s">
        <v>22</v>
      </c>
      <c r="K125" t="s">
        <v>8200</v>
      </c>
      <c r="L125" t="s">
        <v>503</v>
      </c>
      <c r="M125" t="s">
        <v>28</v>
      </c>
      <c r="N125">
        <v>2</v>
      </c>
      <c r="O125" t="s">
        <v>103</v>
      </c>
      <c r="P125" t="s">
        <v>21</v>
      </c>
      <c r="Q125" t="s">
        <v>30</v>
      </c>
      <c r="R125" t="str">
        <f>VLOOKUP($O125,'Mapa Oficinas'!$A$7:$C$46,2,FALSE)</f>
        <v>CABA</v>
      </c>
      <c r="S125" t="str">
        <f>VLOOKUP($O125,'Mapa Oficinas'!$A$7:$C$46,3,FALSE)</f>
        <v>Barrio Parque</v>
      </c>
    </row>
    <row r="126" spans="1:19" x14ac:dyDescent="0.2">
      <c r="A126" s="1">
        <v>45691</v>
      </c>
      <c r="B126" t="s">
        <v>8191</v>
      </c>
      <c r="D126" t="s">
        <v>8191</v>
      </c>
      <c r="E126" t="s">
        <v>16</v>
      </c>
      <c r="F126" t="s">
        <v>58</v>
      </c>
      <c r="G126" s="14">
        <v>72000</v>
      </c>
      <c r="H126" s="14">
        <v>72000</v>
      </c>
      <c r="I126" t="s">
        <v>22</v>
      </c>
      <c r="J126" t="s">
        <v>22</v>
      </c>
      <c r="K126" t="s">
        <v>8191</v>
      </c>
      <c r="L126" t="s">
        <v>523</v>
      </c>
      <c r="M126" t="s">
        <v>19</v>
      </c>
      <c r="N126">
        <v>2</v>
      </c>
      <c r="O126" t="s">
        <v>50</v>
      </c>
      <c r="P126" t="s">
        <v>21</v>
      </c>
      <c r="Q126" t="s">
        <v>30</v>
      </c>
      <c r="R126" t="str">
        <f>VLOOKUP($O126,'Mapa Oficinas'!$A$7:$C$46,2,FALSE)</f>
        <v>CABA</v>
      </c>
      <c r="S126" t="str">
        <f>VLOOKUP($O126,'Mapa Oficinas'!$A$7:$C$46,3,FALSE)</f>
        <v>Villa Urquiza</v>
      </c>
    </row>
    <row r="127" spans="1:19" x14ac:dyDescent="0.2">
      <c r="A127" s="1">
        <v>45691</v>
      </c>
      <c r="D127" t="s">
        <v>8192</v>
      </c>
      <c r="E127" t="s">
        <v>16</v>
      </c>
      <c r="F127" t="s">
        <v>82</v>
      </c>
      <c r="G127" s="14">
        <v>90000</v>
      </c>
      <c r="H127" s="14">
        <v>90000</v>
      </c>
      <c r="I127" t="s">
        <v>22</v>
      </c>
      <c r="J127" t="s">
        <v>22</v>
      </c>
      <c r="K127" t="s">
        <v>8193</v>
      </c>
      <c r="L127" t="s">
        <v>442</v>
      </c>
      <c r="M127" t="s">
        <v>97</v>
      </c>
      <c r="N127">
        <v>1</v>
      </c>
      <c r="O127" t="s">
        <v>98</v>
      </c>
      <c r="P127" t="s">
        <v>131</v>
      </c>
      <c r="Q127" t="s">
        <v>30</v>
      </c>
      <c r="R127" t="str">
        <f>VLOOKUP($O127,'Mapa Oficinas'!$A$7:$C$46,2,FALSE)</f>
        <v>Interior - Neuquén</v>
      </c>
      <c r="S127" t="str">
        <f>VLOOKUP($O127,'Mapa Oficinas'!$A$7:$C$46,3,FALSE)</f>
        <v>Villa La Angostura</v>
      </c>
    </row>
    <row r="128" spans="1:19" x14ac:dyDescent="0.2">
      <c r="A128" s="1">
        <v>45691</v>
      </c>
      <c r="B128" t="s">
        <v>8194</v>
      </c>
      <c r="D128" t="s">
        <v>8195</v>
      </c>
      <c r="E128" t="s">
        <v>16</v>
      </c>
      <c r="F128" t="s">
        <v>17</v>
      </c>
      <c r="G128" s="14">
        <v>240000</v>
      </c>
      <c r="H128" s="14">
        <v>219000</v>
      </c>
      <c r="I128" t="s">
        <v>22</v>
      </c>
      <c r="J128" t="s">
        <v>22</v>
      </c>
      <c r="K128" t="s">
        <v>8196</v>
      </c>
      <c r="L128" t="s">
        <v>298</v>
      </c>
      <c r="M128" t="s">
        <v>19</v>
      </c>
      <c r="N128">
        <v>2</v>
      </c>
      <c r="O128" t="s">
        <v>20</v>
      </c>
      <c r="P128" t="s">
        <v>276</v>
      </c>
      <c r="Q128" t="s">
        <v>30</v>
      </c>
      <c r="R128" t="str">
        <f>VLOOKUP($O128,'Mapa Oficinas'!$A$7:$C$46,2,FALSE)</f>
        <v>CABA</v>
      </c>
      <c r="S128" t="str">
        <f>VLOOKUP($O128,'Mapa Oficinas'!$A$7:$C$46,3,FALSE)</f>
        <v>Palermo</v>
      </c>
    </row>
    <row r="129" spans="1:19" x14ac:dyDescent="0.2">
      <c r="A129" s="1">
        <v>45692</v>
      </c>
      <c r="B129" t="s">
        <v>8173</v>
      </c>
      <c r="D129" t="s">
        <v>8174</v>
      </c>
      <c r="E129" t="s">
        <v>16</v>
      </c>
      <c r="F129" t="s">
        <v>82</v>
      </c>
      <c r="G129" s="14">
        <v>152000</v>
      </c>
      <c r="H129" s="14">
        <v>144000</v>
      </c>
      <c r="I129" t="s">
        <v>22</v>
      </c>
      <c r="J129" t="s">
        <v>22</v>
      </c>
      <c r="K129" t="s">
        <v>8175</v>
      </c>
      <c r="L129" t="s">
        <v>2546</v>
      </c>
      <c r="M129" t="s">
        <v>28</v>
      </c>
      <c r="N129">
        <v>2</v>
      </c>
      <c r="O129" t="s">
        <v>85</v>
      </c>
      <c r="P129" t="s">
        <v>41</v>
      </c>
      <c r="Q129" t="s">
        <v>30</v>
      </c>
      <c r="R129" t="str">
        <f>VLOOKUP($O129,'Mapa Oficinas'!$A$7:$C$46,2,FALSE)</f>
        <v>Interior - Jujuy</v>
      </c>
      <c r="S129" t="str">
        <f>VLOOKUP($O129,'Mapa Oficinas'!$A$7:$C$46,3,FALSE)</f>
        <v>Capital Jujuy</v>
      </c>
    </row>
    <row r="130" spans="1:19" x14ac:dyDescent="0.2">
      <c r="A130" s="1">
        <v>45692</v>
      </c>
      <c r="B130" t="s">
        <v>8181</v>
      </c>
      <c r="D130" t="s">
        <v>8182</v>
      </c>
      <c r="E130" t="s">
        <v>16</v>
      </c>
      <c r="F130" t="s">
        <v>17</v>
      </c>
      <c r="G130" s="14">
        <v>185000</v>
      </c>
      <c r="H130" s="14">
        <v>190000</v>
      </c>
      <c r="I130" t="s">
        <v>22</v>
      </c>
      <c r="J130" t="s">
        <v>22</v>
      </c>
      <c r="K130" t="s">
        <v>8183</v>
      </c>
      <c r="L130" t="s">
        <v>1274</v>
      </c>
      <c r="M130" t="s">
        <v>19</v>
      </c>
      <c r="N130">
        <v>2</v>
      </c>
      <c r="O130" t="s">
        <v>142</v>
      </c>
      <c r="P130" t="s">
        <v>276</v>
      </c>
      <c r="Q130" t="s">
        <v>30</v>
      </c>
      <c r="R130" t="str">
        <f>VLOOKUP($O130,'Mapa Oficinas'!$A$7:$C$46,2,FALSE)</f>
        <v>Zona Norte (GBA)</v>
      </c>
      <c r="S130" t="str">
        <f>VLOOKUP($O130,'Mapa Oficinas'!$A$7:$C$46,3,FALSE)</f>
        <v>Nordelta</v>
      </c>
    </row>
    <row r="131" spans="1:19" x14ac:dyDescent="0.2">
      <c r="A131" s="1">
        <v>45692</v>
      </c>
      <c r="B131" t="s">
        <v>8179</v>
      </c>
      <c r="D131" t="s">
        <v>8180</v>
      </c>
      <c r="E131" t="s">
        <v>16</v>
      </c>
      <c r="F131" t="s">
        <v>17</v>
      </c>
      <c r="G131" s="14">
        <v>255000</v>
      </c>
      <c r="H131" s="14">
        <v>255000</v>
      </c>
      <c r="I131" t="s">
        <v>22</v>
      </c>
      <c r="J131" t="s">
        <v>22</v>
      </c>
      <c r="L131" t="s">
        <v>282</v>
      </c>
      <c r="M131" t="s">
        <v>19</v>
      </c>
      <c r="N131">
        <v>2</v>
      </c>
      <c r="O131" t="s">
        <v>359</v>
      </c>
      <c r="P131" t="s">
        <v>21</v>
      </c>
      <c r="Q131" t="s">
        <v>30</v>
      </c>
      <c r="R131" t="str">
        <f>VLOOKUP($O131,'Mapa Oficinas'!$A$7:$C$46,2,FALSE)</f>
        <v>CABA</v>
      </c>
      <c r="S131" t="str">
        <f>VLOOKUP($O131,'Mapa Oficinas'!$A$7:$C$46,3,FALSE)</f>
        <v>Palermo</v>
      </c>
    </row>
    <row r="132" spans="1:19" x14ac:dyDescent="0.2">
      <c r="A132" s="1">
        <v>45692</v>
      </c>
      <c r="B132" t="s">
        <v>8188</v>
      </c>
      <c r="D132" t="s">
        <v>8189</v>
      </c>
      <c r="E132" t="s">
        <v>16</v>
      </c>
      <c r="F132" t="s">
        <v>17</v>
      </c>
      <c r="G132" s="14">
        <v>340000</v>
      </c>
      <c r="H132" s="14">
        <v>340000</v>
      </c>
      <c r="I132" t="s">
        <v>22</v>
      </c>
      <c r="J132" t="s">
        <v>22</v>
      </c>
      <c r="L132" t="s">
        <v>8190</v>
      </c>
      <c r="M132" t="s">
        <v>28</v>
      </c>
      <c r="N132">
        <v>2</v>
      </c>
      <c r="O132" t="s">
        <v>151</v>
      </c>
      <c r="P132" t="s">
        <v>41</v>
      </c>
      <c r="Q132" t="s">
        <v>30</v>
      </c>
      <c r="R132" t="str">
        <f>VLOOKUP($O132,'Mapa Oficinas'!$A$7:$C$46,2,FALSE)</f>
        <v>Interior - Neuquén</v>
      </c>
      <c r="S132" t="str">
        <f>VLOOKUP($O132,'Mapa Oficinas'!$A$7:$C$46,3,FALSE)</f>
        <v>Capital Neuquén</v>
      </c>
    </row>
    <row r="133" spans="1:19" x14ac:dyDescent="0.2">
      <c r="A133" s="1">
        <v>45693</v>
      </c>
      <c r="B133" t="s">
        <v>8164</v>
      </c>
      <c r="D133" t="s">
        <v>8165</v>
      </c>
      <c r="E133" t="s">
        <v>16</v>
      </c>
      <c r="F133" t="s">
        <v>17</v>
      </c>
      <c r="G133" s="14">
        <v>45000</v>
      </c>
      <c r="H133" s="14">
        <v>45000</v>
      </c>
      <c r="I133" t="s">
        <v>22</v>
      </c>
      <c r="J133" t="s">
        <v>22</v>
      </c>
      <c r="K133" t="s">
        <v>8166</v>
      </c>
      <c r="L133" t="s">
        <v>2072</v>
      </c>
      <c r="M133" t="s">
        <v>19</v>
      </c>
      <c r="N133">
        <v>2</v>
      </c>
      <c r="O133" t="s">
        <v>65</v>
      </c>
      <c r="P133" t="s">
        <v>276</v>
      </c>
      <c r="Q133" t="s">
        <v>30</v>
      </c>
      <c r="R133" t="str">
        <f>VLOOKUP($O133,'Mapa Oficinas'!$A$7:$C$46,2,FALSE)</f>
        <v>Interior - Mendoza</v>
      </c>
      <c r="S133" t="str">
        <f>VLOOKUP($O133,'Mapa Oficinas'!$A$7:$C$46,3,FALSE)</f>
        <v>Capital Mendoza</v>
      </c>
    </row>
    <row r="134" spans="1:19" x14ac:dyDescent="0.2">
      <c r="A134" s="1">
        <v>45693</v>
      </c>
      <c r="B134" t="s">
        <v>8161</v>
      </c>
      <c r="D134" t="s">
        <v>8162</v>
      </c>
      <c r="E134" t="s">
        <v>16</v>
      </c>
      <c r="F134" t="s">
        <v>17</v>
      </c>
      <c r="G134" s="14">
        <v>75000</v>
      </c>
      <c r="H134" s="14">
        <v>64000</v>
      </c>
      <c r="I134" t="s">
        <v>22</v>
      </c>
      <c r="J134" t="s">
        <v>22</v>
      </c>
      <c r="K134" t="s">
        <v>8163</v>
      </c>
      <c r="L134" t="s">
        <v>102</v>
      </c>
      <c r="M134" t="s">
        <v>72</v>
      </c>
      <c r="N134">
        <v>2</v>
      </c>
      <c r="O134" t="s">
        <v>389</v>
      </c>
      <c r="P134" t="s">
        <v>21</v>
      </c>
      <c r="Q134" t="s">
        <v>30</v>
      </c>
      <c r="R134" t="str">
        <f>VLOOKUP($O134,'Mapa Oficinas'!$A$7:$C$46,2,FALSE)</f>
        <v>Zona Norte (GBA)</v>
      </c>
      <c r="S134" t="str">
        <f>VLOOKUP($O134,'Mapa Oficinas'!$A$7:$C$46,3,FALSE)</f>
        <v>Escobar</v>
      </c>
    </row>
    <row r="135" spans="1:19" x14ac:dyDescent="0.2">
      <c r="A135" s="1">
        <v>45693</v>
      </c>
      <c r="B135" t="s">
        <v>8171</v>
      </c>
      <c r="D135" t="s">
        <v>8172</v>
      </c>
      <c r="E135" t="s">
        <v>16</v>
      </c>
      <c r="F135" t="s">
        <v>17</v>
      </c>
      <c r="G135" s="14">
        <v>120000</v>
      </c>
      <c r="H135" s="14">
        <v>118000</v>
      </c>
      <c r="I135" t="s">
        <v>22</v>
      </c>
      <c r="J135" t="s">
        <v>22</v>
      </c>
      <c r="K135" t="s">
        <v>7200</v>
      </c>
      <c r="L135" t="s">
        <v>503</v>
      </c>
      <c r="M135" t="s">
        <v>19</v>
      </c>
      <c r="N135">
        <v>2</v>
      </c>
      <c r="O135" t="s">
        <v>20</v>
      </c>
      <c r="P135" t="s">
        <v>276</v>
      </c>
      <c r="Q135" t="s">
        <v>30</v>
      </c>
      <c r="R135" t="str">
        <f>VLOOKUP($O135,'Mapa Oficinas'!$A$7:$C$46,2,FALSE)</f>
        <v>CABA</v>
      </c>
      <c r="S135" t="str">
        <f>VLOOKUP($O135,'Mapa Oficinas'!$A$7:$C$46,3,FALSE)</f>
        <v>Palermo</v>
      </c>
    </row>
    <row r="136" spans="1:19" x14ac:dyDescent="0.2">
      <c r="A136" s="1">
        <v>45693</v>
      </c>
      <c r="B136" t="s">
        <v>8167</v>
      </c>
      <c r="D136" t="s">
        <v>8167</v>
      </c>
      <c r="E136" t="s">
        <v>16</v>
      </c>
      <c r="F136" t="s">
        <v>58</v>
      </c>
      <c r="G136" s="14">
        <v>130000</v>
      </c>
      <c r="H136" s="14">
        <v>130000</v>
      </c>
      <c r="I136" t="s">
        <v>22</v>
      </c>
      <c r="J136" t="s">
        <v>22</v>
      </c>
      <c r="L136" t="s">
        <v>523</v>
      </c>
      <c r="M136" t="s">
        <v>19</v>
      </c>
      <c r="N136">
        <v>2</v>
      </c>
      <c r="O136" t="s">
        <v>50</v>
      </c>
      <c r="P136" t="s">
        <v>21</v>
      </c>
      <c r="Q136" t="s">
        <v>30</v>
      </c>
      <c r="R136" t="str">
        <f>VLOOKUP($O136,'Mapa Oficinas'!$A$7:$C$46,2,FALSE)</f>
        <v>CABA</v>
      </c>
      <c r="S136" t="str">
        <f>VLOOKUP($O136,'Mapa Oficinas'!$A$7:$C$46,3,FALSE)</f>
        <v>Villa Urquiza</v>
      </c>
    </row>
    <row r="137" spans="1:19" x14ac:dyDescent="0.2">
      <c r="A137" s="1">
        <v>45693</v>
      </c>
      <c r="B137" t="s">
        <v>8168</v>
      </c>
      <c r="D137" t="s">
        <v>8169</v>
      </c>
      <c r="E137" t="s">
        <v>16</v>
      </c>
      <c r="F137" t="s">
        <v>17</v>
      </c>
      <c r="G137" s="14">
        <v>339000</v>
      </c>
      <c r="H137" s="14">
        <v>325000</v>
      </c>
      <c r="I137" t="s">
        <v>22</v>
      </c>
      <c r="J137" t="s">
        <v>22</v>
      </c>
      <c r="K137" t="s">
        <v>8170</v>
      </c>
      <c r="L137" t="s">
        <v>237</v>
      </c>
      <c r="M137" t="s">
        <v>28</v>
      </c>
      <c r="N137">
        <v>2</v>
      </c>
      <c r="O137" t="s">
        <v>20</v>
      </c>
      <c r="P137" t="s">
        <v>276</v>
      </c>
      <c r="Q137" t="s">
        <v>30</v>
      </c>
      <c r="R137" t="str">
        <f>VLOOKUP($O137,'Mapa Oficinas'!$A$7:$C$46,2,FALSE)</f>
        <v>CABA</v>
      </c>
      <c r="S137" t="str">
        <f>VLOOKUP($O137,'Mapa Oficinas'!$A$7:$C$46,3,FALSE)</f>
        <v>Palermo</v>
      </c>
    </row>
    <row r="138" spans="1:19" x14ac:dyDescent="0.2">
      <c r="A138" s="1">
        <v>45694</v>
      </c>
      <c r="D138" t="s">
        <v>8153</v>
      </c>
      <c r="E138" t="s">
        <v>16</v>
      </c>
      <c r="F138" t="s">
        <v>47</v>
      </c>
      <c r="G138" s="14">
        <v>37000</v>
      </c>
      <c r="H138" s="14">
        <v>37000</v>
      </c>
      <c r="I138" t="s">
        <v>22</v>
      </c>
      <c r="J138" t="s">
        <v>22</v>
      </c>
      <c r="K138" t="s">
        <v>8154</v>
      </c>
      <c r="L138" t="s">
        <v>915</v>
      </c>
      <c r="M138" t="s">
        <v>97</v>
      </c>
      <c r="N138">
        <v>2</v>
      </c>
      <c r="O138" t="s">
        <v>98</v>
      </c>
      <c r="P138" t="s">
        <v>44</v>
      </c>
      <c r="Q138" t="s">
        <v>30</v>
      </c>
      <c r="R138" t="str">
        <f>VLOOKUP($O138,'Mapa Oficinas'!$A$7:$C$46,2,FALSE)</f>
        <v>Interior - Neuquén</v>
      </c>
      <c r="S138" t="str">
        <f>VLOOKUP($O138,'Mapa Oficinas'!$A$7:$C$46,3,FALSE)</f>
        <v>Villa La Angostura</v>
      </c>
    </row>
    <row r="139" spans="1:19" x14ac:dyDescent="0.2">
      <c r="A139" s="1">
        <v>45694</v>
      </c>
      <c r="B139" t="s">
        <v>7609</v>
      </c>
      <c r="D139" t="s">
        <v>7610</v>
      </c>
      <c r="E139" t="s">
        <v>16</v>
      </c>
      <c r="F139" t="s">
        <v>17</v>
      </c>
      <c r="G139" s="14">
        <v>52000</v>
      </c>
      <c r="H139" s="14">
        <v>48000</v>
      </c>
      <c r="I139" t="s">
        <v>22</v>
      </c>
      <c r="J139" t="s">
        <v>22</v>
      </c>
      <c r="K139" t="s">
        <v>7611</v>
      </c>
      <c r="L139" t="s">
        <v>821</v>
      </c>
      <c r="M139" t="s">
        <v>97</v>
      </c>
      <c r="N139">
        <v>2</v>
      </c>
      <c r="O139" t="s">
        <v>151</v>
      </c>
      <c r="P139" t="s">
        <v>21</v>
      </c>
      <c r="Q139" t="s">
        <v>30</v>
      </c>
      <c r="R139" t="str">
        <f>VLOOKUP($O139,'Mapa Oficinas'!$A$7:$C$46,2,FALSE)</f>
        <v>Interior - Neuquén</v>
      </c>
      <c r="S139" t="str">
        <f>VLOOKUP($O139,'Mapa Oficinas'!$A$7:$C$46,3,FALSE)</f>
        <v>Capital Neuquén</v>
      </c>
    </row>
    <row r="140" spans="1:19" x14ac:dyDescent="0.2">
      <c r="A140" s="1">
        <v>45694</v>
      </c>
      <c r="B140" t="s">
        <v>8158</v>
      </c>
      <c r="D140" t="s">
        <v>8159</v>
      </c>
      <c r="E140" t="s">
        <v>16</v>
      </c>
      <c r="F140" t="s">
        <v>17</v>
      </c>
      <c r="G140" s="14">
        <v>209900</v>
      </c>
      <c r="H140" s="14">
        <v>200000</v>
      </c>
      <c r="I140" t="s">
        <v>22</v>
      </c>
      <c r="J140" t="s">
        <v>22</v>
      </c>
      <c r="K140" t="s">
        <v>8160</v>
      </c>
      <c r="L140" t="s">
        <v>277</v>
      </c>
      <c r="M140" t="s">
        <v>19</v>
      </c>
      <c r="N140">
        <v>2</v>
      </c>
      <c r="O140" t="s">
        <v>103</v>
      </c>
      <c r="P140" t="s">
        <v>21</v>
      </c>
      <c r="Q140" t="s">
        <v>30</v>
      </c>
      <c r="R140" t="str">
        <f>VLOOKUP($O140,'Mapa Oficinas'!$A$7:$C$46,2,FALSE)</f>
        <v>CABA</v>
      </c>
      <c r="S140" t="str">
        <f>VLOOKUP($O140,'Mapa Oficinas'!$A$7:$C$46,3,FALSE)</f>
        <v>Barrio Parque</v>
      </c>
    </row>
    <row r="141" spans="1:19" x14ac:dyDescent="0.2">
      <c r="A141" s="1">
        <v>45695</v>
      </c>
      <c r="D141" t="s">
        <v>8151</v>
      </c>
      <c r="E141" t="s">
        <v>16</v>
      </c>
      <c r="F141" t="s">
        <v>1708</v>
      </c>
      <c r="G141" s="14">
        <v>74950</v>
      </c>
      <c r="H141" s="14">
        <v>74950</v>
      </c>
      <c r="I141" t="s">
        <v>22</v>
      </c>
      <c r="J141" t="s">
        <v>22</v>
      </c>
      <c r="K141" t="s">
        <v>2121</v>
      </c>
      <c r="L141" t="s">
        <v>442</v>
      </c>
      <c r="M141" t="s">
        <v>19</v>
      </c>
      <c r="N141">
        <v>2</v>
      </c>
      <c r="O141" t="s">
        <v>98</v>
      </c>
      <c r="P141" t="s">
        <v>41</v>
      </c>
      <c r="Q141" t="s">
        <v>30</v>
      </c>
      <c r="R141" t="str">
        <f>VLOOKUP($O141,'Mapa Oficinas'!$A$7:$C$46,2,FALSE)</f>
        <v>Interior - Neuquén</v>
      </c>
      <c r="S141" t="str">
        <f>VLOOKUP($O141,'Mapa Oficinas'!$A$7:$C$46,3,FALSE)</f>
        <v>Villa La Angostura</v>
      </c>
    </row>
    <row r="142" spans="1:19" x14ac:dyDescent="0.2">
      <c r="A142" s="1">
        <v>45695</v>
      </c>
      <c r="B142" t="s">
        <v>8145</v>
      </c>
      <c r="D142" t="s">
        <v>8146</v>
      </c>
      <c r="E142" t="s">
        <v>16</v>
      </c>
      <c r="F142" t="s">
        <v>17</v>
      </c>
      <c r="G142" s="14">
        <v>100000</v>
      </c>
      <c r="H142" s="14">
        <v>112000</v>
      </c>
      <c r="I142" t="s">
        <v>22</v>
      </c>
      <c r="J142" t="s">
        <v>22</v>
      </c>
      <c r="K142" t="s">
        <v>8147</v>
      </c>
      <c r="L142" t="s">
        <v>4510</v>
      </c>
      <c r="M142" t="s">
        <v>28</v>
      </c>
      <c r="N142">
        <v>2</v>
      </c>
      <c r="O142" t="s">
        <v>1081</v>
      </c>
      <c r="P142" t="s">
        <v>21</v>
      </c>
      <c r="Q142" t="s">
        <v>30</v>
      </c>
      <c r="R142" t="str">
        <f>VLOOKUP($O142,'Mapa Oficinas'!$A$7:$C$46,2,FALSE)</f>
        <v>Zona Sur (GBA)</v>
      </c>
      <c r="S142" t="str">
        <f>VLOOKUP($O142,'Mapa Oficinas'!$A$7:$C$46,3,FALSE)</f>
        <v>Canning</v>
      </c>
    </row>
    <row r="143" spans="1:19" x14ac:dyDescent="0.2">
      <c r="A143" s="1">
        <v>45695</v>
      </c>
      <c r="B143" t="s">
        <v>8152</v>
      </c>
      <c r="D143" t="s">
        <v>8152</v>
      </c>
      <c r="E143" t="s">
        <v>16</v>
      </c>
      <c r="F143" t="s">
        <v>17</v>
      </c>
      <c r="G143" s="14">
        <v>130000</v>
      </c>
      <c r="H143" s="14">
        <v>130000</v>
      </c>
      <c r="I143" t="s">
        <v>22</v>
      </c>
      <c r="J143" t="s">
        <v>22</v>
      </c>
      <c r="K143" t="s">
        <v>8152</v>
      </c>
      <c r="L143" t="s">
        <v>195</v>
      </c>
      <c r="M143" t="s">
        <v>19</v>
      </c>
      <c r="N143">
        <v>2</v>
      </c>
      <c r="O143" t="s">
        <v>35</v>
      </c>
      <c r="P143" t="s">
        <v>21</v>
      </c>
      <c r="Q143" t="s">
        <v>30</v>
      </c>
      <c r="R143" t="str">
        <f>VLOOKUP($O143,'Mapa Oficinas'!$A$7:$C$46,2,FALSE)</f>
        <v>Zona Norte (GBA)</v>
      </c>
      <c r="S143" t="str">
        <f>VLOOKUP($O143,'Mapa Oficinas'!$A$7:$C$46,3,FALSE)</f>
        <v>Vicente López</v>
      </c>
    </row>
    <row r="144" spans="1:19" x14ac:dyDescent="0.2">
      <c r="A144" s="1">
        <v>45695</v>
      </c>
      <c r="B144" t="s">
        <v>8142</v>
      </c>
      <c r="D144" t="s">
        <v>8143</v>
      </c>
      <c r="E144" t="s">
        <v>16</v>
      </c>
      <c r="F144" t="s">
        <v>17</v>
      </c>
      <c r="G144" s="14">
        <v>168000</v>
      </c>
      <c r="H144" s="14">
        <v>163000</v>
      </c>
      <c r="I144" t="s">
        <v>22</v>
      </c>
      <c r="J144" t="s">
        <v>22</v>
      </c>
      <c r="K144" t="s">
        <v>8144</v>
      </c>
      <c r="L144" t="s">
        <v>1077</v>
      </c>
      <c r="M144" t="s">
        <v>19</v>
      </c>
      <c r="N144">
        <v>2</v>
      </c>
      <c r="O144" t="s">
        <v>206</v>
      </c>
      <c r="P144" t="s">
        <v>21</v>
      </c>
      <c r="Q144" t="s">
        <v>30</v>
      </c>
      <c r="R144" t="str">
        <f>VLOOKUP($O144,'Mapa Oficinas'!$A$7:$C$46,2,FALSE)</f>
        <v>CABA</v>
      </c>
      <c r="S144" t="str">
        <f>VLOOKUP($O144,'Mapa Oficinas'!$A$7:$C$46,3,FALSE)</f>
        <v>Belgrano</v>
      </c>
    </row>
    <row r="145" spans="1:19" x14ac:dyDescent="0.2">
      <c r="A145" s="1">
        <v>45695</v>
      </c>
      <c r="B145" t="s">
        <v>8148</v>
      </c>
      <c r="D145" t="s">
        <v>8149</v>
      </c>
      <c r="E145" t="s">
        <v>16</v>
      </c>
      <c r="F145" t="s">
        <v>17</v>
      </c>
      <c r="G145" s="14">
        <v>7</v>
      </c>
      <c r="H145" s="14">
        <v>225000</v>
      </c>
      <c r="I145" t="s">
        <v>22</v>
      </c>
      <c r="J145" t="s">
        <v>22</v>
      </c>
      <c r="K145" t="s">
        <v>8150</v>
      </c>
      <c r="L145" t="s">
        <v>191</v>
      </c>
      <c r="M145" t="s">
        <v>19</v>
      </c>
      <c r="N145">
        <v>2</v>
      </c>
      <c r="O145" t="s">
        <v>201</v>
      </c>
      <c r="P145" t="s">
        <v>41</v>
      </c>
      <c r="Q145" t="s">
        <v>30</v>
      </c>
      <c r="R145" t="str">
        <f>VLOOKUP($O145,'Mapa Oficinas'!$A$7:$C$46,2,FALSE)</f>
        <v>CABA</v>
      </c>
      <c r="S145" t="str">
        <f>VLOOKUP($O145,'Mapa Oficinas'!$A$7:$C$46,3,FALSE)</f>
        <v>Recoleta</v>
      </c>
    </row>
    <row r="146" spans="1:19" x14ac:dyDescent="0.2">
      <c r="A146" s="1">
        <v>45698</v>
      </c>
      <c r="B146" t="s">
        <v>8135</v>
      </c>
      <c r="D146" t="s">
        <v>8136</v>
      </c>
      <c r="E146" t="s">
        <v>16</v>
      </c>
      <c r="F146" t="s">
        <v>17</v>
      </c>
      <c r="G146" s="14">
        <v>80000</v>
      </c>
      <c r="H146" s="14">
        <v>80000</v>
      </c>
      <c r="I146" t="s">
        <v>22</v>
      </c>
      <c r="J146" t="s">
        <v>22</v>
      </c>
      <c r="K146" t="s">
        <v>8137</v>
      </c>
      <c r="L146" t="s">
        <v>8138</v>
      </c>
      <c r="M146" t="s">
        <v>28</v>
      </c>
      <c r="N146">
        <v>2</v>
      </c>
      <c r="O146" t="s">
        <v>151</v>
      </c>
      <c r="P146" t="s">
        <v>21</v>
      </c>
      <c r="Q146" t="s">
        <v>30</v>
      </c>
      <c r="R146" t="str">
        <f>VLOOKUP($O146,'Mapa Oficinas'!$A$7:$C$46,2,FALSE)</f>
        <v>Interior - Neuquén</v>
      </c>
      <c r="S146" t="str">
        <f>VLOOKUP($O146,'Mapa Oficinas'!$A$7:$C$46,3,FALSE)</f>
        <v>Capital Neuquén</v>
      </c>
    </row>
    <row r="147" spans="1:19" x14ac:dyDescent="0.2">
      <c r="A147" s="1">
        <v>45698</v>
      </c>
      <c r="B147" t="s">
        <v>8132</v>
      </c>
      <c r="D147" t="s">
        <v>8133</v>
      </c>
      <c r="E147" t="s">
        <v>16</v>
      </c>
      <c r="F147" t="s">
        <v>17</v>
      </c>
      <c r="G147" s="14">
        <v>90000</v>
      </c>
      <c r="H147" s="14">
        <v>86000</v>
      </c>
      <c r="I147" t="s">
        <v>22</v>
      </c>
      <c r="J147" t="s">
        <v>22</v>
      </c>
      <c r="K147" t="s">
        <v>8134</v>
      </c>
      <c r="L147" t="s">
        <v>727</v>
      </c>
      <c r="M147" t="s">
        <v>19</v>
      </c>
      <c r="N147">
        <v>2</v>
      </c>
      <c r="O147" t="s">
        <v>29</v>
      </c>
      <c r="P147" t="s">
        <v>276</v>
      </c>
      <c r="Q147" t="s">
        <v>30</v>
      </c>
      <c r="R147" t="str">
        <f>VLOOKUP($O147,'Mapa Oficinas'!$A$7:$C$46,2,FALSE)</f>
        <v>CABA</v>
      </c>
      <c r="S147" t="str">
        <f>VLOOKUP($O147,'Mapa Oficinas'!$A$7:$C$46,3,FALSE)</f>
        <v>Núñez</v>
      </c>
    </row>
    <row r="148" spans="1:19" x14ac:dyDescent="0.2">
      <c r="A148" s="1">
        <v>45698</v>
      </c>
      <c r="B148">
        <v>517315</v>
      </c>
      <c r="D148" t="s">
        <v>8129</v>
      </c>
      <c r="E148" t="s">
        <v>16</v>
      </c>
      <c r="F148" t="s">
        <v>17</v>
      </c>
      <c r="G148" s="14">
        <v>155000</v>
      </c>
      <c r="H148" s="14">
        <v>152000</v>
      </c>
      <c r="I148" t="s">
        <v>22</v>
      </c>
      <c r="J148" t="s">
        <v>22</v>
      </c>
      <c r="K148" t="s">
        <v>8130</v>
      </c>
      <c r="L148" t="s">
        <v>8131</v>
      </c>
      <c r="M148" t="s">
        <v>19</v>
      </c>
      <c r="N148">
        <v>2</v>
      </c>
      <c r="O148" t="s">
        <v>142</v>
      </c>
      <c r="P148" t="s">
        <v>41</v>
      </c>
      <c r="Q148" t="s">
        <v>30</v>
      </c>
      <c r="R148" t="str">
        <f>VLOOKUP($O148,'Mapa Oficinas'!$A$7:$C$46,2,FALSE)</f>
        <v>Zona Norte (GBA)</v>
      </c>
      <c r="S148" t="str">
        <f>VLOOKUP($O148,'Mapa Oficinas'!$A$7:$C$46,3,FALSE)</f>
        <v>Nordelta</v>
      </c>
    </row>
    <row r="149" spans="1:19" x14ac:dyDescent="0.2">
      <c r="A149" s="1">
        <v>45698</v>
      </c>
      <c r="B149" t="s">
        <v>7825</v>
      </c>
      <c r="D149" t="s">
        <v>7826</v>
      </c>
      <c r="E149" t="s">
        <v>16</v>
      </c>
      <c r="F149" t="s">
        <v>38</v>
      </c>
      <c r="G149" s="14">
        <v>180000</v>
      </c>
      <c r="H149" s="14">
        <v>175000</v>
      </c>
      <c r="I149" t="s">
        <v>22</v>
      </c>
      <c r="J149" t="s">
        <v>22</v>
      </c>
      <c r="K149" t="s">
        <v>7827</v>
      </c>
      <c r="L149" t="s">
        <v>7828</v>
      </c>
      <c r="M149" t="s">
        <v>28</v>
      </c>
      <c r="N149">
        <v>2</v>
      </c>
      <c r="O149" t="s">
        <v>130</v>
      </c>
      <c r="P149" t="s">
        <v>44</v>
      </c>
      <c r="Q149" t="s">
        <v>30</v>
      </c>
      <c r="R149" t="str">
        <f>VLOOKUP($O149,'Mapa Oficinas'!$A$7:$C$46,2,FALSE)</f>
        <v>Interior - Río Negro</v>
      </c>
      <c r="S149" t="str">
        <f>VLOOKUP($O149,'Mapa Oficinas'!$A$7:$C$46,3,FALSE)</f>
        <v>Bariloche</v>
      </c>
    </row>
    <row r="150" spans="1:19" x14ac:dyDescent="0.2">
      <c r="A150" s="1">
        <v>45699</v>
      </c>
      <c r="B150" t="s">
        <v>8124</v>
      </c>
      <c r="D150" t="s">
        <v>8125</v>
      </c>
      <c r="E150" t="s">
        <v>16</v>
      </c>
      <c r="F150" t="s">
        <v>127</v>
      </c>
      <c r="G150" s="14">
        <v>36000</v>
      </c>
      <c r="H150" s="14">
        <v>36000</v>
      </c>
      <c r="I150" t="s">
        <v>22</v>
      </c>
      <c r="J150" t="s">
        <v>22</v>
      </c>
      <c r="K150" t="s">
        <v>7209</v>
      </c>
      <c r="L150" t="s">
        <v>4851</v>
      </c>
      <c r="M150" t="s">
        <v>97</v>
      </c>
      <c r="N150">
        <v>2</v>
      </c>
      <c r="O150" t="s">
        <v>98</v>
      </c>
      <c r="P150" t="s">
        <v>41</v>
      </c>
      <c r="Q150" t="s">
        <v>30</v>
      </c>
      <c r="R150" t="str">
        <f>VLOOKUP($O150,'Mapa Oficinas'!$A$7:$C$46,2,FALSE)</f>
        <v>Interior - Neuquén</v>
      </c>
      <c r="S150" t="str">
        <f>VLOOKUP($O150,'Mapa Oficinas'!$A$7:$C$46,3,FALSE)</f>
        <v>Villa La Angostura</v>
      </c>
    </row>
    <row r="151" spans="1:19" x14ac:dyDescent="0.2">
      <c r="A151" s="1">
        <v>45699</v>
      </c>
      <c r="B151" t="s">
        <v>8121</v>
      </c>
      <c r="D151" t="s">
        <v>8122</v>
      </c>
      <c r="E151" t="s">
        <v>16</v>
      </c>
      <c r="F151" t="s">
        <v>243</v>
      </c>
      <c r="G151" s="14">
        <v>55000</v>
      </c>
      <c r="H151" s="14">
        <v>55000</v>
      </c>
      <c r="I151" t="s">
        <v>22</v>
      </c>
      <c r="J151" t="s">
        <v>22</v>
      </c>
      <c r="K151" t="s">
        <v>8123</v>
      </c>
      <c r="L151" t="s">
        <v>245</v>
      </c>
      <c r="M151" t="s">
        <v>19</v>
      </c>
      <c r="N151">
        <v>2</v>
      </c>
      <c r="O151" t="s">
        <v>246</v>
      </c>
      <c r="P151" t="s">
        <v>21</v>
      </c>
      <c r="Q151" t="s">
        <v>30</v>
      </c>
      <c r="R151" t="str">
        <f>VLOOKUP($O151,'Mapa Oficinas'!$A$7:$C$46,2,FALSE)</f>
        <v>Interior - Salta</v>
      </c>
      <c r="S151" t="str">
        <f>VLOOKUP($O151,'Mapa Oficinas'!$A$7:$C$46,3,FALSE)</f>
        <v>San Lorenzo Chico</v>
      </c>
    </row>
    <row r="152" spans="1:19" x14ac:dyDescent="0.2">
      <c r="A152" s="1">
        <v>45699</v>
      </c>
      <c r="B152" t="s">
        <v>6596</v>
      </c>
      <c r="D152" t="s">
        <v>1476</v>
      </c>
      <c r="E152" t="s">
        <v>16</v>
      </c>
      <c r="F152" t="s">
        <v>134</v>
      </c>
      <c r="G152" s="14">
        <v>92800</v>
      </c>
      <c r="H152" s="14">
        <v>101370</v>
      </c>
      <c r="I152" t="s">
        <v>22</v>
      </c>
      <c r="J152" t="s">
        <v>22</v>
      </c>
      <c r="K152" t="s">
        <v>1477</v>
      </c>
      <c r="L152" t="s">
        <v>136</v>
      </c>
      <c r="M152" t="s">
        <v>19</v>
      </c>
      <c r="N152">
        <v>2</v>
      </c>
      <c r="O152" t="s">
        <v>130</v>
      </c>
      <c r="P152" t="s">
        <v>21</v>
      </c>
      <c r="Q152" t="s">
        <v>30</v>
      </c>
      <c r="R152" t="str">
        <f>VLOOKUP($O152,'Mapa Oficinas'!$A$7:$C$46,2,FALSE)</f>
        <v>Interior - Río Negro</v>
      </c>
      <c r="S152" t="str">
        <f>VLOOKUP($O152,'Mapa Oficinas'!$A$7:$C$46,3,FALSE)</f>
        <v>Bariloche</v>
      </c>
    </row>
    <row r="153" spans="1:19" x14ac:dyDescent="0.2">
      <c r="A153" s="1">
        <v>45699</v>
      </c>
      <c r="B153" t="s">
        <v>8120</v>
      </c>
      <c r="D153" t="s">
        <v>8120</v>
      </c>
      <c r="E153" t="s">
        <v>16</v>
      </c>
      <c r="F153" t="s">
        <v>17</v>
      </c>
      <c r="G153" s="14">
        <v>108000</v>
      </c>
      <c r="H153" s="14">
        <v>108000</v>
      </c>
      <c r="I153" t="s">
        <v>22</v>
      </c>
      <c r="J153" t="s">
        <v>22</v>
      </c>
      <c r="L153" t="s">
        <v>1004</v>
      </c>
      <c r="M153" t="s">
        <v>19</v>
      </c>
      <c r="N153">
        <v>2</v>
      </c>
      <c r="O153" t="s">
        <v>359</v>
      </c>
      <c r="P153" t="s">
        <v>21</v>
      </c>
      <c r="Q153" t="s">
        <v>30</v>
      </c>
      <c r="R153" t="str">
        <f>VLOOKUP($O153,'Mapa Oficinas'!$A$7:$C$46,2,FALSE)</f>
        <v>CABA</v>
      </c>
      <c r="S153" t="str">
        <f>VLOOKUP($O153,'Mapa Oficinas'!$A$7:$C$46,3,FALSE)</f>
        <v>Palermo</v>
      </c>
    </row>
    <row r="154" spans="1:19" x14ac:dyDescent="0.2">
      <c r="A154" s="1">
        <v>45699</v>
      </c>
      <c r="B154" t="s">
        <v>8115</v>
      </c>
      <c r="D154" t="s">
        <v>8116</v>
      </c>
      <c r="E154" t="s">
        <v>16</v>
      </c>
      <c r="F154" t="s">
        <v>17</v>
      </c>
      <c r="G154" s="14">
        <v>155000</v>
      </c>
      <c r="H154" s="14">
        <v>153000</v>
      </c>
      <c r="I154" t="s">
        <v>22</v>
      </c>
      <c r="J154" t="s">
        <v>22</v>
      </c>
      <c r="K154" t="s">
        <v>8117</v>
      </c>
      <c r="L154" t="s">
        <v>277</v>
      </c>
      <c r="M154" t="s">
        <v>19</v>
      </c>
      <c r="N154">
        <v>2</v>
      </c>
      <c r="O154" t="s">
        <v>103</v>
      </c>
      <c r="P154" t="s">
        <v>21</v>
      </c>
      <c r="Q154" t="s">
        <v>30</v>
      </c>
      <c r="R154" t="str">
        <f>VLOOKUP($O154,'Mapa Oficinas'!$A$7:$C$46,2,FALSE)</f>
        <v>CABA</v>
      </c>
      <c r="S154" t="str">
        <f>VLOOKUP($O154,'Mapa Oficinas'!$A$7:$C$46,3,FALSE)</f>
        <v>Barrio Parque</v>
      </c>
    </row>
    <row r="155" spans="1:19" x14ac:dyDescent="0.2">
      <c r="A155" s="1">
        <v>45699</v>
      </c>
      <c r="B155" t="s">
        <v>8118</v>
      </c>
      <c r="D155" t="s">
        <v>8119</v>
      </c>
      <c r="E155" t="s">
        <v>16</v>
      </c>
      <c r="F155" t="s">
        <v>17</v>
      </c>
      <c r="G155" s="14">
        <v>165000</v>
      </c>
      <c r="H155" s="14">
        <v>161000</v>
      </c>
      <c r="I155" t="s">
        <v>22</v>
      </c>
      <c r="J155" t="s">
        <v>22</v>
      </c>
      <c r="K155" t="s">
        <v>7030</v>
      </c>
      <c r="L155" t="s">
        <v>37</v>
      </c>
      <c r="M155" t="s">
        <v>19</v>
      </c>
      <c r="N155">
        <v>2</v>
      </c>
      <c r="O155" t="s">
        <v>103</v>
      </c>
      <c r="P155" t="s">
        <v>21</v>
      </c>
      <c r="Q155" t="s">
        <v>30</v>
      </c>
      <c r="R155" t="str">
        <f>VLOOKUP($O155,'Mapa Oficinas'!$A$7:$C$46,2,FALSE)</f>
        <v>CABA</v>
      </c>
      <c r="S155" t="str">
        <f>VLOOKUP($O155,'Mapa Oficinas'!$A$7:$C$46,3,FALSE)</f>
        <v>Barrio Parque</v>
      </c>
    </row>
    <row r="156" spans="1:19" x14ac:dyDescent="0.2">
      <c r="A156" s="1">
        <v>45699</v>
      </c>
      <c r="B156" t="s">
        <v>8110</v>
      </c>
      <c r="D156" t="s">
        <v>8111</v>
      </c>
      <c r="E156" t="s">
        <v>16</v>
      </c>
      <c r="F156" t="s">
        <v>17</v>
      </c>
      <c r="G156" s="14">
        <v>182000</v>
      </c>
      <c r="H156" s="14">
        <v>177000</v>
      </c>
      <c r="I156" t="s">
        <v>22</v>
      </c>
      <c r="J156" t="s">
        <v>22</v>
      </c>
      <c r="K156" t="s">
        <v>8112</v>
      </c>
      <c r="L156" t="s">
        <v>191</v>
      </c>
      <c r="M156" t="s">
        <v>19</v>
      </c>
      <c r="N156">
        <v>2</v>
      </c>
      <c r="O156" t="s">
        <v>103</v>
      </c>
      <c r="P156" t="s">
        <v>276</v>
      </c>
      <c r="Q156" t="s">
        <v>30</v>
      </c>
      <c r="R156" t="str">
        <f>VLOOKUP($O156,'Mapa Oficinas'!$A$7:$C$46,2,FALSE)</f>
        <v>CABA</v>
      </c>
      <c r="S156" t="str">
        <f>VLOOKUP($O156,'Mapa Oficinas'!$A$7:$C$46,3,FALSE)</f>
        <v>Barrio Parque</v>
      </c>
    </row>
    <row r="157" spans="1:19" x14ac:dyDescent="0.2">
      <c r="A157" s="1">
        <v>45700</v>
      </c>
      <c r="B157" t="s">
        <v>7734</v>
      </c>
      <c r="D157" t="s">
        <v>1476</v>
      </c>
      <c r="E157" t="s">
        <v>16</v>
      </c>
      <c r="F157" t="s">
        <v>134</v>
      </c>
      <c r="G157" s="14">
        <v>76272</v>
      </c>
      <c r="H157" s="14">
        <v>70824</v>
      </c>
      <c r="I157" t="s">
        <v>22</v>
      </c>
      <c r="J157" t="s">
        <v>22</v>
      </c>
      <c r="K157" t="s">
        <v>1477</v>
      </c>
      <c r="L157" t="s">
        <v>136</v>
      </c>
      <c r="M157" t="s">
        <v>19</v>
      </c>
      <c r="N157">
        <v>2</v>
      </c>
      <c r="O157" t="s">
        <v>130</v>
      </c>
      <c r="P157" t="s">
        <v>21</v>
      </c>
      <c r="Q157" t="s">
        <v>30</v>
      </c>
      <c r="R157" t="str">
        <f>VLOOKUP($O157,'Mapa Oficinas'!$A$7:$C$46,2,FALSE)</f>
        <v>Interior - Río Negro</v>
      </c>
      <c r="S157" t="str">
        <f>VLOOKUP($O157,'Mapa Oficinas'!$A$7:$C$46,3,FALSE)</f>
        <v>Bariloche</v>
      </c>
    </row>
    <row r="158" spans="1:19" x14ac:dyDescent="0.2">
      <c r="A158" s="1">
        <v>45700</v>
      </c>
      <c r="B158" t="s">
        <v>8091</v>
      </c>
      <c r="D158" t="s">
        <v>8092</v>
      </c>
      <c r="E158" t="s">
        <v>16</v>
      </c>
      <c r="F158" t="s">
        <v>17</v>
      </c>
      <c r="G158" s="14">
        <v>79000</v>
      </c>
      <c r="H158" s="14">
        <v>74000</v>
      </c>
      <c r="I158" t="s">
        <v>22</v>
      </c>
      <c r="J158" t="s">
        <v>22</v>
      </c>
      <c r="K158" t="s">
        <v>8093</v>
      </c>
      <c r="L158" t="s">
        <v>564</v>
      </c>
      <c r="M158" t="s">
        <v>19</v>
      </c>
      <c r="N158">
        <v>2</v>
      </c>
      <c r="O158" t="s">
        <v>103</v>
      </c>
      <c r="P158" t="s">
        <v>276</v>
      </c>
      <c r="Q158" t="s">
        <v>30</v>
      </c>
      <c r="R158" t="str">
        <f>VLOOKUP($O158,'Mapa Oficinas'!$A$7:$C$46,2,FALSE)</f>
        <v>CABA</v>
      </c>
      <c r="S158" t="str">
        <f>VLOOKUP($O158,'Mapa Oficinas'!$A$7:$C$46,3,FALSE)</f>
        <v>Barrio Parque</v>
      </c>
    </row>
    <row r="159" spans="1:19" x14ac:dyDescent="0.2">
      <c r="A159" s="1">
        <v>45700</v>
      </c>
      <c r="B159" t="s">
        <v>8104</v>
      </c>
      <c r="D159" t="s">
        <v>8095</v>
      </c>
      <c r="E159" t="s">
        <v>16</v>
      </c>
      <c r="F159" t="s">
        <v>38</v>
      </c>
      <c r="G159" s="14">
        <v>78000</v>
      </c>
      <c r="H159" s="14">
        <v>78000</v>
      </c>
      <c r="I159" t="s">
        <v>22</v>
      </c>
      <c r="J159" t="s">
        <v>22</v>
      </c>
      <c r="K159" t="s">
        <v>8105</v>
      </c>
      <c r="L159" t="s">
        <v>170</v>
      </c>
      <c r="M159" t="s">
        <v>19</v>
      </c>
      <c r="N159">
        <v>1</v>
      </c>
      <c r="O159" t="s">
        <v>171</v>
      </c>
      <c r="P159" t="s">
        <v>146</v>
      </c>
      <c r="Q159" t="s">
        <v>30</v>
      </c>
      <c r="R159" t="str">
        <f>VLOOKUP($O159,'Mapa Oficinas'!$A$7:$C$46,2,FALSE)</f>
        <v>Zona Sur (GBA)</v>
      </c>
      <c r="S159" t="str">
        <f>VLOOKUP($O159,'Mapa Oficinas'!$A$7:$C$46,3,FALSE)</f>
        <v>La Plata</v>
      </c>
    </row>
    <row r="160" spans="1:19" x14ac:dyDescent="0.2">
      <c r="A160" s="1">
        <v>45700</v>
      </c>
      <c r="B160" t="s">
        <v>8094</v>
      </c>
      <c r="D160" t="s">
        <v>8095</v>
      </c>
      <c r="E160" t="s">
        <v>16</v>
      </c>
      <c r="F160" t="s">
        <v>38</v>
      </c>
      <c r="G160" s="14">
        <v>82000</v>
      </c>
      <c r="H160" s="14">
        <v>82000</v>
      </c>
      <c r="I160" t="s">
        <v>22</v>
      </c>
      <c r="J160" t="s">
        <v>22</v>
      </c>
      <c r="K160" t="s">
        <v>8096</v>
      </c>
      <c r="L160" t="s">
        <v>170</v>
      </c>
      <c r="M160" t="s">
        <v>19</v>
      </c>
      <c r="N160">
        <v>1</v>
      </c>
      <c r="O160" t="s">
        <v>171</v>
      </c>
      <c r="P160" t="s">
        <v>146</v>
      </c>
      <c r="Q160" t="s">
        <v>30</v>
      </c>
      <c r="R160" t="str">
        <f>VLOOKUP($O160,'Mapa Oficinas'!$A$7:$C$46,2,FALSE)</f>
        <v>Zona Sur (GBA)</v>
      </c>
      <c r="S160" t="str">
        <f>VLOOKUP($O160,'Mapa Oficinas'!$A$7:$C$46,3,FALSE)</f>
        <v>La Plata</v>
      </c>
    </row>
    <row r="161" spans="1:19" x14ac:dyDescent="0.2">
      <c r="A161" s="1">
        <v>45700</v>
      </c>
      <c r="B161" t="s">
        <v>8097</v>
      </c>
      <c r="D161" t="s">
        <v>8098</v>
      </c>
      <c r="E161" t="s">
        <v>16</v>
      </c>
      <c r="F161" t="s">
        <v>47</v>
      </c>
      <c r="G161" s="14">
        <v>87000</v>
      </c>
      <c r="H161" s="14">
        <v>87000</v>
      </c>
      <c r="I161" t="s">
        <v>22</v>
      </c>
      <c r="J161" t="s">
        <v>22</v>
      </c>
      <c r="L161" t="s">
        <v>358</v>
      </c>
      <c r="M161" t="s">
        <v>97</v>
      </c>
      <c r="N161">
        <v>2</v>
      </c>
      <c r="O161" t="s">
        <v>359</v>
      </c>
      <c r="P161" t="s">
        <v>41</v>
      </c>
      <c r="Q161" t="s">
        <v>30</v>
      </c>
      <c r="R161" t="str">
        <f>VLOOKUP($O161,'Mapa Oficinas'!$A$7:$C$46,2,FALSE)</f>
        <v>CABA</v>
      </c>
      <c r="S161" t="str">
        <f>VLOOKUP($O161,'Mapa Oficinas'!$A$7:$C$46,3,FALSE)</f>
        <v>Palermo</v>
      </c>
    </row>
    <row r="162" spans="1:19" x14ac:dyDescent="0.2">
      <c r="A162" s="1">
        <v>45701</v>
      </c>
      <c r="B162" t="s">
        <v>2856</v>
      </c>
      <c r="D162" t="s">
        <v>2857</v>
      </c>
      <c r="E162" t="s">
        <v>16</v>
      </c>
      <c r="F162" t="s">
        <v>17</v>
      </c>
      <c r="G162" s="14">
        <v>48000</v>
      </c>
      <c r="H162" s="14">
        <v>47000</v>
      </c>
      <c r="I162" t="s">
        <v>22</v>
      </c>
      <c r="J162" t="s">
        <v>22</v>
      </c>
      <c r="K162" t="s">
        <v>2858</v>
      </c>
      <c r="L162" t="s">
        <v>419</v>
      </c>
      <c r="M162" t="s">
        <v>28</v>
      </c>
      <c r="N162">
        <v>2</v>
      </c>
      <c r="O162" t="s">
        <v>65</v>
      </c>
      <c r="P162" t="s">
        <v>21</v>
      </c>
      <c r="Q162" t="s">
        <v>30</v>
      </c>
      <c r="R162" t="str">
        <f>VLOOKUP($O162,'Mapa Oficinas'!$A$7:$C$46,2,FALSE)</f>
        <v>Interior - Mendoza</v>
      </c>
      <c r="S162" t="str">
        <f>VLOOKUP($O162,'Mapa Oficinas'!$A$7:$C$46,3,FALSE)</f>
        <v>Capital Mendoza</v>
      </c>
    </row>
    <row r="163" spans="1:19" x14ac:dyDescent="0.2">
      <c r="A163" s="1">
        <v>45701</v>
      </c>
      <c r="B163" t="s">
        <v>2837</v>
      </c>
      <c r="D163" t="s">
        <v>2838</v>
      </c>
      <c r="E163" t="s">
        <v>16</v>
      </c>
      <c r="F163" t="s">
        <v>134</v>
      </c>
      <c r="G163" s="14">
        <v>129500</v>
      </c>
      <c r="H163" s="14">
        <v>109000</v>
      </c>
      <c r="I163" t="s">
        <v>22</v>
      </c>
      <c r="J163" t="s">
        <v>22</v>
      </c>
      <c r="K163" t="s">
        <v>2839</v>
      </c>
      <c r="L163" t="s">
        <v>946</v>
      </c>
      <c r="M163" t="s">
        <v>28</v>
      </c>
      <c r="N163">
        <v>2</v>
      </c>
      <c r="O163" t="s">
        <v>65</v>
      </c>
      <c r="P163" t="s">
        <v>21</v>
      </c>
      <c r="Q163" t="s">
        <v>30</v>
      </c>
      <c r="R163" t="str">
        <f>VLOOKUP($O163,'Mapa Oficinas'!$A$7:$C$46,2,FALSE)</f>
        <v>Interior - Mendoza</v>
      </c>
      <c r="S163" t="str">
        <f>VLOOKUP($O163,'Mapa Oficinas'!$A$7:$C$46,3,FALSE)</f>
        <v>Capital Mendoza</v>
      </c>
    </row>
    <row r="164" spans="1:19" x14ac:dyDescent="0.2">
      <c r="A164" s="1">
        <v>45701</v>
      </c>
      <c r="B164" t="s">
        <v>8084</v>
      </c>
      <c r="D164" t="s">
        <v>8085</v>
      </c>
      <c r="E164" t="s">
        <v>16</v>
      </c>
      <c r="F164" t="s">
        <v>134</v>
      </c>
      <c r="G164" s="14">
        <v>122000</v>
      </c>
      <c r="H164" s="14">
        <v>122000</v>
      </c>
      <c r="I164" t="s">
        <v>22</v>
      </c>
      <c r="J164" t="s">
        <v>22</v>
      </c>
      <c r="L164" t="s">
        <v>129</v>
      </c>
      <c r="M164" t="s">
        <v>72</v>
      </c>
      <c r="N164">
        <v>1</v>
      </c>
      <c r="O164" t="s">
        <v>130</v>
      </c>
      <c r="P164" t="s">
        <v>131</v>
      </c>
      <c r="Q164" t="s">
        <v>30</v>
      </c>
      <c r="R164" t="str">
        <f>VLOOKUP($O164,'Mapa Oficinas'!$A$7:$C$46,2,FALSE)</f>
        <v>Interior - Río Negro</v>
      </c>
      <c r="S164" t="str">
        <f>VLOOKUP($O164,'Mapa Oficinas'!$A$7:$C$46,3,FALSE)</f>
        <v>Bariloche</v>
      </c>
    </row>
    <row r="165" spans="1:19" x14ac:dyDescent="0.2">
      <c r="A165" s="1">
        <v>45701</v>
      </c>
      <c r="B165">
        <v>10288</v>
      </c>
      <c r="D165" t="s">
        <v>8090</v>
      </c>
      <c r="E165" t="s">
        <v>16</v>
      </c>
      <c r="F165" t="s">
        <v>17</v>
      </c>
      <c r="G165" s="14">
        <v>0</v>
      </c>
      <c r="H165" s="14">
        <v>320000</v>
      </c>
      <c r="I165" t="s">
        <v>22</v>
      </c>
      <c r="J165" t="s">
        <v>22</v>
      </c>
      <c r="L165" t="s">
        <v>277</v>
      </c>
      <c r="M165" t="s">
        <v>19</v>
      </c>
      <c r="N165">
        <v>1</v>
      </c>
      <c r="O165" t="s">
        <v>103</v>
      </c>
      <c r="P165" t="s">
        <v>146</v>
      </c>
      <c r="Q165" t="s">
        <v>30</v>
      </c>
      <c r="R165" t="str">
        <f>VLOOKUP($O165,'Mapa Oficinas'!$A$7:$C$46,2,FALSE)</f>
        <v>CABA</v>
      </c>
      <c r="S165" t="str">
        <f>VLOOKUP($O165,'Mapa Oficinas'!$A$7:$C$46,3,FALSE)</f>
        <v>Barrio Parque</v>
      </c>
    </row>
    <row r="166" spans="1:19" x14ac:dyDescent="0.2">
      <c r="A166" s="1">
        <v>45701</v>
      </c>
      <c r="B166" t="s">
        <v>8086</v>
      </c>
      <c r="D166" t="s">
        <v>8087</v>
      </c>
      <c r="E166" t="s">
        <v>16</v>
      </c>
      <c r="F166" t="s">
        <v>184</v>
      </c>
      <c r="G166" s="14">
        <v>375000</v>
      </c>
      <c r="H166" s="14">
        <v>375000</v>
      </c>
      <c r="I166" t="s">
        <v>22</v>
      </c>
      <c r="J166" t="s">
        <v>22</v>
      </c>
      <c r="K166" t="s">
        <v>8088</v>
      </c>
      <c r="L166" t="s">
        <v>8089</v>
      </c>
      <c r="M166" t="s">
        <v>28</v>
      </c>
      <c r="N166">
        <v>2</v>
      </c>
      <c r="O166" t="s">
        <v>130</v>
      </c>
      <c r="P166" t="s">
        <v>41</v>
      </c>
      <c r="Q166" t="s">
        <v>30</v>
      </c>
      <c r="R166" t="str">
        <f>VLOOKUP($O166,'Mapa Oficinas'!$A$7:$C$46,2,FALSE)</f>
        <v>Interior - Río Negro</v>
      </c>
      <c r="S166" t="str">
        <f>VLOOKUP($O166,'Mapa Oficinas'!$A$7:$C$46,3,FALSE)</f>
        <v>Bariloche</v>
      </c>
    </row>
    <row r="167" spans="1:19" x14ac:dyDescent="0.2">
      <c r="A167" s="1">
        <v>45702</v>
      </c>
      <c r="B167" t="s">
        <v>8077</v>
      </c>
      <c r="D167" t="s">
        <v>8078</v>
      </c>
      <c r="E167" t="s">
        <v>16</v>
      </c>
      <c r="F167" t="s">
        <v>17</v>
      </c>
      <c r="G167" s="14">
        <v>53000</v>
      </c>
      <c r="H167" s="14">
        <v>50000</v>
      </c>
      <c r="I167" t="s">
        <v>22</v>
      </c>
      <c r="J167" t="s">
        <v>22</v>
      </c>
      <c r="K167" t="s">
        <v>8079</v>
      </c>
      <c r="L167" t="s">
        <v>8080</v>
      </c>
      <c r="M167" t="s">
        <v>28</v>
      </c>
      <c r="N167">
        <v>2</v>
      </c>
      <c r="O167" t="s">
        <v>151</v>
      </c>
      <c r="P167" t="s">
        <v>21</v>
      </c>
      <c r="Q167" t="s">
        <v>30</v>
      </c>
      <c r="R167" t="str">
        <f>VLOOKUP($O167,'Mapa Oficinas'!$A$7:$C$46,2,FALSE)</f>
        <v>Interior - Neuquén</v>
      </c>
      <c r="S167" t="str">
        <f>VLOOKUP($O167,'Mapa Oficinas'!$A$7:$C$46,3,FALSE)</f>
        <v>Capital Neuquén</v>
      </c>
    </row>
    <row r="168" spans="1:19" x14ac:dyDescent="0.2">
      <c r="A168" s="1">
        <v>45702</v>
      </c>
      <c r="B168" t="s">
        <v>8061</v>
      </c>
      <c r="D168" t="s">
        <v>8062</v>
      </c>
      <c r="E168" t="s">
        <v>16</v>
      </c>
      <c r="F168" t="s">
        <v>17</v>
      </c>
      <c r="G168" s="14">
        <v>81645</v>
      </c>
      <c r="H168" s="14">
        <v>88742</v>
      </c>
      <c r="I168" t="s">
        <v>22</v>
      </c>
      <c r="J168" t="s">
        <v>22</v>
      </c>
      <c r="K168" t="s">
        <v>8062</v>
      </c>
      <c r="L168" t="s">
        <v>6057</v>
      </c>
      <c r="M168" t="s">
        <v>19</v>
      </c>
      <c r="N168">
        <v>2</v>
      </c>
      <c r="O168" t="s">
        <v>142</v>
      </c>
      <c r="P168" t="s">
        <v>41</v>
      </c>
      <c r="Q168" t="s">
        <v>30</v>
      </c>
      <c r="R168" t="str">
        <f>VLOOKUP($O168,'Mapa Oficinas'!$A$7:$C$46,2,FALSE)</f>
        <v>Zona Norte (GBA)</v>
      </c>
      <c r="S168" t="str">
        <f>VLOOKUP($O168,'Mapa Oficinas'!$A$7:$C$46,3,FALSE)</f>
        <v>Nordelta</v>
      </c>
    </row>
    <row r="169" spans="1:19" x14ac:dyDescent="0.2">
      <c r="A169" s="1">
        <v>45702</v>
      </c>
      <c r="B169" t="s">
        <v>8065</v>
      </c>
      <c r="D169" t="s">
        <v>8066</v>
      </c>
      <c r="E169" t="s">
        <v>16</v>
      </c>
      <c r="F169" t="s">
        <v>17</v>
      </c>
      <c r="G169" s="14">
        <v>95000</v>
      </c>
      <c r="H169" s="14">
        <v>89000</v>
      </c>
      <c r="I169" t="s">
        <v>22</v>
      </c>
      <c r="J169" t="s">
        <v>22</v>
      </c>
      <c r="K169" t="s">
        <v>8067</v>
      </c>
      <c r="L169" t="s">
        <v>1427</v>
      </c>
      <c r="M169" t="s">
        <v>19</v>
      </c>
      <c r="N169">
        <v>2</v>
      </c>
      <c r="O169" t="s">
        <v>50</v>
      </c>
      <c r="P169" t="s">
        <v>41</v>
      </c>
      <c r="Q169" t="s">
        <v>30</v>
      </c>
      <c r="R169" t="str">
        <f>VLOOKUP($O169,'Mapa Oficinas'!$A$7:$C$46,2,FALSE)</f>
        <v>CABA</v>
      </c>
      <c r="S169" t="str">
        <f>VLOOKUP($O169,'Mapa Oficinas'!$A$7:$C$46,3,FALSE)</f>
        <v>Villa Urquiza</v>
      </c>
    </row>
    <row r="170" spans="1:19" x14ac:dyDescent="0.2">
      <c r="A170" s="1">
        <v>45702</v>
      </c>
      <c r="B170" t="s">
        <v>8071</v>
      </c>
      <c r="D170" t="s">
        <v>8072</v>
      </c>
      <c r="E170" t="s">
        <v>16</v>
      </c>
      <c r="F170" t="s">
        <v>17</v>
      </c>
      <c r="G170" s="14">
        <v>125000</v>
      </c>
      <c r="H170" s="14">
        <v>120000</v>
      </c>
      <c r="I170" t="s">
        <v>22</v>
      </c>
      <c r="J170" t="s">
        <v>22</v>
      </c>
      <c r="K170" t="s">
        <v>8073</v>
      </c>
      <c r="L170" t="s">
        <v>71</v>
      </c>
      <c r="M170" t="s">
        <v>19</v>
      </c>
      <c r="N170">
        <v>2</v>
      </c>
      <c r="O170" t="s">
        <v>201</v>
      </c>
      <c r="P170" t="s">
        <v>21</v>
      </c>
      <c r="Q170" t="s">
        <v>30</v>
      </c>
      <c r="R170" t="str">
        <f>VLOOKUP($O170,'Mapa Oficinas'!$A$7:$C$46,2,FALSE)</f>
        <v>CABA</v>
      </c>
      <c r="S170" t="str">
        <f>VLOOKUP($O170,'Mapa Oficinas'!$A$7:$C$46,3,FALSE)</f>
        <v>Recoleta</v>
      </c>
    </row>
    <row r="171" spans="1:19" x14ac:dyDescent="0.2">
      <c r="A171" s="1">
        <v>45702</v>
      </c>
      <c r="B171" t="s">
        <v>8074</v>
      </c>
      <c r="D171" t="s">
        <v>8075</v>
      </c>
      <c r="E171" t="s">
        <v>16</v>
      </c>
      <c r="F171" t="s">
        <v>17</v>
      </c>
      <c r="G171" s="14">
        <v>140000</v>
      </c>
      <c r="H171" s="14">
        <v>126000</v>
      </c>
      <c r="I171" t="s">
        <v>22</v>
      </c>
      <c r="J171" t="s">
        <v>22</v>
      </c>
      <c r="K171" t="s">
        <v>8076</v>
      </c>
      <c r="L171" t="s">
        <v>277</v>
      </c>
      <c r="M171" t="s">
        <v>19</v>
      </c>
      <c r="N171">
        <v>2</v>
      </c>
      <c r="O171" t="s">
        <v>103</v>
      </c>
      <c r="P171" t="s">
        <v>21</v>
      </c>
      <c r="Q171" t="s">
        <v>30</v>
      </c>
      <c r="R171" t="str">
        <f>VLOOKUP($O171,'Mapa Oficinas'!$A$7:$C$46,2,FALSE)</f>
        <v>CABA</v>
      </c>
      <c r="S171" t="str">
        <f>VLOOKUP($O171,'Mapa Oficinas'!$A$7:$C$46,3,FALSE)</f>
        <v>Barrio Parque</v>
      </c>
    </row>
    <row r="172" spans="1:19" x14ac:dyDescent="0.2">
      <c r="A172" s="1">
        <v>45702</v>
      </c>
      <c r="B172" t="s">
        <v>8068</v>
      </c>
      <c r="D172" t="s">
        <v>8069</v>
      </c>
      <c r="E172" t="s">
        <v>16</v>
      </c>
      <c r="F172" t="s">
        <v>134</v>
      </c>
      <c r="G172" s="14">
        <v>160000</v>
      </c>
      <c r="H172" s="14">
        <v>140000</v>
      </c>
      <c r="I172" t="s">
        <v>22</v>
      </c>
      <c r="J172" t="s">
        <v>22</v>
      </c>
      <c r="K172" t="s">
        <v>8070</v>
      </c>
      <c r="L172" t="s">
        <v>995</v>
      </c>
      <c r="M172" t="s">
        <v>28</v>
      </c>
      <c r="N172">
        <v>2</v>
      </c>
      <c r="O172" t="s">
        <v>130</v>
      </c>
      <c r="P172" t="s">
        <v>41</v>
      </c>
      <c r="Q172" t="s">
        <v>30</v>
      </c>
      <c r="R172" t="str">
        <f>VLOOKUP($O172,'Mapa Oficinas'!$A$7:$C$46,2,FALSE)</f>
        <v>Interior - Río Negro</v>
      </c>
      <c r="S172" t="str">
        <f>VLOOKUP($O172,'Mapa Oficinas'!$A$7:$C$46,3,FALSE)</f>
        <v>Bariloche</v>
      </c>
    </row>
    <row r="173" spans="1:19" x14ac:dyDescent="0.2">
      <c r="A173" s="1">
        <v>45702</v>
      </c>
      <c r="B173" t="s">
        <v>8058</v>
      </c>
      <c r="D173" t="s">
        <v>8059</v>
      </c>
      <c r="E173" t="s">
        <v>16</v>
      </c>
      <c r="F173" t="s">
        <v>17</v>
      </c>
      <c r="G173" s="14">
        <v>159000</v>
      </c>
      <c r="H173" s="14">
        <v>145000</v>
      </c>
      <c r="I173" t="s">
        <v>22</v>
      </c>
      <c r="J173" t="s">
        <v>22</v>
      </c>
      <c r="K173" t="s">
        <v>8060</v>
      </c>
      <c r="L173" t="s">
        <v>1427</v>
      </c>
      <c r="M173" t="s">
        <v>72</v>
      </c>
      <c r="N173">
        <v>2</v>
      </c>
      <c r="O173" t="s">
        <v>142</v>
      </c>
      <c r="P173" t="s">
        <v>21</v>
      </c>
      <c r="Q173" t="s">
        <v>30</v>
      </c>
      <c r="R173" t="str">
        <f>VLOOKUP($O173,'Mapa Oficinas'!$A$7:$C$46,2,FALSE)</f>
        <v>Zona Norte (GBA)</v>
      </c>
      <c r="S173" t="str">
        <f>VLOOKUP($O173,'Mapa Oficinas'!$A$7:$C$46,3,FALSE)</f>
        <v>Nordelta</v>
      </c>
    </row>
    <row r="174" spans="1:19" x14ac:dyDescent="0.2">
      <c r="A174" s="1">
        <v>45702</v>
      </c>
      <c r="B174" t="s">
        <v>8081</v>
      </c>
      <c r="D174" t="s">
        <v>8082</v>
      </c>
      <c r="E174" t="s">
        <v>16</v>
      </c>
      <c r="F174" t="s">
        <v>38</v>
      </c>
      <c r="G174" s="14">
        <v>155000</v>
      </c>
      <c r="H174" s="14">
        <v>155000</v>
      </c>
      <c r="I174" t="s">
        <v>22</v>
      </c>
      <c r="J174" t="s">
        <v>22</v>
      </c>
      <c r="K174" t="s">
        <v>8083</v>
      </c>
      <c r="L174" t="s">
        <v>245</v>
      </c>
      <c r="M174" t="s">
        <v>28</v>
      </c>
      <c r="N174">
        <v>2</v>
      </c>
      <c r="O174" t="s">
        <v>246</v>
      </c>
      <c r="P174" t="s">
        <v>21</v>
      </c>
      <c r="Q174" t="s">
        <v>30</v>
      </c>
      <c r="R174" t="str">
        <f>VLOOKUP($O174,'Mapa Oficinas'!$A$7:$C$46,2,FALSE)</f>
        <v>Interior - Salta</v>
      </c>
      <c r="S174" t="str">
        <f>VLOOKUP($O174,'Mapa Oficinas'!$A$7:$C$46,3,FALSE)</f>
        <v>San Lorenzo Chico</v>
      </c>
    </row>
    <row r="175" spans="1:19" x14ac:dyDescent="0.2">
      <c r="A175" s="1">
        <v>45702</v>
      </c>
      <c r="B175" t="s">
        <v>8063</v>
      </c>
      <c r="D175" t="s">
        <v>8064</v>
      </c>
      <c r="E175" t="s">
        <v>16</v>
      </c>
      <c r="F175" t="s">
        <v>134</v>
      </c>
      <c r="G175" s="14">
        <v>156000</v>
      </c>
      <c r="H175" s="14">
        <v>156000</v>
      </c>
      <c r="I175" t="s">
        <v>22</v>
      </c>
      <c r="J175" t="s">
        <v>22</v>
      </c>
      <c r="K175" t="s">
        <v>594</v>
      </c>
      <c r="L175" t="s">
        <v>136</v>
      </c>
      <c r="M175" t="s">
        <v>19</v>
      </c>
      <c r="N175">
        <v>2</v>
      </c>
      <c r="O175" t="s">
        <v>130</v>
      </c>
      <c r="P175" t="s">
        <v>41</v>
      </c>
      <c r="Q175" t="s">
        <v>30</v>
      </c>
      <c r="R175" t="str">
        <f>VLOOKUP($O175,'Mapa Oficinas'!$A$7:$C$46,2,FALSE)</f>
        <v>Interior - Río Negro</v>
      </c>
      <c r="S175" t="str">
        <f>VLOOKUP($O175,'Mapa Oficinas'!$A$7:$C$46,3,FALSE)</f>
        <v>Bariloche</v>
      </c>
    </row>
    <row r="176" spans="1:19" x14ac:dyDescent="0.2">
      <c r="A176" s="1">
        <v>45702</v>
      </c>
      <c r="B176" t="s">
        <v>8055</v>
      </c>
      <c r="D176" t="s">
        <v>8056</v>
      </c>
      <c r="E176" t="s">
        <v>16</v>
      </c>
      <c r="F176" t="s">
        <v>17</v>
      </c>
      <c r="G176" s="14">
        <v>375000</v>
      </c>
      <c r="H176" s="14">
        <v>365000</v>
      </c>
      <c r="I176" t="s">
        <v>22</v>
      </c>
      <c r="J176" t="s">
        <v>22</v>
      </c>
      <c r="K176" t="s">
        <v>8057</v>
      </c>
      <c r="L176" t="s">
        <v>155</v>
      </c>
      <c r="M176" t="s">
        <v>28</v>
      </c>
      <c r="N176">
        <v>2</v>
      </c>
      <c r="O176" t="s">
        <v>142</v>
      </c>
      <c r="P176" t="s">
        <v>21</v>
      </c>
      <c r="Q176" t="s">
        <v>30</v>
      </c>
      <c r="R176" t="str">
        <f>VLOOKUP($O176,'Mapa Oficinas'!$A$7:$C$46,2,FALSE)</f>
        <v>Zona Norte (GBA)</v>
      </c>
      <c r="S176" t="str">
        <f>VLOOKUP($O176,'Mapa Oficinas'!$A$7:$C$46,3,FALSE)</f>
        <v>Nordelta</v>
      </c>
    </row>
    <row r="177" spans="1:19" x14ac:dyDescent="0.2">
      <c r="A177" s="1">
        <v>45705</v>
      </c>
      <c r="B177" t="s">
        <v>7207</v>
      </c>
      <c r="D177" t="s">
        <v>7208</v>
      </c>
      <c r="E177" t="s">
        <v>16</v>
      </c>
      <c r="F177" t="s">
        <v>1708</v>
      </c>
      <c r="G177" s="14">
        <v>36000</v>
      </c>
      <c r="H177" s="14">
        <v>38000</v>
      </c>
      <c r="I177" t="s">
        <v>22</v>
      </c>
      <c r="J177" t="s">
        <v>22</v>
      </c>
      <c r="K177" t="s">
        <v>7209</v>
      </c>
      <c r="L177" t="s">
        <v>915</v>
      </c>
      <c r="M177" t="s">
        <v>97</v>
      </c>
      <c r="N177">
        <v>2</v>
      </c>
      <c r="O177" t="s">
        <v>98</v>
      </c>
      <c r="P177" t="s">
        <v>41</v>
      </c>
      <c r="Q177" t="s">
        <v>30</v>
      </c>
      <c r="R177" t="str">
        <f>VLOOKUP($O177,'Mapa Oficinas'!$A$7:$C$46,2,FALSE)</f>
        <v>Interior - Neuquén</v>
      </c>
      <c r="S177" t="str">
        <f>VLOOKUP($O177,'Mapa Oficinas'!$A$7:$C$46,3,FALSE)</f>
        <v>Villa La Angostura</v>
      </c>
    </row>
    <row r="178" spans="1:19" x14ac:dyDescent="0.2">
      <c r="A178" s="1">
        <v>45705</v>
      </c>
      <c r="B178" t="s">
        <v>8052</v>
      </c>
      <c r="D178" t="s">
        <v>8053</v>
      </c>
      <c r="E178" t="s">
        <v>16</v>
      </c>
      <c r="F178" t="s">
        <v>82</v>
      </c>
      <c r="G178" s="14">
        <v>86000</v>
      </c>
      <c r="H178" s="14">
        <v>82000</v>
      </c>
      <c r="I178" t="s">
        <v>22</v>
      </c>
      <c r="J178" t="s">
        <v>22</v>
      </c>
      <c r="K178" t="s">
        <v>8054</v>
      </c>
      <c r="L178" t="s">
        <v>442</v>
      </c>
      <c r="M178" t="s">
        <v>19</v>
      </c>
      <c r="N178">
        <v>2</v>
      </c>
      <c r="O178" t="s">
        <v>98</v>
      </c>
      <c r="P178" t="s">
        <v>41</v>
      </c>
      <c r="Q178" t="s">
        <v>30</v>
      </c>
      <c r="R178" t="str">
        <f>VLOOKUP($O178,'Mapa Oficinas'!$A$7:$C$46,2,FALSE)</f>
        <v>Interior - Neuquén</v>
      </c>
      <c r="S178" t="str">
        <f>VLOOKUP($O178,'Mapa Oficinas'!$A$7:$C$46,3,FALSE)</f>
        <v>Villa La Angostura</v>
      </c>
    </row>
    <row r="179" spans="1:19" x14ac:dyDescent="0.2">
      <c r="A179" s="1">
        <v>45705</v>
      </c>
      <c r="B179" t="s">
        <v>8040</v>
      </c>
      <c r="D179" t="s">
        <v>8041</v>
      </c>
      <c r="E179" t="s">
        <v>16</v>
      </c>
      <c r="F179" t="s">
        <v>17</v>
      </c>
      <c r="G179" s="14">
        <v>85000</v>
      </c>
      <c r="H179" s="14">
        <v>85000</v>
      </c>
      <c r="I179" t="s">
        <v>22</v>
      </c>
      <c r="J179" t="s">
        <v>22</v>
      </c>
      <c r="K179" t="s">
        <v>8042</v>
      </c>
      <c r="L179" t="s">
        <v>1783</v>
      </c>
      <c r="M179" t="s">
        <v>19</v>
      </c>
      <c r="N179">
        <v>2</v>
      </c>
      <c r="O179" t="s">
        <v>151</v>
      </c>
      <c r="P179" t="s">
        <v>41</v>
      </c>
      <c r="Q179" t="s">
        <v>30</v>
      </c>
      <c r="R179" t="str">
        <f>VLOOKUP($O179,'Mapa Oficinas'!$A$7:$C$46,2,FALSE)</f>
        <v>Interior - Neuquén</v>
      </c>
      <c r="S179" t="str">
        <f>VLOOKUP($O179,'Mapa Oficinas'!$A$7:$C$46,3,FALSE)</f>
        <v>Capital Neuquén</v>
      </c>
    </row>
    <row r="180" spans="1:19" x14ac:dyDescent="0.2">
      <c r="A180" s="1">
        <v>45705</v>
      </c>
      <c r="B180" t="s">
        <v>8035</v>
      </c>
      <c r="D180" t="s">
        <v>8036</v>
      </c>
      <c r="E180" t="s">
        <v>16</v>
      </c>
      <c r="F180" t="s">
        <v>17</v>
      </c>
      <c r="G180" s="14">
        <v>99000</v>
      </c>
      <c r="H180" s="14">
        <v>97000</v>
      </c>
      <c r="I180" t="s">
        <v>22</v>
      </c>
      <c r="J180" t="s">
        <v>22</v>
      </c>
      <c r="K180" t="s">
        <v>8037</v>
      </c>
      <c r="L180" t="s">
        <v>1498</v>
      </c>
      <c r="M180" t="s">
        <v>19</v>
      </c>
      <c r="N180">
        <v>2</v>
      </c>
      <c r="O180" t="s">
        <v>198</v>
      </c>
      <c r="P180" t="s">
        <v>21</v>
      </c>
      <c r="Q180" t="s">
        <v>30</v>
      </c>
      <c r="R180" t="str">
        <f>VLOOKUP($O180,'Mapa Oficinas'!$A$7:$C$46,2,FALSE)</f>
        <v>CABA</v>
      </c>
      <c r="S180" t="str">
        <f>VLOOKUP($O180,'Mapa Oficinas'!$A$7:$C$46,3,FALSE)</f>
        <v>Caballito</v>
      </c>
    </row>
    <row r="181" spans="1:19" x14ac:dyDescent="0.2">
      <c r="A181" s="1">
        <v>45705</v>
      </c>
      <c r="B181" t="s">
        <v>8031</v>
      </c>
      <c r="D181" t="s">
        <v>8032</v>
      </c>
      <c r="E181" t="s">
        <v>16</v>
      </c>
      <c r="F181" t="s">
        <v>47</v>
      </c>
      <c r="G181" s="14">
        <v>116000</v>
      </c>
      <c r="H181" s="14">
        <v>100000</v>
      </c>
      <c r="I181" t="s">
        <v>22</v>
      </c>
      <c r="J181" t="s">
        <v>22</v>
      </c>
      <c r="K181" t="s">
        <v>8033</v>
      </c>
      <c r="L181" t="s">
        <v>8034</v>
      </c>
      <c r="M181" t="s">
        <v>97</v>
      </c>
      <c r="N181">
        <v>2</v>
      </c>
      <c r="O181" t="s">
        <v>50</v>
      </c>
      <c r="P181" t="s">
        <v>21</v>
      </c>
      <c r="Q181" t="s">
        <v>30</v>
      </c>
      <c r="R181" t="str">
        <f>VLOOKUP($O181,'Mapa Oficinas'!$A$7:$C$46,2,FALSE)</f>
        <v>CABA</v>
      </c>
      <c r="S181" t="str">
        <f>VLOOKUP($O181,'Mapa Oficinas'!$A$7:$C$46,3,FALSE)</f>
        <v>Villa Urquiza</v>
      </c>
    </row>
    <row r="182" spans="1:19" x14ac:dyDescent="0.2">
      <c r="A182" s="1">
        <v>45705</v>
      </c>
      <c r="B182" t="s">
        <v>2535</v>
      </c>
      <c r="D182" t="s">
        <v>2536</v>
      </c>
      <c r="E182" t="s">
        <v>16</v>
      </c>
      <c r="F182" t="s">
        <v>17</v>
      </c>
      <c r="G182" s="14">
        <v>115000</v>
      </c>
      <c r="H182" s="14">
        <v>112000</v>
      </c>
      <c r="I182" t="s">
        <v>22</v>
      </c>
      <c r="J182" t="s">
        <v>22</v>
      </c>
      <c r="K182" t="s">
        <v>2537</v>
      </c>
      <c r="L182" t="s">
        <v>2434</v>
      </c>
      <c r="M182" t="s">
        <v>19</v>
      </c>
      <c r="N182">
        <v>2</v>
      </c>
      <c r="O182" t="s">
        <v>142</v>
      </c>
      <c r="P182" t="s">
        <v>41</v>
      </c>
      <c r="Q182" t="s">
        <v>30</v>
      </c>
      <c r="R182" t="str">
        <f>VLOOKUP($O182,'Mapa Oficinas'!$A$7:$C$46,2,FALSE)</f>
        <v>Zona Norte (GBA)</v>
      </c>
      <c r="S182" t="str">
        <f>VLOOKUP($O182,'Mapa Oficinas'!$A$7:$C$46,3,FALSE)</f>
        <v>Nordelta</v>
      </c>
    </row>
    <row r="183" spans="1:19" x14ac:dyDescent="0.2">
      <c r="A183" s="1">
        <v>45705</v>
      </c>
      <c r="B183" t="s">
        <v>8046</v>
      </c>
      <c r="D183" t="s">
        <v>8047</v>
      </c>
      <c r="E183" t="s">
        <v>16</v>
      </c>
      <c r="F183" t="s">
        <v>1708</v>
      </c>
      <c r="G183" s="14">
        <v>162000</v>
      </c>
      <c r="H183" s="14">
        <v>157500</v>
      </c>
      <c r="I183" t="s">
        <v>22</v>
      </c>
      <c r="J183" t="s">
        <v>22</v>
      </c>
      <c r="K183" t="s">
        <v>8048</v>
      </c>
      <c r="L183" t="s">
        <v>2998</v>
      </c>
      <c r="M183" t="s">
        <v>28</v>
      </c>
      <c r="N183">
        <v>1</v>
      </c>
      <c r="O183" t="s">
        <v>246</v>
      </c>
      <c r="P183" t="s">
        <v>66</v>
      </c>
      <c r="Q183" t="s">
        <v>30</v>
      </c>
      <c r="R183" t="str">
        <f>VLOOKUP($O183,'Mapa Oficinas'!$A$7:$C$46,2,FALSE)</f>
        <v>Interior - Salta</v>
      </c>
      <c r="S183" t="str">
        <f>VLOOKUP($O183,'Mapa Oficinas'!$A$7:$C$46,3,FALSE)</f>
        <v>San Lorenzo Chico</v>
      </c>
    </row>
    <row r="184" spans="1:19" x14ac:dyDescent="0.2">
      <c r="A184" s="1">
        <v>45705</v>
      </c>
      <c r="B184" t="s">
        <v>8049</v>
      </c>
      <c r="D184" t="s">
        <v>8050</v>
      </c>
      <c r="E184" t="s">
        <v>16</v>
      </c>
      <c r="F184" t="s">
        <v>82</v>
      </c>
      <c r="G184" s="14">
        <v>195000</v>
      </c>
      <c r="H184" s="14">
        <v>185000</v>
      </c>
      <c r="I184" t="s">
        <v>22</v>
      </c>
      <c r="J184" t="s">
        <v>22</v>
      </c>
      <c r="K184" t="s">
        <v>8051</v>
      </c>
      <c r="L184" t="s">
        <v>1983</v>
      </c>
      <c r="M184" t="s">
        <v>28</v>
      </c>
      <c r="N184">
        <v>1</v>
      </c>
      <c r="O184" t="s">
        <v>98</v>
      </c>
      <c r="P184" t="s">
        <v>66</v>
      </c>
      <c r="Q184" t="s">
        <v>30</v>
      </c>
      <c r="R184" t="str">
        <f>VLOOKUP($O184,'Mapa Oficinas'!$A$7:$C$46,2,FALSE)</f>
        <v>Interior - Neuquén</v>
      </c>
      <c r="S184" t="str">
        <f>VLOOKUP($O184,'Mapa Oficinas'!$A$7:$C$46,3,FALSE)</f>
        <v>Villa La Angostura</v>
      </c>
    </row>
    <row r="185" spans="1:19" x14ac:dyDescent="0.2">
      <c r="A185" s="1">
        <v>45705</v>
      </c>
      <c r="B185" t="s">
        <v>8038</v>
      </c>
      <c r="D185" t="s">
        <v>8039</v>
      </c>
      <c r="E185" t="s">
        <v>16</v>
      </c>
      <c r="F185" t="s">
        <v>17</v>
      </c>
      <c r="G185" s="14">
        <v>195000</v>
      </c>
      <c r="H185" s="14">
        <v>185000</v>
      </c>
      <c r="I185" t="s">
        <v>22</v>
      </c>
      <c r="J185" t="s">
        <v>22</v>
      </c>
      <c r="K185" t="s">
        <v>8039</v>
      </c>
      <c r="L185" t="s">
        <v>5901</v>
      </c>
      <c r="M185" t="s">
        <v>97</v>
      </c>
      <c r="N185">
        <v>2</v>
      </c>
      <c r="O185" t="s">
        <v>142</v>
      </c>
      <c r="P185" t="s">
        <v>276</v>
      </c>
      <c r="Q185" t="s">
        <v>30</v>
      </c>
      <c r="R185" t="str">
        <f>VLOOKUP($O185,'Mapa Oficinas'!$A$7:$C$46,2,FALSE)</f>
        <v>Zona Norte (GBA)</v>
      </c>
      <c r="S185" t="str">
        <f>VLOOKUP($O185,'Mapa Oficinas'!$A$7:$C$46,3,FALSE)</f>
        <v>Nordelta</v>
      </c>
    </row>
    <row r="186" spans="1:19" x14ac:dyDescent="0.2">
      <c r="A186" s="1">
        <v>45705</v>
      </c>
      <c r="B186" t="s">
        <v>8028</v>
      </c>
      <c r="D186" t="s">
        <v>8029</v>
      </c>
      <c r="E186" t="s">
        <v>16</v>
      </c>
      <c r="F186" t="s">
        <v>58</v>
      </c>
      <c r="G186" s="14">
        <v>214900</v>
      </c>
      <c r="H186" s="14">
        <v>200000</v>
      </c>
      <c r="I186" t="s">
        <v>22</v>
      </c>
      <c r="J186" t="s">
        <v>22</v>
      </c>
      <c r="K186" t="s">
        <v>8030</v>
      </c>
      <c r="L186" t="s">
        <v>191</v>
      </c>
      <c r="M186" t="s">
        <v>19</v>
      </c>
      <c r="N186">
        <v>2</v>
      </c>
      <c r="O186" t="s">
        <v>50</v>
      </c>
      <c r="P186" t="s">
        <v>21</v>
      </c>
      <c r="Q186" t="s">
        <v>30</v>
      </c>
      <c r="R186" t="str">
        <f>VLOOKUP($O186,'Mapa Oficinas'!$A$7:$C$46,2,FALSE)</f>
        <v>CABA</v>
      </c>
      <c r="S186" t="str">
        <f>VLOOKUP($O186,'Mapa Oficinas'!$A$7:$C$46,3,FALSE)</f>
        <v>Villa Urquiza</v>
      </c>
    </row>
    <row r="187" spans="1:19" x14ac:dyDescent="0.2">
      <c r="A187" s="1">
        <v>45706</v>
      </c>
      <c r="B187" t="s">
        <v>8016</v>
      </c>
      <c r="D187" t="s">
        <v>8017</v>
      </c>
      <c r="E187" t="s">
        <v>16</v>
      </c>
      <c r="F187" t="s">
        <v>82</v>
      </c>
      <c r="G187" s="14">
        <v>68000</v>
      </c>
      <c r="H187" s="14">
        <v>64000</v>
      </c>
      <c r="I187" t="s">
        <v>22</v>
      </c>
      <c r="J187" t="s">
        <v>22</v>
      </c>
      <c r="K187" t="s">
        <v>8018</v>
      </c>
      <c r="L187" t="s">
        <v>8019</v>
      </c>
      <c r="M187" t="s">
        <v>97</v>
      </c>
      <c r="N187">
        <v>2</v>
      </c>
      <c r="O187" t="s">
        <v>103</v>
      </c>
      <c r="P187" t="s">
        <v>21</v>
      </c>
      <c r="Q187" t="s">
        <v>30</v>
      </c>
      <c r="R187" t="str">
        <f>VLOOKUP($O187,'Mapa Oficinas'!$A$7:$C$46,2,FALSE)</f>
        <v>CABA</v>
      </c>
      <c r="S187" t="str">
        <f>VLOOKUP($O187,'Mapa Oficinas'!$A$7:$C$46,3,FALSE)</f>
        <v>Barrio Parque</v>
      </c>
    </row>
    <row r="188" spans="1:19" x14ac:dyDescent="0.2">
      <c r="A188" s="1">
        <v>45706</v>
      </c>
      <c r="B188" t="s">
        <v>8025</v>
      </c>
      <c r="D188" t="s">
        <v>8026</v>
      </c>
      <c r="E188" t="s">
        <v>16</v>
      </c>
      <c r="F188" t="s">
        <v>17</v>
      </c>
      <c r="G188" s="14">
        <v>73000</v>
      </c>
      <c r="H188" s="14">
        <v>73000</v>
      </c>
      <c r="I188" t="s">
        <v>22</v>
      </c>
      <c r="J188" t="s">
        <v>22</v>
      </c>
      <c r="K188" t="s">
        <v>8027</v>
      </c>
      <c r="L188" t="s">
        <v>1679</v>
      </c>
      <c r="M188" t="s">
        <v>28</v>
      </c>
      <c r="N188">
        <v>2</v>
      </c>
      <c r="O188" t="s">
        <v>29</v>
      </c>
      <c r="P188" t="s">
        <v>276</v>
      </c>
      <c r="Q188" t="s">
        <v>30</v>
      </c>
      <c r="R188" t="str">
        <f>VLOOKUP($O188,'Mapa Oficinas'!$A$7:$C$46,2,FALSE)</f>
        <v>CABA</v>
      </c>
      <c r="S188" t="str">
        <f>VLOOKUP($O188,'Mapa Oficinas'!$A$7:$C$46,3,FALSE)</f>
        <v>Núñez</v>
      </c>
    </row>
    <row r="189" spans="1:19" x14ac:dyDescent="0.2">
      <c r="A189" s="1">
        <v>45706</v>
      </c>
      <c r="B189" t="s">
        <v>8012</v>
      </c>
      <c r="D189" t="s">
        <v>8013</v>
      </c>
      <c r="E189" t="s">
        <v>16</v>
      </c>
      <c r="F189" t="s">
        <v>17</v>
      </c>
      <c r="G189" s="14">
        <v>180000</v>
      </c>
      <c r="H189" s="14">
        <v>177000</v>
      </c>
      <c r="I189" t="s">
        <v>22</v>
      </c>
      <c r="J189" t="s">
        <v>22</v>
      </c>
      <c r="K189" t="s">
        <v>8013</v>
      </c>
      <c r="L189" t="s">
        <v>1274</v>
      </c>
      <c r="M189" t="s">
        <v>28</v>
      </c>
      <c r="N189">
        <v>2</v>
      </c>
      <c r="O189" t="s">
        <v>142</v>
      </c>
      <c r="P189" t="s">
        <v>41</v>
      </c>
      <c r="Q189" t="s">
        <v>30</v>
      </c>
      <c r="R189" t="str">
        <f>VLOOKUP($O189,'Mapa Oficinas'!$A$7:$C$46,2,FALSE)</f>
        <v>Zona Norte (GBA)</v>
      </c>
      <c r="S189" t="str">
        <f>VLOOKUP($O189,'Mapa Oficinas'!$A$7:$C$46,3,FALSE)</f>
        <v>Nordelta</v>
      </c>
    </row>
    <row r="190" spans="1:19" x14ac:dyDescent="0.2">
      <c r="A190" s="1">
        <v>45706</v>
      </c>
      <c r="B190" t="s">
        <v>8014</v>
      </c>
      <c r="D190" t="s">
        <v>1158</v>
      </c>
      <c r="E190" t="s">
        <v>16</v>
      </c>
      <c r="F190" t="s">
        <v>17</v>
      </c>
      <c r="G190" s="14">
        <v>195000</v>
      </c>
      <c r="H190" s="14">
        <v>187000</v>
      </c>
      <c r="I190" t="s">
        <v>22</v>
      </c>
      <c r="J190" t="s">
        <v>22</v>
      </c>
      <c r="K190" t="s">
        <v>8015</v>
      </c>
      <c r="L190" t="s">
        <v>191</v>
      </c>
      <c r="M190" t="s">
        <v>19</v>
      </c>
      <c r="N190">
        <v>2</v>
      </c>
      <c r="O190" t="s">
        <v>73</v>
      </c>
      <c r="P190" t="s">
        <v>21</v>
      </c>
      <c r="Q190" t="s">
        <v>30</v>
      </c>
      <c r="R190" t="str">
        <f>VLOOKUP($O190,'Mapa Oficinas'!$A$7:$C$46,2,FALSE)</f>
        <v>CABA</v>
      </c>
      <c r="S190" t="str">
        <f>VLOOKUP($O190,'Mapa Oficinas'!$A$7:$C$46,3,FALSE)</f>
        <v>Recoleta</v>
      </c>
    </row>
    <row r="191" spans="1:19" x14ac:dyDescent="0.2">
      <c r="A191" s="1">
        <v>45706</v>
      </c>
      <c r="B191">
        <v>10298</v>
      </c>
      <c r="D191" t="s">
        <v>8011</v>
      </c>
      <c r="E191" t="s">
        <v>16</v>
      </c>
      <c r="F191" t="s">
        <v>17</v>
      </c>
      <c r="G191" s="14">
        <v>0</v>
      </c>
      <c r="H191" s="14">
        <v>210000</v>
      </c>
      <c r="I191" t="s">
        <v>22</v>
      </c>
      <c r="J191" t="s">
        <v>22</v>
      </c>
      <c r="L191" t="s">
        <v>107</v>
      </c>
      <c r="M191" t="s">
        <v>19</v>
      </c>
      <c r="N191">
        <v>1</v>
      </c>
      <c r="O191" t="s">
        <v>103</v>
      </c>
      <c r="P191" t="s">
        <v>146</v>
      </c>
      <c r="Q191" t="s">
        <v>30</v>
      </c>
      <c r="R191" t="str">
        <f>VLOOKUP($O191,'Mapa Oficinas'!$A$7:$C$46,2,FALSE)</f>
        <v>CABA</v>
      </c>
      <c r="S191" t="str">
        <f>VLOOKUP($O191,'Mapa Oficinas'!$A$7:$C$46,3,FALSE)</f>
        <v>Barrio Parque</v>
      </c>
    </row>
    <row r="192" spans="1:19" x14ac:dyDescent="0.2">
      <c r="A192" s="1">
        <v>45706</v>
      </c>
      <c r="B192">
        <v>10298</v>
      </c>
      <c r="D192" t="s">
        <v>8011</v>
      </c>
      <c r="E192" t="s">
        <v>16</v>
      </c>
      <c r="F192" t="s">
        <v>17</v>
      </c>
      <c r="G192" s="14">
        <v>0</v>
      </c>
      <c r="H192" s="14">
        <v>210000</v>
      </c>
      <c r="I192" t="s">
        <v>22</v>
      </c>
      <c r="J192" t="s">
        <v>22</v>
      </c>
      <c r="L192" t="s">
        <v>107</v>
      </c>
      <c r="M192" t="s">
        <v>19</v>
      </c>
      <c r="N192">
        <v>1</v>
      </c>
      <c r="O192" t="s">
        <v>103</v>
      </c>
      <c r="P192" t="s">
        <v>146</v>
      </c>
      <c r="Q192" t="s">
        <v>30</v>
      </c>
      <c r="R192" t="str">
        <f>VLOOKUP($O192,'Mapa Oficinas'!$A$7:$C$46,2,FALSE)</f>
        <v>CABA</v>
      </c>
      <c r="S192" t="str">
        <f>VLOOKUP($O192,'Mapa Oficinas'!$A$7:$C$46,3,FALSE)</f>
        <v>Barrio Parque</v>
      </c>
    </row>
    <row r="193" spans="1:19" x14ac:dyDescent="0.2">
      <c r="A193" s="1">
        <v>45706</v>
      </c>
      <c r="B193" t="s">
        <v>8022</v>
      </c>
      <c r="D193" t="s">
        <v>8023</v>
      </c>
      <c r="E193" t="s">
        <v>16</v>
      </c>
      <c r="F193" t="s">
        <v>17</v>
      </c>
      <c r="G193" s="14">
        <v>605000</v>
      </c>
      <c r="H193" s="14">
        <v>680000</v>
      </c>
      <c r="I193" t="s">
        <v>22</v>
      </c>
      <c r="J193" t="s">
        <v>22</v>
      </c>
      <c r="K193" t="s">
        <v>8024</v>
      </c>
      <c r="L193" t="s">
        <v>117</v>
      </c>
      <c r="M193" t="s">
        <v>19</v>
      </c>
      <c r="N193">
        <v>2</v>
      </c>
      <c r="O193" t="s">
        <v>201</v>
      </c>
      <c r="P193" t="s">
        <v>21</v>
      </c>
      <c r="Q193" t="s">
        <v>30</v>
      </c>
      <c r="R193" t="str">
        <f>VLOOKUP($O193,'Mapa Oficinas'!$A$7:$C$46,2,FALSE)</f>
        <v>CABA</v>
      </c>
      <c r="S193" t="str">
        <f>VLOOKUP($O193,'Mapa Oficinas'!$A$7:$C$46,3,FALSE)</f>
        <v>Recoleta</v>
      </c>
    </row>
    <row r="194" spans="1:19" x14ac:dyDescent="0.2">
      <c r="A194" s="1">
        <v>45707</v>
      </c>
      <c r="B194" t="s">
        <v>8005</v>
      </c>
      <c r="D194" t="s">
        <v>8006</v>
      </c>
      <c r="E194" t="s">
        <v>16</v>
      </c>
      <c r="F194" t="s">
        <v>17</v>
      </c>
      <c r="G194" s="14">
        <v>70000</v>
      </c>
      <c r="H194" s="14">
        <v>70000</v>
      </c>
      <c r="I194" t="s">
        <v>22</v>
      </c>
      <c r="J194" t="s">
        <v>22</v>
      </c>
      <c r="K194" t="s">
        <v>8007</v>
      </c>
      <c r="L194" t="s">
        <v>160</v>
      </c>
      <c r="M194" t="s">
        <v>300</v>
      </c>
      <c r="N194">
        <v>1</v>
      </c>
      <c r="O194" t="s">
        <v>151</v>
      </c>
      <c r="P194" t="s">
        <v>146</v>
      </c>
      <c r="Q194" t="s">
        <v>30</v>
      </c>
      <c r="R194" t="str">
        <f>VLOOKUP($O194,'Mapa Oficinas'!$A$7:$C$46,2,FALSE)</f>
        <v>Interior - Neuquén</v>
      </c>
      <c r="S194" t="str">
        <f>VLOOKUP($O194,'Mapa Oficinas'!$A$7:$C$46,3,FALSE)</f>
        <v>Capital Neuquén</v>
      </c>
    </row>
    <row r="195" spans="1:19" x14ac:dyDescent="0.2">
      <c r="A195" s="1">
        <v>45707</v>
      </c>
      <c r="B195" t="s">
        <v>8002</v>
      </c>
      <c r="D195" t="s">
        <v>8003</v>
      </c>
      <c r="E195" t="s">
        <v>16</v>
      </c>
      <c r="F195" t="s">
        <v>38</v>
      </c>
      <c r="G195" s="14">
        <v>210000</v>
      </c>
      <c r="H195" s="14">
        <v>187000</v>
      </c>
      <c r="I195" t="s">
        <v>22</v>
      </c>
      <c r="J195" t="s">
        <v>22</v>
      </c>
      <c r="K195" t="s">
        <v>8004</v>
      </c>
      <c r="L195" t="s">
        <v>576</v>
      </c>
      <c r="M195" t="s">
        <v>97</v>
      </c>
      <c r="N195">
        <v>2</v>
      </c>
      <c r="O195" t="s">
        <v>87</v>
      </c>
      <c r="P195" t="s">
        <v>276</v>
      </c>
      <c r="Q195" t="s">
        <v>30</v>
      </c>
      <c r="R195" t="str">
        <f>VLOOKUP($O195,'Mapa Oficinas'!$A$7:$C$46,2,FALSE)</f>
        <v>Zona Norte (GBA)</v>
      </c>
      <c r="S195" t="str">
        <f>VLOOKUP($O195,'Mapa Oficinas'!$A$7:$C$46,3,FALSE)</f>
        <v>Tigre</v>
      </c>
    </row>
    <row r="196" spans="1:19" x14ac:dyDescent="0.2">
      <c r="A196" s="1">
        <v>45707</v>
      </c>
      <c r="B196" t="s">
        <v>7353</v>
      </c>
      <c r="D196" t="s">
        <v>7353</v>
      </c>
      <c r="E196" t="s">
        <v>16</v>
      </c>
      <c r="F196" t="s">
        <v>17</v>
      </c>
      <c r="G196" s="14">
        <v>665000</v>
      </c>
      <c r="H196" s="14">
        <v>665000</v>
      </c>
      <c r="I196" t="s">
        <v>22</v>
      </c>
      <c r="J196" t="s">
        <v>22</v>
      </c>
      <c r="K196" t="s">
        <v>7353</v>
      </c>
      <c r="L196" t="s">
        <v>413</v>
      </c>
      <c r="M196" t="s">
        <v>97</v>
      </c>
      <c r="N196">
        <v>2</v>
      </c>
      <c r="O196" t="s">
        <v>35</v>
      </c>
      <c r="P196" t="s">
        <v>21</v>
      </c>
      <c r="Q196" t="s">
        <v>30</v>
      </c>
      <c r="R196" t="str">
        <f>VLOOKUP($O196,'Mapa Oficinas'!$A$7:$C$46,2,FALSE)</f>
        <v>Zona Norte (GBA)</v>
      </c>
      <c r="S196" t="str">
        <f>VLOOKUP($O196,'Mapa Oficinas'!$A$7:$C$46,3,FALSE)</f>
        <v>Vicente López</v>
      </c>
    </row>
    <row r="197" spans="1:19" x14ac:dyDescent="0.2">
      <c r="A197" s="1">
        <v>45708</v>
      </c>
      <c r="B197" t="s">
        <v>7992</v>
      </c>
      <c r="D197" t="s">
        <v>7993</v>
      </c>
      <c r="E197" t="s">
        <v>16</v>
      </c>
      <c r="F197" t="s">
        <v>17</v>
      </c>
      <c r="G197" s="14">
        <v>49000</v>
      </c>
      <c r="H197" s="14">
        <v>49000</v>
      </c>
      <c r="I197" t="s">
        <v>22</v>
      </c>
      <c r="J197" t="s">
        <v>22</v>
      </c>
      <c r="K197" t="s">
        <v>7994</v>
      </c>
      <c r="L197" t="s">
        <v>164</v>
      </c>
      <c r="M197" t="s">
        <v>19</v>
      </c>
      <c r="N197">
        <v>2</v>
      </c>
      <c r="O197" t="s">
        <v>198</v>
      </c>
      <c r="P197" t="s">
        <v>21</v>
      </c>
      <c r="Q197" t="s">
        <v>30</v>
      </c>
      <c r="R197" t="str">
        <f>VLOOKUP($O197,'Mapa Oficinas'!$A$7:$C$46,2,FALSE)</f>
        <v>CABA</v>
      </c>
      <c r="S197" t="str">
        <f>VLOOKUP($O197,'Mapa Oficinas'!$A$7:$C$46,3,FALSE)</f>
        <v>Caballito</v>
      </c>
    </row>
    <row r="198" spans="1:19" x14ac:dyDescent="0.2">
      <c r="A198" s="1">
        <v>45708</v>
      </c>
      <c r="B198" t="s">
        <v>7995</v>
      </c>
      <c r="D198" t="s">
        <v>7996</v>
      </c>
      <c r="E198" t="s">
        <v>16</v>
      </c>
      <c r="F198" t="s">
        <v>17</v>
      </c>
      <c r="G198" s="14">
        <v>75000</v>
      </c>
      <c r="H198" s="14">
        <v>66700</v>
      </c>
      <c r="I198" t="s">
        <v>22</v>
      </c>
      <c r="J198" t="s">
        <v>22</v>
      </c>
      <c r="K198" t="s">
        <v>7997</v>
      </c>
      <c r="L198" t="s">
        <v>7998</v>
      </c>
      <c r="M198" t="s">
        <v>97</v>
      </c>
      <c r="N198">
        <v>2</v>
      </c>
      <c r="O198" t="s">
        <v>151</v>
      </c>
      <c r="P198" t="s">
        <v>21</v>
      </c>
      <c r="Q198" t="s">
        <v>30</v>
      </c>
      <c r="R198" t="str">
        <f>VLOOKUP($O198,'Mapa Oficinas'!$A$7:$C$46,2,FALSE)</f>
        <v>Interior - Neuquén</v>
      </c>
      <c r="S198" t="str">
        <f>VLOOKUP($O198,'Mapa Oficinas'!$A$7:$C$46,3,FALSE)</f>
        <v>Capital Neuquén</v>
      </c>
    </row>
    <row r="199" spans="1:19" x14ac:dyDescent="0.2">
      <c r="A199" s="1">
        <v>45708</v>
      </c>
      <c r="B199" t="s">
        <v>7991</v>
      </c>
      <c r="D199" t="s">
        <v>7991</v>
      </c>
      <c r="E199" t="s">
        <v>16</v>
      </c>
      <c r="F199" t="s">
        <v>17</v>
      </c>
      <c r="G199" s="14">
        <v>84000</v>
      </c>
      <c r="H199" s="14">
        <v>79000</v>
      </c>
      <c r="I199" t="s">
        <v>22</v>
      </c>
      <c r="J199" t="s">
        <v>22</v>
      </c>
      <c r="K199" t="s">
        <v>7991</v>
      </c>
      <c r="L199" t="s">
        <v>413</v>
      </c>
      <c r="M199" t="s">
        <v>19</v>
      </c>
      <c r="N199">
        <v>2</v>
      </c>
      <c r="O199" t="s">
        <v>35</v>
      </c>
      <c r="P199" t="s">
        <v>21</v>
      </c>
      <c r="Q199" t="s">
        <v>30</v>
      </c>
      <c r="R199" t="str">
        <f>VLOOKUP($O199,'Mapa Oficinas'!$A$7:$C$46,2,FALSE)</f>
        <v>Zona Norte (GBA)</v>
      </c>
      <c r="S199" t="str">
        <f>VLOOKUP($O199,'Mapa Oficinas'!$A$7:$C$46,3,FALSE)</f>
        <v>Vicente López</v>
      </c>
    </row>
    <row r="200" spans="1:19" x14ac:dyDescent="0.2">
      <c r="A200" s="1">
        <v>45708</v>
      </c>
      <c r="B200" t="s">
        <v>7984</v>
      </c>
      <c r="D200" t="s">
        <v>7985</v>
      </c>
      <c r="E200" t="s">
        <v>16</v>
      </c>
      <c r="F200" t="s">
        <v>17</v>
      </c>
      <c r="G200" s="14">
        <v>82000</v>
      </c>
      <c r="H200" s="14">
        <v>80000</v>
      </c>
      <c r="I200" t="s">
        <v>22</v>
      </c>
      <c r="J200" t="s">
        <v>22</v>
      </c>
      <c r="K200" t="s">
        <v>7986</v>
      </c>
      <c r="L200" t="s">
        <v>1571</v>
      </c>
      <c r="M200" t="s">
        <v>19</v>
      </c>
      <c r="N200">
        <v>2</v>
      </c>
      <c r="O200" t="s">
        <v>103</v>
      </c>
      <c r="P200" t="s">
        <v>21</v>
      </c>
      <c r="Q200" t="s">
        <v>30</v>
      </c>
      <c r="R200" t="str">
        <f>VLOOKUP($O200,'Mapa Oficinas'!$A$7:$C$46,2,FALSE)</f>
        <v>CABA</v>
      </c>
      <c r="S200" t="str">
        <f>VLOOKUP($O200,'Mapa Oficinas'!$A$7:$C$46,3,FALSE)</f>
        <v>Barrio Parque</v>
      </c>
    </row>
    <row r="201" spans="1:19" x14ac:dyDescent="0.2">
      <c r="A201" s="1">
        <v>45708</v>
      </c>
      <c r="B201" t="s">
        <v>7976</v>
      </c>
      <c r="D201" t="s">
        <v>7977</v>
      </c>
      <c r="E201" t="s">
        <v>16</v>
      </c>
      <c r="F201" t="s">
        <v>134</v>
      </c>
      <c r="G201" s="14">
        <v>105000</v>
      </c>
      <c r="H201" s="14">
        <v>91500</v>
      </c>
      <c r="I201" t="s">
        <v>22</v>
      </c>
      <c r="J201" t="s">
        <v>22</v>
      </c>
      <c r="K201" t="s">
        <v>594</v>
      </c>
      <c r="L201" t="s">
        <v>136</v>
      </c>
      <c r="M201" t="s">
        <v>19</v>
      </c>
      <c r="N201">
        <v>2</v>
      </c>
      <c r="O201" t="s">
        <v>130</v>
      </c>
      <c r="P201" t="s">
        <v>41</v>
      </c>
      <c r="Q201" t="s">
        <v>30</v>
      </c>
      <c r="R201" t="str">
        <f>VLOOKUP($O201,'Mapa Oficinas'!$A$7:$C$46,2,FALSE)</f>
        <v>Interior - Río Negro</v>
      </c>
      <c r="S201" t="str">
        <f>VLOOKUP($O201,'Mapa Oficinas'!$A$7:$C$46,3,FALSE)</f>
        <v>Bariloche</v>
      </c>
    </row>
    <row r="202" spans="1:19" x14ac:dyDescent="0.2">
      <c r="A202" s="1">
        <v>45708</v>
      </c>
      <c r="B202" t="s">
        <v>7981</v>
      </c>
      <c r="D202" t="s">
        <v>7982</v>
      </c>
      <c r="E202" t="s">
        <v>16</v>
      </c>
      <c r="F202" t="s">
        <v>47</v>
      </c>
      <c r="G202" s="14">
        <v>140000</v>
      </c>
      <c r="H202" s="14">
        <v>140000</v>
      </c>
      <c r="I202" t="s">
        <v>22</v>
      </c>
      <c r="J202" t="s">
        <v>22</v>
      </c>
      <c r="L202" t="s">
        <v>358</v>
      </c>
      <c r="M202" t="s">
        <v>97</v>
      </c>
      <c r="N202">
        <v>2</v>
      </c>
      <c r="O202" t="s">
        <v>359</v>
      </c>
      <c r="P202" t="s">
        <v>21</v>
      </c>
      <c r="Q202" t="s">
        <v>30</v>
      </c>
      <c r="R202" t="str">
        <f>VLOOKUP($O202,'Mapa Oficinas'!$A$7:$C$46,2,FALSE)</f>
        <v>CABA</v>
      </c>
      <c r="S202" t="str">
        <f>VLOOKUP($O202,'Mapa Oficinas'!$A$7:$C$46,3,FALSE)</f>
        <v>Palermo</v>
      </c>
    </row>
    <row r="203" spans="1:19" x14ac:dyDescent="0.2">
      <c r="A203" s="1">
        <v>45708</v>
      </c>
      <c r="B203" t="s">
        <v>7999</v>
      </c>
      <c r="D203" t="s">
        <v>8000</v>
      </c>
      <c r="E203" t="s">
        <v>16</v>
      </c>
      <c r="F203" t="s">
        <v>17</v>
      </c>
      <c r="G203" s="14">
        <v>160000</v>
      </c>
      <c r="H203" s="14">
        <v>148000</v>
      </c>
      <c r="I203" t="s">
        <v>22</v>
      </c>
      <c r="J203" t="s">
        <v>22</v>
      </c>
      <c r="K203" t="s">
        <v>8001</v>
      </c>
      <c r="L203" t="s">
        <v>318</v>
      </c>
      <c r="M203" t="s">
        <v>72</v>
      </c>
      <c r="N203">
        <v>2</v>
      </c>
      <c r="O203" t="s">
        <v>103</v>
      </c>
      <c r="P203" t="s">
        <v>21</v>
      </c>
      <c r="Q203" t="s">
        <v>30</v>
      </c>
      <c r="R203" t="str">
        <f>VLOOKUP($O203,'Mapa Oficinas'!$A$7:$C$46,2,FALSE)</f>
        <v>CABA</v>
      </c>
      <c r="S203" t="str">
        <f>VLOOKUP($O203,'Mapa Oficinas'!$A$7:$C$46,3,FALSE)</f>
        <v>Barrio Parque</v>
      </c>
    </row>
    <row r="204" spans="1:19" x14ac:dyDescent="0.2">
      <c r="A204" s="1">
        <v>45708</v>
      </c>
      <c r="B204">
        <v>10304</v>
      </c>
      <c r="D204" t="s">
        <v>7983</v>
      </c>
      <c r="E204" t="s">
        <v>16</v>
      </c>
      <c r="F204" t="s">
        <v>17</v>
      </c>
      <c r="G204" s="14">
        <v>0</v>
      </c>
      <c r="H204" s="14">
        <v>168000</v>
      </c>
      <c r="I204" t="s">
        <v>22</v>
      </c>
      <c r="J204" t="s">
        <v>22</v>
      </c>
      <c r="L204" t="s">
        <v>164</v>
      </c>
      <c r="M204" t="s">
        <v>19</v>
      </c>
      <c r="N204">
        <v>2</v>
      </c>
      <c r="O204" t="s">
        <v>103</v>
      </c>
      <c r="P204" t="s">
        <v>36</v>
      </c>
      <c r="Q204" t="s">
        <v>30</v>
      </c>
      <c r="R204" t="str">
        <f>VLOOKUP($O204,'Mapa Oficinas'!$A$7:$C$46,2,FALSE)</f>
        <v>CABA</v>
      </c>
      <c r="S204" t="str">
        <f>VLOOKUP($O204,'Mapa Oficinas'!$A$7:$C$46,3,FALSE)</f>
        <v>Barrio Parque</v>
      </c>
    </row>
    <row r="205" spans="1:19" x14ac:dyDescent="0.2">
      <c r="A205" s="1">
        <v>45708</v>
      </c>
      <c r="B205">
        <v>10301</v>
      </c>
      <c r="D205" t="s">
        <v>7980</v>
      </c>
      <c r="E205" t="s">
        <v>16</v>
      </c>
      <c r="F205" t="s">
        <v>17</v>
      </c>
      <c r="G205" s="14">
        <v>0</v>
      </c>
      <c r="H205" s="14">
        <v>230000</v>
      </c>
      <c r="I205" t="s">
        <v>22</v>
      </c>
      <c r="J205" t="s">
        <v>22</v>
      </c>
      <c r="L205" t="s">
        <v>226</v>
      </c>
      <c r="M205" t="s">
        <v>19</v>
      </c>
      <c r="N205">
        <v>1</v>
      </c>
      <c r="O205" t="s">
        <v>103</v>
      </c>
      <c r="P205" t="s">
        <v>146</v>
      </c>
      <c r="Q205" t="s">
        <v>30</v>
      </c>
      <c r="R205" t="str">
        <f>VLOOKUP($O205,'Mapa Oficinas'!$A$7:$C$46,2,FALSE)</f>
        <v>CABA</v>
      </c>
      <c r="S205" t="str">
        <f>VLOOKUP($O205,'Mapa Oficinas'!$A$7:$C$46,3,FALSE)</f>
        <v>Barrio Parque</v>
      </c>
    </row>
    <row r="206" spans="1:19" x14ac:dyDescent="0.2">
      <c r="A206" s="1">
        <v>45708</v>
      </c>
      <c r="B206" t="s">
        <v>7987</v>
      </c>
      <c r="D206" t="s">
        <v>7988</v>
      </c>
      <c r="E206" t="s">
        <v>16</v>
      </c>
      <c r="F206" t="s">
        <v>17</v>
      </c>
      <c r="G206" s="14">
        <v>320000</v>
      </c>
      <c r="H206" s="14">
        <v>315000</v>
      </c>
      <c r="I206" t="s">
        <v>22</v>
      </c>
      <c r="J206" t="s">
        <v>22</v>
      </c>
      <c r="K206" t="s">
        <v>7989</v>
      </c>
      <c r="L206" t="s">
        <v>7990</v>
      </c>
      <c r="M206" t="s">
        <v>28</v>
      </c>
      <c r="N206">
        <v>2</v>
      </c>
      <c r="O206" t="s">
        <v>20</v>
      </c>
      <c r="P206" t="s">
        <v>276</v>
      </c>
      <c r="Q206" t="s">
        <v>30</v>
      </c>
      <c r="R206" t="str">
        <f>VLOOKUP($O206,'Mapa Oficinas'!$A$7:$C$46,2,FALSE)</f>
        <v>CABA</v>
      </c>
      <c r="S206" t="str">
        <f>VLOOKUP($O206,'Mapa Oficinas'!$A$7:$C$46,3,FALSE)</f>
        <v>Palermo</v>
      </c>
    </row>
    <row r="207" spans="1:19" x14ac:dyDescent="0.2">
      <c r="A207" s="1">
        <v>45709</v>
      </c>
      <c r="B207" t="s">
        <v>7963</v>
      </c>
      <c r="D207" t="s">
        <v>7964</v>
      </c>
      <c r="E207" t="s">
        <v>16</v>
      </c>
      <c r="F207" t="s">
        <v>17</v>
      </c>
      <c r="G207" s="14">
        <v>75000</v>
      </c>
      <c r="H207" s="14">
        <v>73500</v>
      </c>
      <c r="I207" t="s">
        <v>22</v>
      </c>
      <c r="J207" t="s">
        <v>22</v>
      </c>
      <c r="K207" t="s">
        <v>7965</v>
      </c>
      <c r="L207" t="s">
        <v>1017</v>
      </c>
      <c r="M207" t="s">
        <v>19</v>
      </c>
      <c r="N207">
        <v>2</v>
      </c>
      <c r="O207" t="s">
        <v>103</v>
      </c>
      <c r="P207" t="s">
        <v>21</v>
      </c>
      <c r="Q207" t="s">
        <v>30</v>
      </c>
      <c r="R207" t="str">
        <f>VLOOKUP($O207,'Mapa Oficinas'!$A$7:$C$46,2,FALSE)</f>
        <v>CABA</v>
      </c>
      <c r="S207" t="str">
        <f>VLOOKUP($O207,'Mapa Oficinas'!$A$7:$C$46,3,FALSE)</f>
        <v>Barrio Parque</v>
      </c>
    </row>
    <row r="208" spans="1:19" x14ac:dyDescent="0.2">
      <c r="A208" s="1">
        <v>45709</v>
      </c>
      <c r="B208" t="s">
        <v>7973</v>
      </c>
      <c r="D208" t="s">
        <v>7974</v>
      </c>
      <c r="E208" t="s">
        <v>16</v>
      </c>
      <c r="F208" t="s">
        <v>243</v>
      </c>
      <c r="G208" s="14">
        <v>140000</v>
      </c>
      <c r="H208" s="14">
        <v>120000</v>
      </c>
      <c r="I208" t="s">
        <v>22</v>
      </c>
      <c r="J208" t="s">
        <v>22</v>
      </c>
      <c r="K208" t="s">
        <v>7975</v>
      </c>
      <c r="L208" t="s">
        <v>1239</v>
      </c>
      <c r="M208" t="s">
        <v>28</v>
      </c>
      <c r="N208">
        <v>2</v>
      </c>
      <c r="O208" t="s">
        <v>246</v>
      </c>
      <c r="P208" t="s">
        <v>41</v>
      </c>
      <c r="Q208" t="s">
        <v>30</v>
      </c>
      <c r="R208" t="str">
        <f>VLOOKUP($O208,'Mapa Oficinas'!$A$7:$C$46,2,FALSE)</f>
        <v>Interior - Salta</v>
      </c>
      <c r="S208" t="str">
        <f>VLOOKUP($O208,'Mapa Oficinas'!$A$7:$C$46,3,FALSE)</f>
        <v>San Lorenzo Chico</v>
      </c>
    </row>
    <row r="209" spans="1:19" x14ac:dyDescent="0.2">
      <c r="A209" s="1">
        <v>45709</v>
      </c>
      <c r="B209" t="s">
        <v>7960</v>
      </c>
      <c r="D209" t="s">
        <v>7961</v>
      </c>
      <c r="E209" t="s">
        <v>16</v>
      </c>
      <c r="F209" t="s">
        <v>17</v>
      </c>
      <c r="G209" s="14">
        <v>135000</v>
      </c>
      <c r="H209" s="14">
        <v>129000</v>
      </c>
      <c r="I209" t="s">
        <v>22</v>
      </c>
      <c r="J209" t="s">
        <v>22</v>
      </c>
      <c r="K209" t="s">
        <v>7962</v>
      </c>
      <c r="L209" t="s">
        <v>191</v>
      </c>
      <c r="M209" t="s">
        <v>19</v>
      </c>
      <c r="N209">
        <v>2</v>
      </c>
      <c r="O209" t="s">
        <v>103</v>
      </c>
      <c r="P209" t="s">
        <v>21</v>
      </c>
      <c r="Q209" t="s">
        <v>30</v>
      </c>
      <c r="R209" t="str">
        <f>VLOOKUP($O209,'Mapa Oficinas'!$A$7:$C$46,2,FALSE)</f>
        <v>CABA</v>
      </c>
      <c r="S209" t="str">
        <f>VLOOKUP($O209,'Mapa Oficinas'!$A$7:$C$46,3,FALSE)</f>
        <v>Barrio Parque</v>
      </c>
    </row>
    <row r="210" spans="1:19" x14ac:dyDescent="0.2">
      <c r="A210" s="1">
        <v>45709</v>
      </c>
      <c r="B210" t="s">
        <v>7970</v>
      </c>
      <c r="D210" t="s">
        <v>7971</v>
      </c>
      <c r="E210" t="s">
        <v>16</v>
      </c>
      <c r="F210" t="s">
        <v>17</v>
      </c>
      <c r="G210" s="14">
        <v>273000</v>
      </c>
      <c r="H210" s="14">
        <v>240000</v>
      </c>
      <c r="I210" t="s">
        <v>22</v>
      </c>
      <c r="J210" t="s">
        <v>22</v>
      </c>
      <c r="K210" t="s">
        <v>7972</v>
      </c>
      <c r="L210" t="s">
        <v>164</v>
      </c>
      <c r="M210" t="s">
        <v>28</v>
      </c>
      <c r="N210">
        <v>2</v>
      </c>
      <c r="O210" t="s">
        <v>50</v>
      </c>
      <c r="P210" t="s">
        <v>21</v>
      </c>
      <c r="Q210" t="s">
        <v>30</v>
      </c>
      <c r="R210" t="str">
        <f>VLOOKUP($O210,'Mapa Oficinas'!$A$7:$C$46,2,FALSE)</f>
        <v>CABA</v>
      </c>
      <c r="S210" t="str">
        <f>VLOOKUP($O210,'Mapa Oficinas'!$A$7:$C$46,3,FALSE)</f>
        <v>Villa Urquiza</v>
      </c>
    </row>
    <row r="211" spans="1:19" x14ac:dyDescent="0.2">
      <c r="A211" s="1">
        <v>45709</v>
      </c>
      <c r="B211" t="s">
        <v>7966</v>
      </c>
      <c r="D211" t="s">
        <v>7967</v>
      </c>
      <c r="E211" t="s">
        <v>16</v>
      </c>
      <c r="F211" t="s">
        <v>38</v>
      </c>
      <c r="G211" s="14">
        <v>1600</v>
      </c>
      <c r="H211" s="14">
        <v>300000</v>
      </c>
      <c r="I211" t="s">
        <v>22</v>
      </c>
      <c r="J211" t="s">
        <v>22</v>
      </c>
      <c r="K211" t="s">
        <v>7968</v>
      </c>
      <c r="L211" t="s">
        <v>1399</v>
      </c>
      <c r="M211" t="s">
        <v>28</v>
      </c>
      <c r="N211">
        <v>2</v>
      </c>
      <c r="O211" t="s">
        <v>40</v>
      </c>
      <c r="P211" t="s">
        <v>21</v>
      </c>
      <c r="Q211" t="s">
        <v>30</v>
      </c>
      <c r="R211" t="str">
        <f>VLOOKUP($O211,'Mapa Oficinas'!$A$7:$C$46,2,FALSE)</f>
        <v>Zona Norte (GBA)</v>
      </c>
      <c r="S211" t="str">
        <f>VLOOKUP($O211,'Mapa Oficinas'!$A$7:$C$46,3,FALSE)</f>
        <v>Pilar</v>
      </c>
    </row>
    <row r="212" spans="1:19" x14ac:dyDescent="0.2">
      <c r="A212" s="1">
        <v>45710</v>
      </c>
      <c r="B212" t="s">
        <v>7957</v>
      </c>
      <c r="D212" t="s">
        <v>7958</v>
      </c>
      <c r="E212" t="s">
        <v>16</v>
      </c>
      <c r="F212" t="s">
        <v>38</v>
      </c>
      <c r="G212" s="14">
        <v>180000</v>
      </c>
      <c r="H212" s="14">
        <v>180000</v>
      </c>
      <c r="I212" t="s">
        <v>22</v>
      </c>
      <c r="J212" t="s">
        <v>22</v>
      </c>
      <c r="K212" t="s">
        <v>7959</v>
      </c>
      <c r="L212" t="s">
        <v>1587</v>
      </c>
      <c r="M212" t="s">
        <v>28</v>
      </c>
      <c r="N212">
        <v>1</v>
      </c>
      <c r="O212" t="s">
        <v>55</v>
      </c>
      <c r="P212" t="s">
        <v>66</v>
      </c>
      <c r="Q212" t="s">
        <v>30</v>
      </c>
      <c r="R212" t="str">
        <f>VLOOKUP($O212,'Mapa Oficinas'!$A$7:$C$46,2,FALSE)</f>
        <v>Interior - Santa Fe</v>
      </c>
      <c r="S212" t="str">
        <f>VLOOKUP($O212,'Mapa Oficinas'!$A$7:$C$46,3,FALSE)</f>
        <v>Capital Santa Fe</v>
      </c>
    </row>
    <row r="213" spans="1:19" x14ac:dyDescent="0.2">
      <c r="A213" s="1">
        <v>45712</v>
      </c>
      <c r="B213" t="s">
        <v>7943</v>
      </c>
      <c r="D213" t="s">
        <v>7944</v>
      </c>
      <c r="E213" t="s">
        <v>16</v>
      </c>
      <c r="F213" t="s">
        <v>17</v>
      </c>
      <c r="G213" s="14">
        <v>65000</v>
      </c>
      <c r="H213" s="14">
        <v>62000</v>
      </c>
      <c r="I213" t="s">
        <v>22</v>
      </c>
      <c r="J213" t="s">
        <v>22</v>
      </c>
      <c r="K213" t="s">
        <v>6156</v>
      </c>
      <c r="L213" t="s">
        <v>37</v>
      </c>
      <c r="M213" t="s">
        <v>19</v>
      </c>
      <c r="N213">
        <v>2</v>
      </c>
      <c r="O213" t="s">
        <v>103</v>
      </c>
      <c r="P213" t="s">
        <v>21</v>
      </c>
      <c r="Q213" t="s">
        <v>30</v>
      </c>
      <c r="R213" t="str">
        <f>VLOOKUP($O213,'Mapa Oficinas'!$A$7:$C$46,2,FALSE)</f>
        <v>CABA</v>
      </c>
      <c r="S213" t="str">
        <f>VLOOKUP($O213,'Mapa Oficinas'!$A$7:$C$46,3,FALSE)</f>
        <v>Barrio Parque</v>
      </c>
    </row>
    <row r="214" spans="1:19" x14ac:dyDescent="0.2">
      <c r="A214" s="1">
        <v>45712</v>
      </c>
      <c r="B214" t="s">
        <v>7862</v>
      </c>
      <c r="D214" t="s">
        <v>2442</v>
      </c>
      <c r="E214" t="s">
        <v>16</v>
      </c>
      <c r="F214" t="s">
        <v>17</v>
      </c>
      <c r="G214" s="14">
        <v>77500</v>
      </c>
      <c r="H214" s="14">
        <v>75000</v>
      </c>
      <c r="I214" t="s">
        <v>22</v>
      </c>
      <c r="J214" t="s">
        <v>22</v>
      </c>
      <c r="K214" t="s">
        <v>7863</v>
      </c>
      <c r="L214" t="s">
        <v>1353</v>
      </c>
      <c r="M214" t="s">
        <v>19</v>
      </c>
      <c r="N214">
        <v>1</v>
      </c>
      <c r="O214" t="s">
        <v>151</v>
      </c>
      <c r="P214" t="s">
        <v>146</v>
      </c>
      <c r="Q214" t="s">
        <v>30</v>
      </c>
      <c r="R214" t="str">
        <f>VLOOKUP($O214,'Mapa Oficinas'!$A$7:$C$46,2,FALSE)</f>
        <v>Interior - Neuquén</v>
      </c>
      <c r="S214" t="str">
        <f>VLOOKUP($O214,'Mapa Oficinas'!$A$7:$C$46,3,FALSE)</f>
        <v>Capital Neuquén</v>
      </c>
    </row>
    <row r="215" spans="1:19" x14ac:dyDescent="0.2">
      <c r="A215" s="1">
        <v>45712</v>
      </c>
      <c r="B215" t="s">
        <v>7951</v>
      </c>
      <c r="D215" t="s">
        <v>7952</v>
      </c>
      <c r="E215" t="s">
        <v>16</v>
      </c>
      <c r="F215" t="s">
        <v>17</v>
      </c>
      <c r="G215" s="14">
        <v>120000</v>
      </c>
      <c r="H215" s="14">
        <v>118000</v>
      </c>
      <c r="I215" t="s">
        <v>22</v>
      </c>
      <c r="J215" t="s">
        <v>22</v>
      </c>
      <c r="K215" t="s">
        <v>7953</v>
      </c>
      <c r="L215" t="s">
        <v>2663</v>
      </c>
      <c r="M215" t="s">
        <v>28</v>
      </c>
      <c r="N215">
        <v>2</v>
      </c>
      <c r="O215" t="s">
        <v>20</v>
      </c>
      <c r="P215" t="s">
        <v>21</v>
      </c>
      <c r="Q215" t="s">
        <v>30</v>
      </c>
      <c r="R215" t="str">
        <f>VLOOKUP($O215,'Mapa Oficinas'!$A$7:$C$46,2,FALSE)</f>
        <v>CABA</v>
      </c>
      <c r="S215" t="str">
        <f>VLOOKUP($O215,'Mapa Oficinas'!$A$7:$C$46,3,FALSE)</f>
        <v>Palermo</v>
      </c>
    </row>
    <row r="216" spans="1:19" x14ac:dyDescent="0.2">
      <c r="A216" s="1">
        <v>45712</v>
      </c>
      <c r="B216" t="s">
        <v>7940</v>
      </c>
      <c r="D216" t="s">
        <v>7941</v>
      </c>
      <c r="E216" t="s">
        <v>16</v>
      </c>
      <c r="F216" t="s">
        <v>17</v>
      </c>
      <c r="G216" s="14">
        <v>140000</v>
      </c>
      <c r="H216" s="14">
        <v>150000</v>
      </c>
      <c r="I216" t="s">
        <v>22</v>
      </c>
      <c r="J216" t="s">
        <v>22</v>
      </c>
      <c r="K216" t="s">
        <v>7942</v>
      </c>
      <c r="L216" t="s">
        <v>6057</v>
      </c>
      <c r="M216" t="s">
        <v>19</v>
      </c>
      <c r="N216">
        <v>2</v>
      </c>
      <c r="O216" t="s">
        <v>142</v>
      </c>
      <c r="P216" t="s">
        <v>41</v>
      </c>
      <c r="Q216" t="s">
        <v>30</v>
      </c>
      <c r="R216" t="str">
        <f>VLOOKUP($O216,'Mapa Oficinas'!$A$7:$C$46,2,FALSE)</f>
        <v>Zona Norte (GBA)</v>
      </c>
      <c r="S216" t="str">
        <f>VLOOKUP($O216,'Mapa Oficinas'!$A$7:$C$46,3,FALSE)</f>
        <v>Nordelta</v>
      </c>
    </row>
    <row r="217" spans="1:19" x14ac:dyDescent="0.2">
      <c r="A217" s="1">
        <v>45712</v>
      </c>
      <c r="B217" t="s">
        <v>7954</v>
      </c>
      <c r="D217" t="s">
        <v>7955</v>
      </c>
      <c r="E217" t="s">
        <v>16</v>
      </c>
      <c r="F217" t="s">
        <v>17</v>
      </c>
      <c r="G217" s="14">
        <v>230000</v>
      </c>
      <c r="H217" s="14">
        <v>210000</v>
      </c>
      <c r="I217" t="s">
        <v>22</v>
      </c>
      <c r="J217" t="s">
        <v>22</v>
      </c>
      <c r="K217" t="s">
        <v>7956</v>
      </c>
      <c r="L217" t="s">
        <v>393</v>
      </c>
      <c r="M217" t="s">
        <v>28</v>
      </c>
      <c r="N217">
        <v>2</v>
      </c>
      <c r="O217" t="s">
        <v>20</v>
      </c>
      <c r="P217" t="s">
        <v>276</v>
      </c>
      <c r="Q217" t="s">
        <v>30</v>
      </c>
      <c r="R217" t="str">
        <f>VLOOKUP($O217,'Mapa Oficinas'!$A$7:$C$46,2,FALSE)</f>
        <v>CABA</v>
      </c>
      <c r="S217" t="str">
        <f>VLOOKUP($O217,'Mapa Oficinas'!$A$7:$C$46,3,FALSE)</f>
        <v>Palermo</v>
      </c>
    </row>
    <row r="218" spans="1:19" x14ac:dyDescent="0.2">
      <c r="A218" s="1">
        <v>45712</v>
      </c>
      <c r="B218" t="s">
        <v>7945</v>
      </c>
      <c r="D218" t="s">
        <v>7946</v>
      </c>
      <c r="E218" t="s">
        <v>16</v>
      </c>
      <c r="F218" t="s">
        <v>134</v>
      </c>
      <c r="G218" s="14">
        <v>335000</v>
      </c>
      <c r="H218" s="14">
        <v>315000</v>
      </c>
      <c r="I218" t="s">
        <v>22</v>
      </c>
      <c r="J218" t="s">
        <v>22</v>
      </c>
      <c r="K218" t="s">
        <v>7947</v>
      </c>
      <c r="L218" t="s">
        <v>7762</v>
      </c>
      <c r="M218" t="s">
        <v>28</v>
      </c>
      <c r="N218">
        <v>2</v>
      </c>
      <c r="O218" t="s">
        <v>130</v>
      </c>
      <c r="P218" t="s">
        <v>41</v>
      </c>
      <c r="Q218" t="s">
        <v>30</v>
      </c>
      <c r="R218" t="str">
        <f>VLOOKUP($O218,'Mapa Oficinas'!$A$7:$C$46,2,FALSE)</f>
        <v>Interior - Río Negro</v>
      </c>
      <c r="S218" t="str">
        <f>VLOOKUP($O218,'Mapa Oficinas'!$A$7:$C$46,3,FALSE)</f>
        <v>Bariloche</v>
      </c>
    </row>
    <row r="219" spans="1:19" x14ac:dyDescent="0.2">
      <c r="A219" s="1">
        <v>45713</v>
      </c>
      <c r="B219" t="s">
        <v>2885</v>
      </c>
      <c r="D219" t="s">
        <v>2886</v>
      </c>
      <c r="E219" t="s">
        <v>16</v>
      </c>
      <c r="F219" t="s">
        <v>17</v>
      </c>
      <c r="G219" s="14">
        <v>108000</v>
      </c>
      <c r="H219" s="14">
        <v>91000</v>
      </c>
      <c r="I219" t="s">
        <v>22</v>
      </c>
      <c r="J219" t="s">
        <v>22</v>
      </c>
      <c r="K219" t="s">
        <v>2662</v>
      </c>
      <c r="L219" t="s">
        <v>2663</v>
      </c>
      <c r="M219" t="s">
        <v>19</v>
      </c>
      <c r="N219">
        <v>2</v>
      </c>
      <c r="O219" t="s">
        <v>73</v>
      </c>
      <c r="P219" t="s">
        <v>21</v>
      </c>
      <c r="Q219" t="s">
        <v>30</v>
      </c>
      <c r="R219" t="str">
        <f>VLOOKUP($O219,'Mapa Oficinas'!$A$7:$C$46,2,FALSE)</f>
        <v>CABA</v>
      </c>
      <c r="S219" t="str">
        <f>VLOOKUP($O219,'Mapa Oficinas'!$A$7:$C$46,3,FALSE)</f>
        <v>Recoleta</v>
      </c>
    </row>
    <row r="220" spans="1:19" x14ac:dyDescent="0.2">
      <c r="A220" s="1">
        <v>45713</v>
      </c>
      <c r="B220" t="s">
        <v>6407</v>
      </c>
      <c r="D220" t="s">
        <v>6408</v>
      </c>
      <c r="E220" t="s">
        <v>16</v>
      </c>
      <c r="F220" t="s">
        <v>17</v>
      </c>
      <c r="G220" s="14">
        <v>135000</v>
      </c>
      <c r="H220" s="14">
        <v>140000</v>
      </c>
      <c r="I220" t="s">
        <v>22</v>
      </c>
      <c r="J220" t="s">
        <v>22</v>
      </c>
      <c r="K220" t="s">
        <v>6409</v>
      </c>
      <c r="L220" t="s">
        <v>1941</v>
      </c>
      <c r="M220" t="s">
        <v>19</v>
      </c>
      <c r="N220">
        <v>2</v>
      </c>
      <c r="O220" t="s">
        <v>142</v>
      </c>
      <c r="P220" t="s">
        <v>41</v>
      </c>
      <c r="Q220" t="s">
        <v>30</v>
      </c>
      <c r="R220" t="str">
        <f>VLOOKUP($O220,'Mapa Oficinas'!$A$7:$C$46,2,FALSE)</f>
        <v>Zona Norte (GBA)</v>
      </c>
      <c r="S220" t="str">
        <f>VLOOKUP($O220,'Mapa Oficinas'!$A$7:$C$46,3,FALSE)</f>
        <v>Nordelta</v>
      </c>
    </row>
    <row r="221" spans="1:19" x14ac:dyDescent="0.2">
      <c r="A221" s="1">
        <v>45714</v>
      </c>
      <c r="B221" t="s">
        <v>7930</v>
      </c>
      <c r="D221" t="s">
        <v>7931</v>
      </c>
      <c r="E221" t="s">
        <v>16</v>
      </c>
      <c r="F221" t="s">
        <v>17</v>
      </c>
      <c r="G221" s="14">
        <v>68000</v>
      </c>
      <c r="H221" s="14">
        <v>62000</v>
      </c>
      <c r="I221" t="s">
        <v>22</v>
      </c>
      <c r="J221" t="s">
        <v>22</v>
      </c>
      <c r="K221" t="s">
        <v>7932</v>
      </c>
      <c r="L221" t="s">
        <v>635</v>
      </c>
      <c r="M221" t="s">
        <v>19</v>
      </c>
      <c r="N221">
        <v>2</v>
      </c>
      <c r="O221" t="s">
        <v>103</v>
      </c>
      <c r="P221" t="s">
        <v>21</v>
      </c>
      <c r="Q221" t="s">
        <v>30</v>
      </c>
      <c r="R221" t="str">
        <f>VLOOKUP($O221,'Mapa Oficinas'!$A$7:$C$46,2,FALSE)</f>
        <v>CABA</v>
      </c>
      <c r="S221" t="str">
        <f>VLOOKUP($O221,'Mapa Oficinas'!$A$7:$C$46,3,FALSE)</f>
        <v>Barrio Parque</v>
      </c>
    </row>
    <row r="222" spans="1:19" x14ac:dyDescent="0.2">
      <c r="A222" s="1">
        <v>45714</v>
      </c>
      <c r="B222" t="s">
        <v>7929</v>
      </c>
      <c r="D222" t="s">
        <v>7929</v>
      </c>
      <c r="E222" t="s">
        <v>16</v>
      </c>
      <c r="F222" t="s">
        <v>17</v>
      </c>
      <c r="G222" s="14">
        <v>72300</v>
      </c>
      <c r="H222" s="14">
        <v>72300</v>
      </c>
      <c r="I222" t="s">
        <v>22</v>
      </c>
      <c r="J222" t="s">
        <v>22</v>
      </c>
      <c r="L222" t="s">
        <v>189</v>
      </c>
      <c r="M222" t="s">
        <v>72</v>
      </c>
      <c r="N222">
        <v>1</v>
      </c>
      <c r="O222" t="s">
        <v>151</v>
      </c>
      <c r="P222" t="s">
        <v>146</v>
      </c>
      <c r="Q222" t="s">
        <v>30</v>
      </c>
      <c r="R222" t="str">
        <f>VLOOKUP($O222,'Mapa Oficinas'!$A$7:$C$46,2,FALSE)</f>
        <v>Interior - Neuquén</v>
      </c>
      <c r="S222" t="str">
        <f>VLOOKUP($O222,'Mapa Oficinas'!$A$7:$C$46,3,FALSE)</f>
        <v>Capital Neuquén</v>
      </c>
    </row>
    <row r="223" spans="1:19" x14ac:dyDescent="0.2">
      <c r="A223" s="1">
        <v>45714</v>
      </c>
      <c r="B223" t="s">
        <v>7933</v>
      </c>
      <c r="D223" t="s">
        <v>7934</v>
      </c>
      <c r="E223" t="s">
        <v>16</v>
      </c>
      <c r="F223" t="s">
        <v>17</v>
      </c>
      <c r="G223" s="14">
        <v>128500</v>
      </c>
      <c r="H223" s="14">
        <v>125000</v>
      </c>
      <c r="I223" t="s">
        <v>22</v>
      </c>
      <c r="J223" t="s">
        <v>22</v>
      </c>
      <c r="K223" t="s">
        <v>7935</v>
      </c>
      <c r="L223" t="s">
        <v>1941</v>
      </c>
      <c r="M223" t="s">
        <v>19</v>
      </c>
      <c r="N223">
        <v>2</v>
      </c>
      <c r="O223" t="s">
        <v>40</v>
      </c>
      <c r="P223" t="s">
        <v>44</v>
      </c>
      <c r="Q223" t="s">
        <v>30</v>
      </c>
      <c r="R223" t="str">
        <f>VLOOKUP($O223,'Mapa Oficinas'!$A$7:$C$46,2,FALSE)</f>
        <v>Zona Norte (GBA)</v>
      </c>
      <c r="S223" t="str">
        <f>VLOOKUP($O223,'Mapa Oficinas'!$A$7:$C$46,3,FALSE)</f>
        <v>Pilar</v>
      </c>
    </row>
    <row r="224" spans="1:19" x14ac:dyDescent="0.2">
      <c r="A224" s="1">
        <v>45715</v>
      </c>
      <c r="B224" t="s">
        <v>7912</v>
      </c>
      <c r="D224" t="s">
        <v>7913</v>
      </c>
      <c r="E224" t="s">
        <v>16</v>
      </c>
      <c r="F224" t="s">
        <v>58</v>
      </c>
      <c r="G224" s="14">
        <v>55000</v>
      </c>
      <c r="H224" s="14">
        <v>52000</v>
      </c>
      <c r="I224" t="s">
        <v>22</v>
      </c>
      <c r="J224" t="s">
        <v>22</v>
      </c>
      <c r="K224" t="s">
        <v>7914</v>
      </c>
      <c r="L224" t="s">
        <v>4601</v>
      </c>
      <c r="M224" t="s">
        <v>19</v>
      </c>
      <c r="N224">
        <v>2</v>
      </c>
      <c r="O224" t="s">
        <v>50</v>
      </c>
      <c r="P224" t="s">
        <v>21</v>
      </c>
      <c r="Q224" t="s">
        <v>30</v>
      </c>
      <c r="R224" t="str">
        <f>VLOOKUP($O224,'Mapa Oficinas'!$A$7:$C$46,2,FALSE)</f>
        <v>CABA</v>
      </c>
      <c r="S224" t="str">
        <f>VLOOKUP($O224,'Mapa Oficinas'!$A$7:$C$46,3,FALSE)</f>
        <v>Villa Urquiza</v>
      </c>
    </row>
    <row r="225" spans="1:19" x14ac:dyDescent="0.2">
      <c r="A225" s="1">
        <v>45715</v>
      </c>
      <c r="B225" t="s">
        <v>7915</v>
      </c>
      <c r="D225" t="s">
        <v>7916</v>
      </c>
      <c r="E225" t="s">
        <v>16</v>
      </c>
      <c r="F225" t="s">
        <v>17</v>
      </c>
      <c r="G225" s="14">
        <v>65000</v>
      </c>
      <c r="H225" s="14">
        <v>65000</v>
      </c>
      <c r="I225" t="s">
        <v>22</v>
      </c>
      <c r="J225" t="s">
        <v>22</v>
      </c>
      <c r="K225" t="s">
        <v>7917</v>
      </c>
      <c r="L225" t="s">
        <v>3294</v>
      </c>
      <c r="M225" t="s">
        <v>28</v>
      </c>
      <c r="N225">
        <v>2</v>
      </c>
      <c r="O225" t="s">
        <v>201</v>
      </c>
      <c r="P225" t="s">
        <v>21</v>
      </c>
      <c r="Q225" t="s">
        <v>30</v>
      </c>
      <c r="R225" t="str">
        <f>VLOOKUP($O225,'Mapa Oficinas'!$A$7:$C$46,2,FALSE)</f>
        <v>CABA</v>
      </c>
      <c r="S225" t="str">
        <f>VLOOKUP($O225,'Mapa Oficinas'!$A$7:$C$46,3,FALSE)</f>
        <v>Recoleta</v>
      </c>
    </row>
    <row r="226" spans="1:19" x14ac:dyDescent="0.2">
      <c r="A226" s="1">
        <v>45715</v>
      </c>
      <c r="B226" t="s">
        <v>7923</v>
      </c>
      <c r="D226" t="s">
        <v>7924</v>
      </c>
      <c r="E226" t="s">
        <v>16</v>
      </c>
      <c r="F226" t="s">
        <v>134</v>
      </c>
      <c r="G226" s="14">
        <v>183000</v>
      </c>
      <c r="H226" s="14">
        <v>183000</v>
      </c>
      <c r="I226" t="s">
        <v>22</v>
      </c>
      <c r="J226" t="s">
        <v>22</v>
      </c>
      <c r="K226" t="s">
        <v>7925</v>
      </c>
      <c r="L226" t="s">
        <v>2287</v>
      </c>
      <c r="M226" t="s">
        <v>28</v>
      </c>
      <c r="N226">
        <v>2</v>
      </c>
      <c r="O226" t="s">
        <v>98</v>
      </c>
      <c r="P226" t="s">
        <v>41</v>
      </c>
      <c r="Q226" t="s">
        <v>30</v>
      </c>
      <c r="R226" t="str">
        <f>VLOOKUP($O226,'Mapa Oficinas'!$A$7:$C$46,2,FALSE)</f>
        <v>Interior - Neuquén</v>
      </c>
      <c r="S226" t="str">
        <f>VLOOKUP($O226,'Mapa Oficinas'!$A$7:$C$46,3,FALSE)</f>
        <v>Villa La Angostura</v>
      </c>
    </row>
    <row r="227" spans="1:19" x14ac:dyDescent="0.2">
      <c r="A227" s="1">
        <v>45715</v>
      </c>
      <c r="B227" t="s">
        <v>7918</v>
      </c>
      <c r="D227" t="s">
        <v>7919</v>
      </c>
      <c r="E227" t="s">
        <v>16</v>
      </c>
      <c r="F227" t="s">
        <v>17</v>
      </c>
      <c r="G227" s="14">
        <v>305000</v>
      </c>
      <c r="H227" s="14">
        <v>295000</v>
      </c>
      <c r="I227" t="s">
        <v>22</v>
      </c>
      <c r="J227" t="s">
        <v>22</v>
      </c>
      <c r="K227" t="s">
        <v>7920</v>
      </c>
      <c r="L227" t="s">
        <v>1017</v>
      </c>
      <c r="M227" t="s">
        <v>19</v>
      </c>
      <c r="N227">
        <v>2</v>
      </c>
      <c r="O227" t="s">
        <v>252</v>
      </c>
      <c r="P227" t="s">
        <v>276</v>
      </c>
      <c r="Q227" t="s">
        <v>30</v>
      </c>
      <c r="R227" t="str">
        <f>VLOOKUP($O227,'Mapa Oficinas'!$A$7:$C$46,2,FALSE)</f>
        <v>CABA</v>
      </c>
      <c r="S227" t="str">
        <f>VLOOKUP($O227,'Mapa Oficinas'!$A$7:$C$46,3,FALSE)</f>
        <v>Belgrano</v>
      </c>
    </row>
    <row r="228" spans="1:19" x14ac:dyDescent="0.2">
      <c r="A228" s="1">
        <v>45715</v>
      </c>
      <c r="B228" t="s">
        <v>7921</v>
      </c>
      <c r="D228" t="s">
        <v>7922</v>
      </c>
      <c r="E228" t="s">
        <v>16</v>
      </c>
      <c r="F228" t="s">
        <v>17</v>
      </c>
      <c r="G228" s="14">
        <v>385000</v>
      </c>
      <c r="H228" s="14">
        <v>370000</v>
      </c>
      <c r="I228" t="s">
        <v>22</v>
      </c>
      <c r="J228" t="s">
        <v>22</v>
      </c>
      <c r="K228" t="s">
        <v>7922</v>
      </c>
      <c r="L228" t="s">
        <v>7719</v>
      </c>
      <c r="M228" t="s">
        <v>19</v>
      </c>
      <c r="N228">
        <v>2</v>
      </c>
      <c r="O228" t="s">
        <v>40</v>
      </c>
      <c r="P228" t="s">
        <v>21</v>
      </c>
      <c r="Q228" t="s">
        <v>30</v>
      </c>
      <c r="R228" t="str">
        <f>VLOOKUP($O228,'Mapa Oficinas'!$A$7:$C$46,2,FALSE)</f>
        <v>Zona Norte (GBA)</v>
      </c>
      <c r="S228" t="str">
        <f>VLOOKUP($O228,'Mapa Oficinas'!$A$7:$C$46,3,FALSE)</f>
        <v>Pilar</v>
      </c>
    </row>
    <row r="229" spans="1:19" x14ac:dyDescent="0.2">
      <c r="A229" s="1">
        <v>45715</v>
      </c>
      <c r="B229" t="s">
        <v>7926</v>
      </c>
      <c r="D229" t="s">
        <v>7927</v>
      </c>
      <c r="E229" t="s">
        <v>16</v>
      </c>
      <c r="F229" t="s">
        <v>17</v>
      </c>
      <c r="G229" s="14">
        <v>390000</v>
      </c>
      <c r="H229" s="14">
        <v>390000</v>
      </c>
      <c r="I229" t="s">
        <v>22</v>
      </c>
      <c r="J229" t="s">
        <v>22</v>
      </c>
      <c r="K229" t="s">
        <v>7928</v>
      </c>
      <c r="L229" t="s">
        <v>277</v>
      </c>
      <c r="M229" t="s">
        <v>19</v>
      </c>
      <c r="N229">
        <v>2</v>
      </c>
      <c r="O229" t="s">
        <v>20</v>
      </c>
      <c r="P229" t="s">
        <v>276</v>
      </c>
      <c r="Q229" t="s">
        <v>30</v>
      </c>
      <c r="R229" t="str">
        <f>VLOOKUP($O229,'Mapa Oficinas'!$A$7:$C$46,2,FALSE)</f>
        <v>CABA</v>
      </c>
      <c r="S229" t="str">
        <f>VLOOKUP($O229,'Mapa Oficinas'!$A$7:$C$46,3,FALSE)</f>
        <v>Palermo</v>
      </c>
    </row>
    <row r="230" spans="1:19" x14ac:dyDescent="0.2">
      <c r="A230" s="1">
        <v>45716</v>
      </c>
      <c r="B230" t="s">
        <v>7878</v>
      </c>
      <c r="D230" t="s">
        <v>7879</v>
      </c>
      <c r="E230" t="s">
        <v>16</v>
      </c>
      <c r="F230" t="s">
        <v>58</v>
      </c>
      <c r="G230" s="14">
        <v>58000</v>
      </c>
      <c r="H230" s="14">
        <v>52000</v>
      </c>
      <c r="I230" t="s">
        <v>22</v>
      </c>
      <c r="J230" t="s">
        <v>22</v>
      </c>
      <c r="K230" t="s">
        <v>7880</v>
      </c>
      <c r="L230" t="s">
        <v>5084</v>
      </c>
      <c r="M230" t="s">
        <v>28</v>
      </c>
      <c r="N230">
        <v>2</v>
      </c>
      <c r="O230" t="s">
        <v>171</v>
      </c>
      <c r="P230" t="s">
        <v>21</v>
      </c>
      <c r="Q230" t="s">
        <v>30</v>
      </c>
      <c r="R230" t="str">
        <f>VLOOKUP($O230,'Mapa Oficinas'!$A$7:$C$46,2,FALSE)</f>
        <v>Zona Sur (GBA)</v>
      </c>
      <c r="S230" t="str">
        <f>VLOOKUP($O230,'Mapa Oficinas'!$A$7:$C$46,3,FALSE)</f>
        <v>La Plata</v>
      </c>
    </row>
    <row r="231" spans="1:19" x14ac:dyDescent="0.2">
      <c r="A231" s="1">
        <v>45716</v>
      </c>
      <c r="B231" t="s">
        <v>3826</v>
      </c>
      <c r="D231" t="s">
        <v>3827</v>
      </c>
      <c r="E231" t="s">
        <v>16</v>
      </c>
      <c r="F231" t="s">
        <v>17</v>
      </c>
      <c r="G231" s="14">
        <v>72000</v>
      </c>
      <c r="H231" s="14">
        <v>60000</v>
      </c>
      <c r="I231" t="s">
        <v>22</v>
      </c>
      <c r="J231" t="s">
        <v>22</v>
      </c>
      <c r="K231" t="s">
        <v>3828</v>
      </c>
      <c r="L231" t="s">
        <v>398</v>
      </c>
      <c r="M231" t="s">
        <v>19</v>
      </c>
      <c r="N231">
        <v>2</v>
      </c>
      <c r="O231" t="s">
        <v>20</v>
      </c>
      <c r="P231" t="s">
        <v>21</v>
      </c>
      <c r="Q231" t="s">
        <v>30</v>
      </c>
      <c r="R231" t="str">
        <f>VLOOKUP($O231,'Mapa Oficinas'!$A$7:$C$46,2,FALSE)</f>
        <v>CABA</v>
      </c>
      <c r="S231" t="str">
        <f>VLOOKUP($O231,'Mapa Oficinas'!$A$7:$C$46,3,FALSE)</f>
        <v>Palermo</v>
      </c>
    </row>
    <row r="232" spans="1:19" x14ac:dyDescent="0.2">
      <c r="A232" s="1">
        <v>45716</v>
      </c>
      <c r="B232" t="s">
        <v>7881</v>
      </c>
      <c r="D232" t="s">
        <v>7882</v>
      </c>
      <c r="E232" t="s">
        <v>16</v>
      </c>
      <c r="F232" t="s">
        <v>38</v>
      </c>
      <c r="G232" s="14">
        <v>75000</v>
      </c>
      <c r="H232" s="14">
        <v>64000</v>
      </c>
      <c r="I232" t="s">
        <v>22</v>
      </c>
      <c r="J232" t="s">
        <v>22</v>
      </c>
      <c r="K232" t="s">
        <v>7883</v>
      </c>
      <c r="L232" t="s">
        <v>7884</v>
      </c>
      <c r="M232" t="s">
        <v>28</v>
      </c>
      <c r="N232">
        <v>2</v>
      </c>
      <c r="O232" t="s">
        <v>171</v>
      </c>
      <c r="P232" t="s">
        <v>21</v>
      </c>
      <c r="Q232" t="s">
        <v>30</v>
      </c>
      <c r="R232" t="str">
        <f>VLOOKUP($O232,'Mapa Oficinas'!$A$7:$C$46,2,FALSE)</f>
        <v>Zona Sur (GBA)</v>
      </c>
      <c r="S232" t="str">
        <f>VLOOKUP($O232,'Mapa Oficinas'!$A$7:$C$46,3,FALSE)</f>
        <v>La Plata</v>
      </c>
    </row>
    <row r="233" spans="1:19" x14ac:dyDescent="0.2">
      <c r="A233" s="1">
        <v>45716</v>
      </c>
      <c r="B233" t="s">
        <v>7891</v>
      </c>
      <c r="D233" t="s">
        <v>7891</v>
      </c>
      <c r="E233" t="s">
        <v>16</v>
      </c>
      <c r="F233" t="s">
        <v>58</v>
      </c>
      <c r="G233" s="14">
        <v>88000</v>
      </c>
      <c r="H233" s="14">
        <v>88000</v>
      </c>
      <c r="I233" t="s">
        <v>22</v>
      </c>
      <c r="J233" t="s">
        <v>22</v>
      </c>
      <c r="K233" t="s">
        <v>7891</v>
      </c>
      <c r="L233" t="s">
        <v>1695</v>
      </c>
      <c r="M233" t="s">
        <v>19</v>
      </c>
      <c r="N233">
        <v>2</v>
      </c>
      <c r="O233" t="s">
        <v>50</v>
      </c>
      <c r="P233" t="s">
        <v>21</v>
      </c>
      <c r="Q233" t="s">
        <v>30</v>
      </c>
      <c r="R233" t="str">
        <f>VLOOKUP($O233,'Mapa Oficinas'!$A$7:$C$46,2,FALSE)</f>
        <v>CABA</v>
      </c>
      <c r="S233" t="str">
        <f>VLOOKUP($O233,'Mapa Oficinas'!$A$7:$C$46,3,FALSE)</f>
        <v>Villa Urquiza</v>
      </c>
    </row>
    <row r="234" spans="1:19" x14ac:dyDescent="0.2">
      <c r="A234" s="1">
        <v>45716</v>
      </c>
      <c r="B234" t="s">
        <v>7885</v>
      </c>
      <c r="D234" t="s">
        <v>7886</v>
      </c>
      <c r="E234" t="s">
        <v>16</v>
      </c>
      <c r="F234" t="s">
        <v>17</v>
      </c>
      <c r="G234" s="14">
        <v>85250</v>
      </c>
      <c r="H234" s="14">
        <v>88742</v>
      </c>
      <c r="I234" t="s">
        <v>22</v>
      </c>
      <c r="J234" t="s">
        <v>22</v>
      </c>
      <c r="K234" t="s">
        <v>7887</v>
      </c>
      <c r="L234" t="s">
        <v>6057</v>
      </c>
      <c r="M234" t="s">
        <v>19</v>
      </c>
      <c r="N234">
        <v>2</v>
      </c>
      <c r="O234" t="s">
        <v>142</v>
      </c>
      <c r="P234" t="s">
        <v>41</v>
      </c>
      <c r="Q234" t="s">
        <v>30</v>
      </c>
      <c r="R234" t="str">
        <f>VLOOKUP($O234,'Mapa Oficinas'!$A$7:$C$46,2,FALSE)</f>
        <v>Zona Norte (GBA)</v>
      </c>
      <c r="S234" t="str">
        <f>VLOOKUP($O234,'Mapa Oficinas'!$A$7:$C$46,3,FALSE)</f>
        <v>Nordelta</v>
      </c>
    </row>
    <row r="235" spans="1:19" x14ac:dyDescent="0.2">
      <c r="A235" s="1">
        <v>45716</v>
      </c>
      <c r="B235" t="s">
        <v>7895</v>
      </c>
      <c r="D235" t="s">
        <v>7896</v>
      </c>
      <c r="E235" t="s">
        <v>16</v>
      </c>
      <c r="F235" t="s">
        <v>58</v>
      </c>
      <c r="G235" s="14">
        <v>119000</v>
      </c>
      <c r="H235" s="14">
        <v>100000</v>
      </c>
      <c r="I235" t="s">
        <v>22</v>
      </c>
      <c r="J235" t="s">
        <v>22</v>
      </c>
      <c r="K235" t="s">
        <v>7897</v>
      </c>
      <c r="L235" t="s">
        <v>1177</v>
      </c>
      <c r="M235" t="s">
        <v>28</v>
      </c>
      <c r="N235">
        <v>2</v>
      </c>
      <c r="O235" t="s">
        <v>50</v>
      </c>
      <c r="P235" t="s">
        <v>21</v>
      </c>
      <c r="Q235" t="s">
        <v>30</v>
      </c>
      <c r="R235" t="str">
        <f>VLOOKUP($O235,'Mapa Oficinas'!$A$7:$C$46,2,FALSE)</f>
        <v>CABA</v>
      </c>
      <c r="S235" t="str">
        <f>VLOOKUP($O235,'Mapa Oficinas'!$A$7:$C$46,3,FALSE)</f>
        <v>Villa Urquiza</v>
      </c>
    </row>
    <row r="236" spans="1:19" x14ac:dyDescent="0.2">
      <c r="A236" s="1">
        <v>45716</v>
      </c>
      <c r="B236" t="s">
        <v>7898</v>
      </c>
      <c r="D236" t="s">
        <v>7899</v>
      </c>
      <c r="E236" t="s">
        <v>16</v>
      </c>
      <c r="F236" t="s">
        <v>17</v>
      </c>
      <c r="G236" s="14">
        <v>123000</v>
      </c>
      <c r="H236" s="14">
        <v>117000</v>
      </c>
      <c r="I236" t="s">
        <v>22</v>
      </c>
      <c r="J236" t="s">
        <v>22</v>
      </c>
      <c r="K236" t="s">
        <v>7900</v>
      </c>
      <c r="L236" t="s">
        <v>205</v>
      </c>
      <c r="M236" t="s">
        <v>19</v>
      </c>
      <c r="N236">
        <v>2</v>
      </c>
      <c r="O236" t="s">
        <v>50</v>
      </c>
      <c r="P236" t="s">
        <v>21</v>
      </c>
      <c r="Q236" t="s">
        <v>30</v>
      </c>
      <c r="R236" t="str">
        <f>VLOOKUP($O236,'Mapa Oficinas'!$A$7:$C$46,2,FALSE)</f>
        <v>CABA</v>
      </c>
      <c r="S236" t="str">
        <f>VLOOKUP($O236,'Mapa Oficinas'!$A$7:$C$46,3,FALSE)</f>
        <v>Villa Urquiza</v>
      </c>
    </row>
    <row r="237" spans="1:19" x14ac:dyDescent="0.2">
      <c r="A237" s="1">
        <v>45716</v>
      </c>
      <c r="B237" t="s">
        <v>7888</v>
      </c>
      <c r="D237" t="s">
        <v>7889</v>
      </c>
      <c r="E237" t="s">
        <v>16</v>
      </c>
      <c r="F237" t="s">
        <v>17</v>
      </c>
      <c r="G237" s="14">
        <v>1100</v>
      </c>
      <c r="H237" s="14">
        <v>132500</v>
      </c>
      <c r="I237" t="s">
        <v>22</v>
      </c>
      <c r="J237" t="s">
        <v>22</v>
      </c>
      <c r="K237" t="s">
        <v>7890</v>
      </c>
      <c r="L237" t="s">
        <v>277</v>
      </c>
      <c r="M237" t="s">
        <v>13</v>
      </c>
      <c r="N237">
        <v>2</v>
      </c>
      <c r="O237" t="s">
        <v>50</v>
      </c>
      <c r="P237" t="s">
        <v>21</v>
      </c>
      <c r="Q237" t="s">
        <v>30</v>
      </c>
      <c r="R237" t="str">
        <f>VLOOKUP($O237,'Mapa Oficinas'!$A$7:$C$46,2,FALSE)</f>
        <v>CABA</v>
      </c>
      <c r="S237" t="str">
        <f>VLOOKUP($O237,'Mapa Oficinas'!$A$7:$C$46,3,FALSE)</f>
        <v>Villa Urquiza</v>
      </c>
    </row>
    <row r="238" spans="1:19" x14ac:dyDescent="0.2">
      <c r="A238" s="1">
        <v>45716</v>
      </c>
      <c r="B238" t="s">
        <v>7901</v>
      </c>
      <c r="D238" t="s">
        <v>7902</v>
      </c>
      <c r="E238" t="s">
        <v>16</v>
      </c>
      <c r="F238" t="s">
        <v>17</v>
      </c>
      <c r="G238" s="14">
        <v>191000</v>
      </c>
      <c r="H238" s="14">
        <v>180000</v>
      </c>
      <c r="I238" t="s">
        <v>22</v>
      </c>
      <c r="J238" t="s">
        <v>22</v>
      </c>
      <c r="K238" t="s">
        <v>7903</v>
      </c>
      <c r="L238" t="s">
        <v>277</v>
      </c>
      <c r="M238" t="s">
        <v>19</v>
      </c>
      <c r="N238">
        <v>2</v>
      </c>
      <c r="O238" t="s">
        <v>50</v>
      </c>
      <c r="P238" t="s">
        <v>21</v>
      </c>
      <c r="Q238" t="s">
        <v>30</v>
      </c>
      <c r="R238" t="str">
        <f>VLOOKUP($O238,'Mapa Oficinas'!$A$7:$C$46,2,FALSE)</f>
        <v>CABA</v>
      </c>
      <c r="S238" t="str">
        <f>VLOOKUP($O238,'Mapa Oficinas'!$A$7:$C$46,3,FALSE)</f>
        <v>Villa Urquiza</v>
      </c>
    </row>
    <row r="239" spans="1:19" x14ac:dyDescent="0.2">
      <c r="A239" s="1">
        <v>45716</v>
      </c>
      <c r="B239" t="s">
        <v>7904</v>
      </c>
      <c r="D239" t="s">
        <v>7905</v>
      </c>
      <c r="E239" t="s">
        <v>16</v>
      </c>
      <c r="F239" t="s">
        <v>17</v>
      </c>
      <c r="G239" s="14">
        <v>200000</v>
      </c>
      <c r="H239" s="14">
        <v>200000</v>
      </c>
      <c r="I239" t="s">
        <v>22</v>
      </c>
      <c r="J239" t="s">
        <v>22</v>
      </c>
      <c r="L239" t="s">
        <v>189</v>
      </c>
      <c r="M239" t="s">
        <v>19</v>
      </c>
      <c r="N239">
        <v>1</v>
      </c>
      <c r="O239" t="s">
        <v>151</v>
      </c>
      <c r="P239" t="s">
        <v>146</v>
      </c>
      <c r="Q239" t="s">
        <v>30</v>
      </c>
      <c r="R239" t="str">
        <f>VLOOKUP($O239,'Mapa Oficinas'!$A$7:$C$46,2,FALSE)</f>
        <v>Interior - Neuquén</v>
      </c>
      <c r="S239" t="str">
        <f>VLOOKUP($O239,'Mapa Oficinas'!$A$7:$C$46,3,FALSE)</f>
        <v>Capital Neuquén</v>
      </c>
    </row>
    <row r="240" spans="1:19" x14ac:dyDescent="0.2">
      <c r="A240" s="1">
        <v>45716</v>
      </c>
      <c r="B240" t="s">
        <v>7892</v>
      </c>
      <c r="D240" t="s">
        <v>7893</v>
      </c>
      <c r="E240" t="s">
        <v>16</v>
      </c>
      <c r="F240" t="s">
        <v>17</v>
      </c>
      <c r="G240" s="14">
        <v>350000</v>
      </c>
      <c r="H240" s="14">
        <v>295000</v>
      </c>
      <c r="I240" t="s">
        <v>22</v>
      </c>
      <c r="J240" t="s">
        <v>22</v>
      </c>
      <c r="K240" t="s">
        <v>7894</v>
      </c>
      <c r="L240" t="s">
        <v>164</v>
      </c>
      <c r="M240" t="s">
        <v>300</v>
      </c>
      <c r="N240">
        <v>2</v>
      </c>
      <c r="O240" t="s">
        <v>103</v>
      </c>
      <c r="P240" t="s">
        <v>21</v>
      </c>
      <c r="Q240" t="s">
        <v>30</v>
      </c>
      <c r="R240" t="str">
        <f>VLOOKUP($O240,'Mapa Oficinas'!$A$7:$C$46,2,FALSE)</f>
        <v>CABA</v>
      </c>
      <c r="S240" t="str">
        <f>VLOOKUP($O240,'Mapa Oficinas'!$A$7:$C$46,3,FALSE)</f>
        <v>Barrio Parque</v>
      </c>
    </row>
    <row r="241" spans="1:19" x14ac:dyDescent="0.2">
      <c r="A241" s="1">
        <v>45717</v>
      </c>
      <c r="B241" t="s">
        <v>7875</v>
      </c>
      <c r="D241" t="s">
        <v>7876</v>
      </c>
      <c r="E241" t="s">
        <v>16</v>
      </c>
      <c r="F241" t="s">
        <v>17</v>
      </c>
      <c r="G241" s="14">
        <v>57500</v>
      </c>
      <c r="H241" s="14">
        <v>57500</v>
      </c>
      <c r="I241" t="s">
        <v>22</v>
      </c>
      <c r="J241" t="s">
        <v>22</v>
      </c>
      <c r="K241" t="s">
        <v>7877</v>
      </c>
      <c r="L241" t="s">
        <v>199</v>
      </c>
      <c r="M241" t="s">
        <v>19</v>
      </c>
      <c r="N241">
        <v>2</v>
      </c>
      <c r="O241" t="s">
        <v>156</v>
      </c>
      <c r="P241" t="s">
        <v>21</v>
      </c>
      <c r="Q241" t="s">
        <v>30</v>
      </c>
      <c r="R241" t="str">
        <f>VLOOKUP($O241,'Mapa Oficinas'!$A$7:$C$46,2,FALSE)</f>
        <v>Zona Norte (GBA)</v>
      </c>
      <c r="S241" t="str">
        <f>VLOOKUP($O241,'Mapa Oficinas'!$A$7:$C$46,3,FALSE)</f>
        <v>Pilar</v>
      </c>
    </row>
    <row r="242" spans="1:19" x14ac:dyDescent="0.2">
      <c r="A242" s="1">
        <v>45717</v>
      </c>
      <c r="B242" t="s">
        <v>7872</v>
      </c>
      <c r="D242" t="s">
        <v>7873</v>
      </c>
      <c r="E242" t="s">
        <v>16</v>
      </c>
      <c r="F242" t="s">
        <v>47</v>
      </c>
      <c r="G242" s="14">
        <v>60000</v>
      </c>
      <c r="H242" s="14">
        <v>60000</v>
      </c>
      <c r="I242" t="s">
        <v>22</v>
      </c>
      <c r="J242" t="s">
        <v>22</v>
      </c>
      <c r="K242" t="s">
        <v>7874</v>
      </c>
      <c r="L242" t="s">
        <v>1375</v>
      </c>
      <c r="M242" t="s">
        <v>19</v>
      </c>
      <c r="N242">
        <v>2</v>
      </c>
      <c r="O242" t="s">
        <v>87</v>
      </c>
      <c r="P242" t="s">
        <v>21</v>
      </c>
      <c r="Q242" t="s">
        <v>30</v>
      </c>
      <c r="R242" t="str">
        <f>VLOOKUP($O242,'Mapa Oficinas'!$A$7:$C$46,2,FALSE)</f>
        <v>Zona Norte (GBA)</v>
      </c>
      <c r="S242" t="str">
        <f>VLOOKUP($O242,'Mapa Oficinas'!$A$7:$C$46,3,FALSE)</f>
        <v>Tigre</v>
      </c>
    </row>
    <row r="243" spans="1:19" x14ac:dyDescent="0.2">
      <c r="A243" s="1">
        <v>45717</v>
      </c>
      <c r="B243" t="s">
        <v>7870</v>
      </c>
      <c r="D243" t="s">
        <v>2433</v>
      </c>
      <c r="E243" t="s">
        <v>16</v>
      </c>
      <c r="F243" t="s">
        <v>17</v>
      </c>
      <c r="G243" s="14">
        <v>119000</v>
      </c>
      <c r="H243" s="14">
        <v>120000</v>
      </c>
      <c r="I243" t="s">
        <v>22</v>
      </c>
      <c r="J243" t="s">
        <v>22</v>
      </c>
      <c r="K243" t="s">
        <v>7871</v>
      </c>
      <c r="L243" t="s">
        <v>2434</v>
      </c>
      <c r="M243" t="s">
        <v>19</v>
      </c>
      <c r="N243">
        <v>2</v>
      </c>
      <c r="O243" t="s">
        <v>142</v>
      </c>
      <c r="P243" t="s">
        <v>41</v>
      </c>
      <c r="Q243" t="s">
        <v>30</v>
      </c>
      <c r="R243" t="str">
        <f>VLOOKUP($O243,'Mapa Oficinas'!$A$7:$C$46,2,FALSE)</f>
        <v>Zona Norte (GBA)</v>
      </c>
      <c r="S243" t="str">
        <f>VLOOKUP($O243,'Mapa Oficinas'!$A$7:$C$46,3,FALSE)</f>
        <v>Nordelta</v>
      </c>
    </row>
    <row r="244" spans="1:19" x14ac:dyDescent="0.2">
      <c r="A244" s="1">
        <v>45717</v>
      </c>
      <c r="B244" t="s">
        <v>7867</v>
      </c>
      <c r="D244" t="s">
        <v>7868</v>
      </c>
      <c r="E244" t="s">
        <v>16</v>
      </c>
      <c r="F244" t="s">
        <v>17</v>
      </c>
      <c r="G244" s="14">
        <v>200000</v>
      </c>
      <c r="H244" s="14">
        <v>185000</v>
      </c>
      <c r="I244" t="s">
        <v>22</v>
      </c>
      <c r="J244" t="s">
        <v>22</v>
      </c>
      <c r="K244" t="s">
        <v>7869</v>
      </c>
      <c r="L244" t="s">
        <v>277</v>
      </c>
      <c r="M244" t="s">
        <v>19</v>
      </c>
      <c r="N244">
        <v>2</v>
      </c>
      <c r="O244" t="s">
        <v>87</v>
      </c>
      <c r="P244" t="s">
        <v>21</v>
      </c>
      <c r="Q244" t="s">
        <v>30</v>
      </c>
      <c r="R244" t="str">
        <f>VLOOKUP($O244,'Mapa Oficinas'!$A$7:$C$46,2,FALSE)</f>
        <v>Zona Norte (GBA)</v>
      </c>
      <c r="S244" t="str">
        <f>VLOOKUP($O244,'Mapa Oficinas'!$A$7:$C$46,3,FALSE)</f>
        <v>Tigre</v>
      </c>
    </row>
    <row r="245" spans="1:19" x14ac:dyDescent="0.2">
      <c r="A245" s="1">
        <v>45717</v>
      </c>
      <c r="B245" t="s">
        <v>7864</v>
      </c>
      <c r="D245" t="s">
        <v>7865</v>
      </c>
      <c r="E245" t="s">
        <v>16</v>
      </c>
      <c r="F245" t="s">
        <v>17</v>
      </c>
      <c r="G245" s="14">
        <v>175000</v>
      </c>
      <c r="H245" s="14">
        <v>195000</v>
      </c>
      <c r="I245" t="s">
        <v>22</v>
      </c>
      <c r="J245" t="s">
        <v>22</v>
      </c>
      <c r="K245" t="s">
        <v>7866</v>
      </c>
      <c r="L245" t="s">
        <v>960</v>
      </c>
      <c r="M245" t="s">
        <v>19</v>
      </c>
      <c r="N245">
        <v>2</v>
      </c>
      <c r="O245" t="s">
        <v>142</v>
      </c>
      <c r="P245" t="s">
        <v>276</v>
      </c>
      <c r="Q245" t="s">
        <v>30</v>
      </c>
      <c r="R245" t="str">
        <f>VLOOKUP($O245,'Mapa Oficinas'!$A$7:$C$46,2,FALSE)</f>
        <v>Zona Norte (GBA)</v>
      </c>
      <c r="S245" t="str">
        <f>VLOOKUP($O245,'Mapa Oficinas'!$A$7:$C$46,3,FALSE)</f>
        <v>Nordelta</v>
      </c>
    </row>
    <row r="246" spans="1:19" x14ac:dyDescent="0.2">
      <c r="A246" s="1">
        <v>45719</v>
      </c>
      <c r="B246" t="s">
        <v>7862</v>
      </c>
      <c r="D246" t="s">
        <v>2442</v>
      </c>
      <c r="E246" t="s">
        <v>16</v>
      </c>
      <c r="F246" t="s">
        <v>896</v>
      </c>
      <c r="G246" s="14">
        <v>77500</v>
      </c>
      <c r="H246" s="14">
        <v>75000</v>
      </c>
      <c r="I246" t="s">
        <v>22</v>
      </c>
      <c r="J246" t="s">
        <v>22</v>
      </c>
      <c r="K246" t="s">
        <v>7863</v>
      </c>
      <c r="L246" t="s">
        <v>1353</v>
      </c>
      <c r="M246" t="s">
        <v>19</v>
      </c>
      <c r="N246">
        <v>2</v>
      </c>
      <c r="O246" t="s">
        <v>98</v>
      </c>
      <c r="P246" t="s">
        <v>256</v>
      </c>
      <c r="Q246" t="s">
        <v>30</v>
      </c>
      <c r="R246" t="str">
        <f>VLOOKUP($O246,'Mapa Oficinas'!$A$7:$C$46,2,FALSE)</f>
        <v>Interior - Neuquén</v>
      </c>
      <c r="S246" t="str">
        <f>VLOOKUP($O246,'Mapa Oficinas'!$A$7:$C$46,3,FALSE)</f>
        <v>Villa La Angostura</v>
      </c>
    </row>
    <row r="247" spans="1:19" x14ac:dyDescent="0.2">
      <c r="A247" s="1">
        <v>45719</v>
      </c>
      <c r="B247" t="s">
        <v>7860</v>
      </c>
      <c r="D247" t="s">
        <v>7861</v>
      </c>
      <c r="E247" t="s">
        <v>16</v>
      </c>
      <c r="F247" t="s">
        <v>47</v>
      </c>
      <c r="G247" s="14">
        <v>85000</v>
      </c>
      <c r="H247" s="14">
        <v>85000</v>
      </c>
      <c r="I247" t="s">
        <v>22</v>
      </c>
      <c r="J247" t="s">
        <v>22</v>
      </c>
      <c r="L247" t="s">
        <v>358</v>
      </c>
      <c r="M247" t="s">
        <v>97</v>
      </c>
      <c r="N247">
        <v>2</v>
      </c>
      <c r="O247" t="s">
        <v>359</v>
      </c>
      <c r="P247" t="s">
        <v>41</v>
      </c>
      <c r="Q247" t="s">
        <v>30</v>
      </c>
      <c r="R247" t="str">
        <f>VLOOKUP($O247,'Mapa Oficinas'!$A$7:$C$46,2,FALSE)</f>
        <v>CABA</v>
      </c>
      <c r="S247" t="str">
        <f>VLOOKUP($O247,'Mapa Oficinas'!$A$7:$C$46,3,FALSE)</f>
        <v>Palermo</v>
      </c>
    </row>
    <row r="248" spans="1:19" x14ac:dyDescent="0.2">
      <c r="A248" s="1">
        <v>45721</v>
      </c>
      <c r="B248" t="s">
        <v>7851</v>
      </c>
      <c r="D248" t="s">
        <v>7852</v>
      </c>
      <c r="E248" t="s">
        <v>16</v>
      </c>
      <c r="F248" t="s">
        <v>17</v>
      </c>
      <c r="G248" s="14">
        <v>115540</v>
      </c>
      <c r="H248" s="14">
        <v>110000</v>
      </c>
      <c r="I248" t="s">
        <v>22</v>
      </c>
      <c r="J248" t="s">
        <v>22</v>
      </c>
      <c r="K248" t="s">
        <v>7853</v>
      </c>
      <c r="L248" t="s">
        <v>79</v>
      </c>
      <c r="M248" t="s">
        <v>19</v>
      </c>
      <c r="N248">
        <v>2</v>
      </c>
      <c r="O248" t="s">
        <v>206</v>
      </c>
      <c r="P248" t="s">
        <v>21</v>
      </c>
      <c r="Q248" t="s">
        <v>30</v>
      </c>
      <c r="R248" t="str">
        <f>VLOOKUP($O248,'Mapa Oficinas'!$A$7:$C$46,2,FALSE)</f>
        <v>CABA</v>
      </c>
      <c r="S248" t="str">
        <f>VLOOKUP($O248,'Mapa Oficinas'!$A$7:$C$46,3,FALSE)</f>
        <v>Belgrano</v>
      </c>
    </row>
    <row r="249" spans="1:19" x14ac:dyDescent="0.2">
      <c r="A249" s="1">
        <v>45721</v>
      </c>
      <c r="B249" t="s">
        <v>7854</v>
      </c>
      <c r="D249" t="s">
        <v>7855</v>
      </c>
      <c r="E249" t="s">
        <v>16</v>
      </c>
      <c r="F249" t="s">
        <v>47</v>
      </c>
      <c r="G249" s="14">
        <v>175000</v>
      </c>
      <c r="H249" s="14">
        <v>175000</v>
      </c>
      <c r="I249" t="s">
        <v>22</v>
      </c>
      <c r="J249" t="s">
        <v>22</v>
      </c>
      <c r="K249" t="s">
        <v>7856</v>
      </c>
      <c r="L249" t="s">
        <v>258</v>
      </c>
      <c r="M249" t="s">
        <v>28</v>
      </c>
      <c r="N249">
        <v>2</v>
      </c>
      <c r="O249" t="s">
        <v>40</v>
      </c>
      <c r="P249" t="s">
        <v>21</v>
      </c>
      <c r="Q249" t="s">
        <v>30</v>
      </c>
      <c r="R249" t="str">
        <f>VLOOKUP($O249,'Mapa Oficinas'!$A$7:$C$46,2,FALSE)</f>
        <v>Zona Norte (GBA)</v>
      </c>
      <c r="S249" t="str">
        <f>VLOOKUP($O249,'Mapa Oficinas'!$A$7:$C$46,3,FALSE)</f>
        <v>Pilar</v>
      </c>
    </row>
    <row r="250" spans="1:19" x14ac:dyDescent="0.2">
      <c r="A250" s="1">
        <v>45721</v>
      </c>
      <c r="B250">
        <v>10307</v>
      </c>
      <c r="D250" t="s">
        <v>7848</v>
      </c>
      <c r="E250" t="s">
        <v>16</v>
      </c>
      <c r="F250" t="s">
        <v>17</v>
      </c>
      <c r="G250" s="14">
        <v>0</v>
      </c>
      <c r="H250" s="14">
        <v>190000</v>
      </c>
      <c r="I250" t="s">
        <v>22</v>
      </c>
      <c r="J250" t="s">
        <v>22</v>
      </c>
      <c r="L250" t="s">
        <v>79</v>
      </c>
      <c r="M250" t="s">
        <v>19</v>
      </c>
      <c r="N250">
        <v>1</v>
      </c>
      <c r="O250" t="s">
        <v>103</v>
      </c>
      <c r="P250" t="s">
        <v>146</v>
      </c>
      <c r="Q250" t="s">
        <v>30</v>
      </c>
      <c r="R250" t="str">
        <f>VLOOKUP($O250,'Mapa Oficinas'!$A$7:$C$46,2,FALSE)</f>
        <v>CABA</v>
      </c>
      <c r="S250" t="str">
        <f>VLOOKUP($O250,'Mapa Oficinas'!$A$7:$C$46,3,FALSE)</f>
        <v>Barrio Parque</v>
      </c>
    </row>
    <row r="251" spans="1:19" x14ac:dyDescent="0.2">
      <c r="A251" s="1">
        <v>45721</v>
      </c>
      <c r="D251" t="s">
        <v>7849</v>
      </c>
      <c r="E251" t="s">
        <v>16</v>
      </c>
      <c r="F251" t="s">
        <v>17</v>
      </c>
      <c r="G251" s="14">
        <v>195000</v>
      </c>
      <c r="H251" s="14">
        <v>195000</v>
      </c>
      <c r="I251" t="s">
        <v>22</v>
      </c>
      <c r="J251" t="s">
        <v>22</v>
      </c>
      <c r="K251" t="s">
        <v>7850</v>
      </c>
      <c r="L251" t="s">
        <v>277</v>
      </c>
      <c r="M251" t="s">
        <v>19</v>
      </c>
      <c r="N251">
        <v>1</v>
      </c>
      <c r="O251" t="s">
        <v>201</v>
      </c>
      <c r="P251" t="s">
        <v>146</v>
      </c>
      <c r="Q251" t="s">
        <v>30</v>
      </c>
      <c r="R251" t="str">
        <f>VLOOKUP($O251,'Mapa Oficinas'!$A$7:$C$46,2,FALSE)</f>
        <v>CABA</v>
      </c>
      <c r="S251" t="str">
        <f>VLOOKUP($O251,'Mapa Oficinas'!$A$7:$C$46,3,FALSE)</f>
        <v>Recoleta</v>
      </c>
    </row>
    <row r="252" spans="1:19" x14ac:dyDescent="0.2">
      <c r="A252" s="1">
        <v>45722</v>
      </c>
      <c r="B252" t="s">
        <v>7838</v>
      </c>
      <c r="D252" t="s">
        <v>7839</v>
      </c>
      <c r="E252" t="s">
        <v>16</v>
      </c>
      <c r="F252" t="s">
        <v>17</v>
      </c>
      <c r="G252" s="14">
        <v>52000</v>
      </c>
      <c r="H252" s="14">
        <v>46000</v>
      </c>
      <c r="I252" t="s">
        <v>22</v>
      </c>
      <c r="J252" t="s">
        <v>22</v>
      </c>
      <c r="K252" t="s">
        <v>7840</v>
      </c>
      <c r="L252" t="s">
        <v>205</v>
      </c>
      <c r="M252" t="s">
        <v>72</v>
      </c>
      <c r="N252">
        <v>2</v>
      </c>
      <c r="O252" t="s">
        <v>73</v>
      </c>
      <c r="P252" t="s">
        <v>21</v>
      </c>
      <c r="Q252" t="s">
        <v>30</v>
      </c>
      <c r="R252" t="str">
        <f>VLOOKUP($O252,'Mapa Oficinas'!$A$7:$C$46,2,FALSE)</f>
        <v>CABA</v>
      </c>
      <c r="S252" t="str">
        <f>VLOOKUP($O252,'Mapa Oficinas'!$A$7:$C$46,3,FALSE)</f>
        <v>Recoleta</v>
      </c>
    </row>
    <row r="253" spans="1:19" x14ac:dyDescent="0.2">
      <c r="A253" s="1">
        <v>45722</v>
      </c>
      <c r="B253" t="s">
        <v>7841</v>
      </c>
      <c r="D253" t="s">
        <v>7842</v>
      </c>
      <c r="E253" t="s">
        <v>16</v>
      </c>
      <c r="F253" t="s">
        <v>134</v>
      </c>
      <c r="G253" s="14">
        <v>50000</v>
      </c>
      <c r="H253" s="14">
        <v>50000</v>
      </c>
      <c r="I253" t="s">
        <v>22</v>
      </c>
      <c r="J253" t="s">
        <v>22</v>
      </c>
      <c r="L253" t="s">
        <v>595</v>
      </c>
      <c r="M253" t="s">
        <v>19</v>
      </c>
      <c r="N253">
        <v>1</v>
      </c>
      <c r="O253" t="s">
        <v>130</v>
      </c>
      <c r="P253" t="s">
        <v>131</v>
      </c>
      <c r="Q253" t="s">
        <v>30</v>
      </c>
      <c r="R253" t="str">
        <f>VLOOKUP($O253,'Mapa Oficinas'!$A$7:$C$46,2,FALSE)</f>
        <v>Interior - Río Negro</v>
      </c>
      <c r="S253" t="str">
        <f>VLOOKUP($O253,'Mapa Oficinas'!$A$7:$C$46,3,FALSE)</f>
        <v>Bariloche</v>
      </c>
    </row>
    <row r="254" spans="1:19" x14ac:dyDescent="0.2">
      <c r="A254" s="1">
        <v>45722</v>
      </c>
      <c r="B254" t="s">
        <v>7843</v>
      </c>
      <c r="D254" t="s">
        <v>7844</v>
      </c>
      <c r="E254" t="s">
        <v>16</v>
      </c>
      <c r="F254" t="s">
        <v>1708</v>
      </c>
      <c r="G254" s="14">
        <v>95000</v>
      </c>
      <c r="H254" s="14">
        <v>81500</v>
      </c>
      <c r="I254" t="s">
        <v>22</v>
      </c>
      <c r="J254" t="s">
        <v>22</v>
      </c>
      <c r="K254" t="s">
        <v>7845</v>
      </c>
      <c r="L254" t="s">
        <v>245</v>
      </c>
      <c r="M254" t="s">
        <v>28</v>
      </c>
      <c r="N254">
        <v>2</v>
      </c>
      <c r="O254" t="s">
        <v>246</v>
      </c>
      <c r="P254" t="s">
        <v>21</v>
      </c>
      <c r="Q254" t="s">
        <v>30</v>
      </c>
      <c r="R254" t="str">
        <f>VLOOKUP($O254,'Mapa Oficinas'!$A$7:$C$46,2,FALSE)</f>
        <v>Interior - Salta</v>
      </c>
      <c r="S254" t="str">
        <f>VLOOKUP($O254,'Mapa Oficinas'!$A$7:$C$46,3,FALSE)</f>
        <v>San Lorenzo Chico</v>
      </c>
    </row>
    <row r="255" spans="1:19" x14ac:dyDescent="0.2">
      <c r="A255" s="1">
        <v>45722</v>
      </c>
      <c r="B255" t="s">
        <v>7837</v>
      </c>
      <c r="D255" t="s">
        <v>3825</v>
      </c>
      <c r="E255" t="s">
        <v>16</v>
      </c>
      <c r="F255" t="s">
        <v>1708</v>
      </c>
      <c r="G255" s="14">
        <v>92000</v>
      </c>
      <c r="H255" s="14">
        <v>89000</v>
      </c>
      <c r="I255" t="s">
        <v>22</v>
      </c>
      <c r="J255" t="s">
        <v>22</v>
      </c>
      <c r="K255" t="s">
        <v>3823</v>
      </c>
      <c r="L255" t="s">
        <v>1090</v>
      </c>
      <c r="M255" t="s">
        <v>19</v>
      </c>
      <c r="N255">
        <v>2</v>
      </c>
      <c r="O255" t="s">
        <v>98</v>
      </c>
      <c r="P255" t="s">
        <v>41</v>
      </c>
      <c r="Q255" t="s">
        <v>30</v>
      </c>
      <c r="R255" t="str">
        <f>VLOOKUP($O255,'Mapa Oficinas'!$A$7:$C$46,2,FALSE)</f>
        <v>Interior - Neuquén</v>
      </c>
      <c r="S255" t="str">
        <f>VLOOKUP($O255,'Mapa Oficinas'!$A$7:$C$46,3,FALSE)</f>
        <v>Villa La Angostura</v>
      </c>
    </row>
    <row r="256" spans="1:19" x14ac:dyDescent="0.2">
      <c r="A256" s="1">
        <v>45723</v>
      </c>
      <c r="B256" t="s">
        <v>7829</v>
      </c>
      <c r="D256" t="s">
        <v>7830</v>
      </c>
      <c r="E256" t="s">
        <v>16</v>
      </c>
      <c r="F256" t="s">
        <v>644</v>
      </c>
      <c r="G256" s="14">
        <v>145000</v>
      </c>
      <c r="H256" s="14">
        <v>135000</v>
      </c>
      <c r="I256" t="s">
        <v>22</v>
      </c>
      <c r="J256" t="s">
        <v>22</v>
      </c>
      <c r="K256" t="s">
        <v>7831</v>
      </c>
      <c r="L256" t="s">
        <v>1983</v>
      </c>
      <c r="M256" t="s">
        <v>300</v>
      </c>
      <c r="N256">
        <v>2</v>
      </c>
      <c r="O256" t="s">
        <v>98</v>
      </c>
      <c r="P256" t="s">
        <v>21</v>
      </c>
      <c r="Q256" t="s">
        <v>30</v>
      </c>
      <c r="R256" t="str">
        <f>VLOOKUP($O256,'Mapa Oficinas'!$A$7:$C$46,2,FALSE)</f>
        <v>Interior - Neuquén</v>
      </c>
      <c r="S256" t="str">
        <f>VLOOKUP($O256,'Mapa Oficinas'!$A$7:$C$46,3,FALSE)</f>
        <v>Villa La Angostura</v>
      </c>
    </row>
    <row r="257" spans="1:19" x14ac:dyDescent="0.2">
      <c r="A257" s="1">
        <v>45723</v>
      </c>
      <c r="B257" t="s">
        <v>7832</v>
      </c>
      <c r="D257" t="s">
        <v>7833</v>
      </c>
      <c r="E257" t="s">
        <v>16</v>
      </c>
      <c r="F257" t="s">
        <v>82</v>
      </c>
      <c r="G257" s="14">
        <v>250000</v>
      </c>
      <c r="H257" s="14">
        <v>250000</v>
      </c>
      <c r="I257" t="s">
        <v>22</v>
      </c>
      <c r="J257" t="s">
        <v>22</v>
      </c>
      <c r="K257" t="s">
        <v>7834</v>
      </c>
      <c r="L257" t="s">
        <v>366</v>
      </c>
      <c r="M257" t="s">
        <v>28</v>
      </c>
      <c r="N257">
        <v>1</v>
      </c>
      <c r="O257" t="s">
        <v>367</v>
      </c>
      <c r="P257" t="s">
        <v>66</v>
      </c>
      <c r="Q257" t="s">
        <v>30</v>
      </c>
      <c r="R257" t="str">
        <f>VLOOKUP($O257,'Mapa Oficinas'!$A$7:$C$46,2,FALSE)</f>
        <v>Interior - Neuquén</v>
      </c>
      <c r="S257" t="str">
        <f>VLOOKUP($O257,'Mapa Oficinas'!$A$7:$C$46,3,FALSE)</f>
        <v>San Martín de los Andes</v>
      </c>
    </row>
    <row r="258" spans="1:19" x14ac:dyDescent="0.2">
      <c r="A258" s="1">
        <v>45723</v>
      </c>
      <c r="D258" t="s">
        <v>7835</v>
      </c>
      <c r="E258" t="s">
        <v>16</v>
      </c>
      <c r="F258" t="s">
        <v>38</v>
      </c>
      <c r="G258" s="14">
        <v>250000</v>
      </c>
      <c r="H258" s="14">
        <v>250000</v>
      </c>
      <c r="I258" t="s">
        <v>22</v>
      </c>
      <c r="J258" t="s">
        <v>22</v>
      </c>
      <c r="K258" t="s">
        <v>7836</v>
      </c>
      <c r="L258" t="s">
        <v>5963</v>
      </c>
      <c r="M258" t="s">
        <v>28</v>
      </c>
      <c r="N258">
        <v>1</v>
      </c>
      <c r="O258" t="s">
        <v>367</v>
      </c>
      <c r="P258" t="s">
        <v>131</v>
      </c>
      <c r="Q258" t="s">
        <v>30</v>
      </c>
      <c r="R258" t="str">
        <f>VLOOKUP($O258,'Mapa Oficinas'!$A$7:$C$46,2,FALSE)</f>
        <v>Interior - Neuquén</v>
      </c>
      <c r="S258" t="str">
        <f>VLOOKUP($O258,'Mapa Oficinas'!$A$7:$C$46,3,FALSE)</f>
        <v>San Martín de los Andes</v>
      </c>
    </row>
    <row r="259" spans="1:19" x14ac:dyDescent="0.2">
      <c r="A259" s="1">
        <v>45726</v>
      </c>
      <c r="B259" t="s">
        <v>7810</v>
      </c>
      <c r="D259" t="s">
        <v>7811</v>
      </c>
      <c r="E259" t="s">
        <v>16</v>
      </c>
      <c r="F259" t="s">
        <v>82</v>
      </c>
      <c r="G259" s="14">
        <v>36500</v>
      </c>
      <c r="H259" s="14">
        <v>36500</v>
      </c>
      <c r="I259" t="s">
        <v>22</v>
      </c>
      <c r="J259" t="s">
        <v>22</v>
      </c>
      <c r="L259" t="s">
        <v>7812</v>
      </c>
      <c r="M259" t="s">
        <v>97</v>
      </c>
      <c r="N259">
        <v>1</v>
      </c>
      <c r="O259" t="s">
        <v>65</v>
      </c>
      <c r="P259" t="s">
        <v>146</v>
      </c>
      <c r="Q259" t="s">
        <v>30</v>
      </c>
      <c r="R259" t="str">
        <f>VLOOKUP($O259,'Mapa Oficinas'!$A$7:$C$46,2,FALSE)</f>
        <v>Interior - Mendoza</v>
      </c>
      <c r="S259" t="str">
        <f>VLOOKUP($O259,'Mapa Oficinas'!$A$7:$C$46,3,FALSE)</f>
        <v>Capital Mendoza</v>
      </c>
    </row>
    <row r="260" spans="1:19" x14ac:dyDescent="0.2">
      <c r="A260" s="1">
        <v>45726</v>
      </c>
      <c r="B260" t="s">
        <v>7821</v>
      </c>
      <c r="D260" t="s">
        <v>7822</v>
      </c>
      <c r="E260" t="s">
        <v>16</v>
      </c>
      <c r="F260" t="s">
        <v>243</v>
      </c>
      <c r="G260" s="14">
        <v>42000</v>
      </c>
      <c r="H260" s="14">
        <v>37000</v>
      </c>
      <c r="I260" t="s">
        <v>22</v>
      </c>
      <c r="J260" t="s">
        <v>22</v>
      </c>
      <c r="K260" t="s">
        <v>7823</v>
      </c>
      <c r="L260" t="s">
        <v>7824</v>
      </c>
      <c r="M260" t="s">
        <v>28</v>
      </c>
      <c r="N260">
        <v>2</v>
      </c>
      <c r="O260" t="s">
        <v>246</v>
      </c>
      <c r="P260" t="s">
        <v>21</v>
      </c>
      <c r="Q260" t="s">
        <v>30</v>
      </c>
      <c r="R260" t="str">
        <f>VLOOKUP($O260,'Mapa Oficinas'!$A$7:$C$46,2,FALSE)</f>
        <v>Interior - Salta</v>
      </c>
      <c r="S260" t="str">
        <f>VLOOKUP($O260,'Mapa Oficinas'!$A$7:$C$46,3,FALSE)</f>
        <v>San Lorenzo Chico</v>
      </c>
    </row>
    <row r="261" spans="1:19" x14ac:dyDescent="0.2">
      <c r="A261" s="1">
        <v>45726</v>
      </c>
      <c r="B261" t="s">
        <v>439</v>
      </c>
      <c r="D261" t="s">
        <v>7815</v>
      </c>
      <c r="E261" t="s">
        <v>16</v>
      </c>
      <c r="F261" t="s">
        <v>47</v>
      </c>
      <c r="G261" s="14">
        <v>37000</v>
      </c>
      <c r="H261" s="14">
        <v>37000</v>
      </c>
      <c r="I261" t="s">
        <v>22</v>
      </c>
      <c r="J261" t="s">
        <v>22</v>
      </c>
      <c r="L261" t="s">
        <v>2008</v>
      </c>
      <c r="M261" t="s">
        <v>97</v>
      </c>
      <c r="N261">
        <v>2</v>
      </c>
      <c r="O261" t="s">
        <v>40</v>
      </c>
      <c r="P261" t="s">
        <v>44</v>
      </c>
      <c r="Q261" t="s">
        <v>30</v>
      </c>
      <c r="R261" t="str">
        <f>VLOOKUP($O261,'Mapa Oficinas'!$A$7:$C$46,2,FALSE)</f>
        <v>Zona Norte (GBA)</v>
      </c>
      <c r="S261" t="str">
        <f>VLOOKUP($O261,'Mapa Oficinas'!$A$7:$C$46,3,FALSE)</f>
        <v>Pilar</v>
      </c>
    </row>
    <row r="262" spans="1:19" x14ac:dyDescent="0.2">
      <c r="A262" s="1">
        <v>45726</v>
      </c>
      <c r="B262" t="s">
        <v>2753</v>
      </c>
      <c r="D262" t="s">
        <v>2754</v>
      </c>
      <c r="E262" t="s">
        <v>16</v>
      </c>
      <c r="F262" t="s">
        <v>134</v>
      </c>
      <c r="G262" s="14">
        <v>70000</v>
      </c>
      <c r="H262" s="14">
        <v>67800</v>
      </c>
      <c r="I262" t="s">
        <v>22</v>
      </c>
      <c r="J262" t="s">
        <v>22</v>
      </c>
      <c r="K262" t="s">
        <v>2755</v>
      </c>
      <c r="L262" t="s">
        <v>2742</v>
      </c>
      <c r="M262" t="s">
        <v>19</v>
      </c>
      <c r="N262">
        <v>2</v>
      </c>
      <c r="O262" t="s">
        <v>65</v>
      </c>
      <c r="P262" t="s">
        <v>21</v>
      </c>
      <c r="Q262" t="s">
        <v>30</v>
      </c>
      <c r="R262" t="str">
        <f>VLOOKUP($O262,'Mapa Oficinas'!$A$7:$C$46,2,FALSE)</f>
        <v>Interior - Mendoza</v>
      </c>
      <c r="S262" t="str">
        <f>VLOOKUP($O262,'Mapa Oficinas'!$A$7:$C$46,3,FALSE)</f>
        <v>Capital Mendoza</v>
      </c>
    </row>
    <row r="263" spans="1:19" x14ac:dyDescent="0.2">
      <c r="A263" s="1">
        <v>45726</v>
      </c>
      <c r="B263" t="s">
        <v>7825</v>
      </c>
      <c r="D263" t="s">
        <v>7826</v>
      </c>
      <c r="E263" t="s">
        <v>16</v>
      </c>
      <c r="F263" t="s">
        <v>38</v>
      </c>
      <c r="G263" s="14">
        <v>180000</v>
      </c>
      <c r="H263" s="14">
        <v>175000</v>
      </c>
      <c r="I263" t="s">
        <v>22</v>
      </c>
      <c r="J263" t="s">
        <v>22</v>
      </c>
      <c r="K263" t="s">
        <v>7827</v>
      </c>
      <c r="L263" t="s">
        <v>7828</v>
      </c>
      <c r="M263" t="s">
        <v>28</v>
      </c>
      <c r="N263">
        <v>2</v>
      </c>
      <c r="O263" t="s">
        <v>98</v>
      </c>
      <c r="P263" t="s">
        <v>256</v>
      </c>
      <c r="Q263" t="s">
        <v>30</v>
      </c>
      <c r="R263" t="str">
        <f>VLOOKUP($O263,'Mapa Oficinas'!$A$7:$C$46,2,FALSE)</f>
        <v>Interior - Neuquén</v>
      </c>
      <c r="S263" t="str">
        <f>VLOOKUP($O263,'Mapa Oficinas'!$A$7:$C$46,3,FALSE)</f>
        <v>Villa La Angostura</v>
      </c>
    </row>
    <row r="264" spans="1:19" x14ac:dyDescent="0.2">
      <c r="A264" s="1">
        <v>45726</v>
      </c>
      <c r="B264" t="s">
        <v>7813</v>
      </c>
      <c r="D264" t="s">
        <v>7814</v>
      </c>
      <c r="E264" t="s">
        <v>16</v>
      </c>
      <c r="F264" t="s">
        <v>17</v>
      </c>
      <c r="G264" s="14">
        <v>178000</v>
      </c>
      <c r="H264" s="14">
        <v>175000</v>
      </c>
      <c r="I264" t="s">
        <v>22</v>
      </c>
      <c r="J264" t="s">
        <v>22</v>
      </c>
      <c r="K264" t="s">
        <v>7814</v>
      </c>
      <c r="L264" t="s">
        <v>1274</v>
      </c>
      <c r="M264" t="s">
        <v>28</v>
      </c>
      <c r="N264">
        <v>2</v>
      </c>
      <c r="O264" t="s">
        <v>142</v>
      </c>
      <c r="P264" t="s">
        <v>41</v>
      </c>
      <c r="Q264" t="s">
        <v>30</v>
      </c>
      <c r="R264" t="str">
        <f>VLOOKUP($O264,'Mapa Oficinas'!$A$7:$C$46,2,FALSE)</f>
        <v>Zona Norte (GBA)</v>
      </c>
      <c r="S264" t="str">
        <f>VLOOKUP($O264,'Mapa Oficinas'!$A$7:$C$46,3,FALSE)</f>
        <v>Nordelta</v>
      </c>
    </row>
    <row r="265" spans="1:19" x14ac:dyDescent="0.2">
      <c r="A265" s="1">
        <v>45726</v>
      </c>
      <c r="B265" t="s">
        <v>439</v>
      </c>
      <c r="D265" t="s">
        <v>3173</v>
      </c>
      <c r="E265" t="s">
        <v>16</v>
      </c>
      <c r="F265" t="s">
        <v>47</v>
      </c>
      <c r="G265" s="14">
        <v>180000</v>
      </c>
      <c r="H265" s="14">
        <v>180000</v>
      </c>
      <c r="I265" t="s">
        <v>22</v>
      </c>
      <c r="J265" t="s">
        <v>22</v>
      </c>
      <c r="L265" t="s">
        <v>2008</v>
      </c>
      <c r="M265" t="s">
        <v>28</v>
      </c>
      <c r="N265">
        <v>2</v>
      </c>
      <c r="O265" t="s">
        <v>40</v>
      </c>
      <c r="P265" t="s">
        <v>21</v>
      </c>
      <c r="Q265" t="s">
        <v>30</v>
      </c>
      <c r="R265" t="str">
        <f>VLOOKUP($O265,'Mapa Oficinas'!$A$7:$C$46,2,FALSE)</f>
        <v>Zona Norte (GBA)</v>
      </c>
      <c r="S265" t="str">
        <f>VLOOKUP($O265,'Mapa Oficinas'!$A$7:$C$46,3,FALSE)</f>
        <v>Pilar</v>
      </c>
    </row>
    <row r="266" spans="1:19" x14ac:dyDescent="0.2">
      <c r="A266" s="1">
        <v>45726</v>
      </c>
      <c r="B266" t="s">
        <v>7816</v>
      </c>
      <c r="D266" t="s">
        <v>7817</v>
      </c>
      <c r="E266" t="s">
        <v>16</v>
      </c>
      <c r="F266" t="s">
        <v>17</v>
      </c>
      <c r="G266" s="14">
        <v>290000</v>
      </c>
      <c r="H266" s="14">
        <v>195100</v>
      </c>
      <c r="I266" t="s">
        <v>22</v>
      </c>
      <c r="J266" t="s">
        <v>22</v>
      </c>
      <c r="K266" t="s">
        <v>7817</v>
      </c>
      <c r="L266" t="s">
        <v>4938</v>
      </c>
      <c r="M266" t="s">
        <v>28</v>
      </c>
      <c r="N266">
        <v>2</v>
      </c>
      <c r="O266" t="s">
        <v>142</v>
      </c>
      <c r="P266" t="s">
        <v>41</v>
      </c>
      <c r="Q266" t="s">
        <v>30</v>
      </c>
      <c r="R266" t="str">
        <f>VLOOKUP($O266,'Mapa Oficinas'!$A$7:$C$46,2,FALSE)</f>
        <v>Zona Norte (GBA)</v>
      </c>
      <c r="S266" t="str">
        <f>VLOOKUP($O266,'Mapa Oficinas'!$A$7:$C$46,3,FALSE)</f>
        <v>Nordelta</v>
      </c>
    </row>
    <row r="267" spans="1:19" x14ac:dyDescent="0.2">
      <c r="A267" s="1">
        <v>45726</v>
      </c>
      <c r="B267" t="s">
        <v>7818</v>
      </c>
      <c r="D267" t="s">
        <v>7819</v>
      </c>
      <c r="E267" t="s">
        <v>16</v>
      </c>
      <c r="F267" t="s">
        <v>17</v>
      </c>
      <c r="G267" s="14">
        <v>200000</v>
      </c>
      <c r="H267" s="14">
        <v>200000</v>
      </c>
      <c r="I267" t="s">
        <v>22</v>
      </c>
      <c r="J267" t="s">
        <v>22</v>
      </c>
      <c r="K267" t="s">
        <v>7820</v>
      </c>
      <c r="L267" t="s">
        <v>576</v>
      </c>
      <c r="M267" t="s">
        <v>19</v>
      </c>
      <c r="N267">
        <v>2</v>
      </c>
      <c r="O267" t="s">
        <v>142</v>
      </c>
      <c r="P267" t="s">
        <v>21</v>
      </c>
      <c r="Q267" t="s">
        <v>30</v>
      </c>
      <c r="R267" t="str">
        <f>VLOOKUP($O267,'Mapa Oficinas'!$A$7:$C$46,2,FALSE)</f>
        <v>Zona Norte (GBA)</v>
      </c>
      <c r="S267" t="str">
        <f>VLOOKUP($O267,'Mapa Oficinas'!$A$7:$C$46,3,FALSE)</f>
        <v>Nordelta</v>
      </c>
    </row>
    <row r="268" spans="1:19" x14ac:dyDescent="0.2">
      <c r="A268" s="1">
        <v>45726</v>
      </c>
      <c r="B268" t="s">
        <v>7807</v>
      </c>
      <c r="D268" t="s">
        <v>7808</v>
      </c>
      <c r="E268" t="s">
        <v>16</v>
      </c>
      <c r="F268" t="s">
        <v>58</v>
      </c>
      <c r="G268" s="14">
        <v>235000</v>
      </c>
      <c r="H268" s="14">
        <v>220000</v>
      </c>
      <c r="I268" t="s">
        <v>22</v>
      </c>
      <c r="J268" t="s">
        <v>22</v>
      </c>
      <c r="K268" t="s">
        <v>7809</v>
      </c>
      <c r="L268" t="s">
        <v>1449</v>
      </c>
      <c r="M268" t="s">
        <v>19</v>
      </c>
      <c r="N268">
        <v>2</v>
      </c>
      <c r="O268" t="s">
        <v>206</v>
      </c>
      <c r="P268" t="s">
        <v>21</v>
      </c>
      <c r="Q268" t="s">
        <v>30</v>
      </c>
      <c r="R268" t="str">
        <f>VLOOKUP($O268,'Mapa Oficinas'!$A$7:$C$46,2,FALSE)</f>
        <v>CABA</v>
      </c>
      <c r="S268" t="str">
        <f>VLOOKUP($O268,'Mapa Oficinas'!$A$7:$C$46,3,FALSE)</f>
        <v>Belgrano</v>
      </c>
    </row>
    <row r="269" spans="1:19" x14ac:dyDescent="0.2">
      <c r="A269" s="1">
        <v>45727</v>
      </c>
      <c r="B269" t="s">
        <v>7801</v>
      </c>
      <c r="D269" t="s">
        <v>7802</v>
      </c>
      <c r="E269" t="s">
        <v>16</v>
      </c>
      <c r="F269" t="s">
        <v>134</v>
      </c>
      <c r="G269" s="14">
        <v>85000</v>
      </c>
      <c r="H269" s="14">
        <v>79000</v>
      </c>
      <c r="I269" t="s">
        <v>22</v>
      </c>
      <c r="J269" t="s">
        <v>22</v>
      </c>
      <c r="K269" t="s">
        <v>594</v>
      </c>
      <c r="L269" t="s">
        <v>136</v>
      </c>
      <c r="M269" t="s">
        <v>19</v>
      </c>
      <c r="N269">
        <v>1</v>
      </c>
      <c r="O269" t="s">
        <v>130</v>
      </c>
      <c r="P269" t="s">
        <v>131</v>
      </c>
      <c r="Q269" t="s">
        <v>30</v>
      </c>
      <c r="R269" t="str">
        <f>VLOOKUP($O269,'Mapa Oficinas'!$A$7:$C$46,2,FALSE)</f>
        <v>Interior - Río Negro</v>
      </c>
      <c r="S269" t="str">
        <f>VLOOKUP($O269,'Mapa Oficinas'!$A$7:$C$46,3,FALSE)</f>
        <v>Bariloche</v>
      </c>
    </row>
    <row r="270" spans="1:19" x14ac:dyDescent="0.2">
      <c r="A270" s="1">
        <v>45727</v>
      </c>
      <c r="B270" t="s">
        <v>7799</v>
      </c>
      <c r="D270" t="s">
        <v>7800</v>
      </c>
      <c r="E270" t="s">
        <v>16</v>
      </c>
      <c r="F270" t="s">
        <v>134</v>
      </c>
      <c r="G270" s="14">
        <v>280000</v>
      </c>
      <c r="H270" s="14">
        <v>240000</v>
      </c>
      <c r="I270" t="s">
        <v>22</v>
      </c>
      <c r="J270" t="s">
        <v>22</v>
      </c>
      <c r="K270" t="s">
        <v>594</v>
      </c>
      <c r="L270" t="s">
        <v>129</v>
      </c>
      <c r="M270" t="s">
        <v>28</v>
      </c>
      <c r="N270">
        <v>2</v>
      </c>
      <c r="O270" t="s">
        <v>130</v>
      </c>
      <c r="P270" t="s">
        <v>21</v>
      </c>
      <c r="Q270" t="s">
        <v>30</v>
      </c>
      <c r="R270" t="str">
        <f>VLOOKUP($O270,'Mapa Oficinas'!$A$7:$C$46,2,FALSE)</f>
        <v>Interior - Río Negro</v>
      </c>
      <c r="S270" t="str">
        <f>VLOOKUP($O270,'Mapa Oficinas'!$A$7:$C$46,3,FALSE)</f>
        <v>Bariloche</v>
      </c>
    </row>
    <row r="271" spans="1:19" x14ac:dyDescent="0.2">
      <c r="A271" s="1">
        <v>45727</v>
      </c>
      <c r="D271" t="s">
        <v>7805</v>
      </c>
      <c r="E271" t="s">
        <v>16</v>
      </c>
      <c r="F271" t="s">
        <v>896</v>
      </c>
      <c r="G271" s="14">
        <v>270000</v>
      </c>
      <c r="H271" s="14">
        <v>270000</v>
      </c>
      <c r="I271" t="s">
        <v>22</v>
      </c>
      <c r="J271" t="s">
        <v>22</v>
      </c>
      <c r="K271" t="s">
        <v>7806</v>
      </c>
      <c r="L271" t="s">
        <v>442</v>
      </c>
      <c r="M271" t="s">
        <v>97</v>
      </c>
      <c r="N271">
        <v>2</v>
      </c>
      <c r="O271" t="s">
        <v>98</v>
      </c>
      <c r="P271" t="s">
        <v>21</v>
      </c>
      <c r="Q271" t="s">
        <v>30</v>
      </c>
      <c r="R271" t="str">
        <f>VLOOKUP($O271,'Mapa Oficinas'!$A$7:$C$46,2,FALSE)</f>
        <v>Interior - Neuquén</v>
      </c>
      <c r="S271" t="str">
        <f>VLOOKUP($O271,'Mapa Oficinas'!$A$7:$C$46,3,FALSE)</f>
        <v>Villa La Angostura</v>
      </c>
    </row>
    <row r="272" spans="1:19" x14ac:dyDescent="0.2">
      <c r="A272" s="1">
        <v>45728</v>
      </c>
      <c r="B272" t="s">
        <v>7795</v>
      </c>
      <c r="D272" t="s">
        <v>7796</v>
      </c>
      <c r="E272" t="s">
        <v>16</v>
      </c>
      <c r="F272" t="s">
        <v>17</v>
      </c>
      <c r="G272" s="14">
        <v>80000</v>
      </c>
      <c r="H272" s="14">
        <v>72000</v>
      </c>
      <c r="I272" t="s">
        <v>22</v>
      </c>
      <c r="J272" t="s">
        <v>22</v>
      </c>
      <c r="K272" t="s">
        <v>7797</v>
      </c>
      <c r="L272" t="s">
        <v>7798</v>
      </c>
      <c r="M272" t="s">
        <v>28</v>
      </c>
      <c r="N272">
        <v>2</v>
      </c>
      <c r="O272" t="s">
        <v>227</v>
      </c>
      <c r="P272" t="s">
        <v>21</v>
      </c>
      <c r="Q272" t="s">
        <v>30</v>
      </c>
      <c r="R272" t="str">
        <f>VLOOKUP($O272,'Mapa Oficinas'!$A$7:$C$46,2,FALSE)</f>
        <v>Zona Oeste (GBA)</v>
      </c>
      <c r="S272" t="str">
        <f>VLOOKUP($O272,'Mapa Oficinas'!$A$7:$C$46,3,FALSE)</f>
        <v>Parque Leloir</v>
      </c>
    </row>
    <row r="273" spans="1:19" x14ac:dyDescent="0.2">
      <c r="A273" s="1">
        <v>45728</v>
      </c>
      <c r="B273" t="s">
        <v>7787</v>
      </c>
      <c r="D273" t="s">
        <v>7788</v>
      </c>
      <c r="E273" t="s">
        <v>16</v>
      </c>
      <c r="F273" t="s">
        <v>17</v>
      </c>
      <c r="G273" s="14">
        <v>80000</v>
      </c>
      <c r="H273" s="14">
        <v>72000</v>
      </c>
      <c r="I273" t="s">
        <v>22</v>
      </c>
      <c r="J273" t="s">
        <v>22</v>
      </c>
      <c r="K273" t="s">
        <v>7788</v>
      </c>
      <c r="L273" t="s">
        <v>2517</v>
      </c>
      <c r="M273" t="s">
        <v>19</v>
      </c>
      <c r="N273">
        <v>2</v>
      </c>
      <c r="O273" t="s">
        <v>142</v>
      </c>
      <c r="P273" t="s">
        <v>41</v>
      </c>
      <c r="Q273" t="s">
        <v>30</v>
      </c>
      <c r="R273" t="str">
        <f>VLOOKUP($O273,'Mapa Oficinas'!$A$7:$C$46,2,FALSE)</f>
        <v>Zona Norte (GBA)</v>
      </c>
      <c r="S273" t="str">
        <f>VLOOKUP($O273,'Mapa Oficinas'!$A$7:$C$46,3,FALSE)</f>
        <v>Nordelta</v>
      </c>
    </row>
    <row r="274" spans="1:19" x14ac:dyDescent="0.2">
      <c r="A274" s="1">
        <v>45728</v>
      </c>
      <c r="B274" t="s">
        <v>7782</v>
      </c>
      <c r="D274" t="s">
        <v>7783</v>
      </c>
      <c r="E274" t="s">
        <v>16</v>
      </c>
      <c r="F274" t="s">
        <v>17</v>
      </c>
      <c r="G274" s="14">
        <v>74200</v>
      </c>
      <c r="H274" s="14">
        <v>78589</v>
      </c>
      <c r="I274" t="s">
        <v>22</v>
      </c>
      <c r="J274" t="s">
        <v>22</v>
      </c>
      <c r="K274" t="s">
        <v>7784</v>
      </c>
      <c r="L274" t="s">
        <v>569</v>
      </c>
      <c r="M274" t="s">
        <v>19</v>
      </c>
      <c r="N274">
        <v>2</v>
      </c>
      <c r="O274" t="s">
        <v>35</v>
      </c>
      <c r="P274" t="s">
        <v>21</v>
      </c>
      <c r="Q274" t="s">
        <v>30</v>
      </c>
      <c r="R274" t="str">
        <f>VLOOKUP($O274,'Mapa Oficinas'!$A$7:$C$46,2,FALSE)</f>
        <v>Zona Norte (GBA)</v>
      </c>
      <c r="S274" t="str">
        <f>VLOOKUP($O274,'Mapa Oficinas'!$A$7:$C$46,3,FALSE)</f>
        <v>Vicente López</v>
      </c>
    </row>
    <row r="275" spans="1:19" x14ac:dyDescent="0.2">
      <c r="A275" s="1">
        <v>45728</v>
      </c>
      <c r="B275" t="s">
        <v>7785</v>
      </c>
      <c r="D275" t="s">
        <v>7786</v>
      </c>
      <c r="E275" t="s">
        <v>16</v>
      </c>
      <c r="F275" t="s">
        <v>47</v>
      </c>
      <c r="G275" s="14">
        <v>84000</v>
      </c>
      <c r="H275" s="14">
        <v>84000</v>
      </c>
      <c r="I275" t="s">
        <v>22</v>
      </c>
      <c r="J275" t="s">
        <v>22</v>
      </c>
      <c r="L275" t="s">
        <v>576</v>
      </c>
      <c r="M275" t="s">
        <v>97</v>
      </c>
      <c r="N275">
        <v>2</v>
      </c>
      <c r="O275" t="s">
        <v>359</v>
      </c>
      <c r="P275" t="s">
        <v>21</v>
      </c>
      <c r="Q275" t="s">
        <v>30</v>
      </c>
      <c r="R275" t="str">
        <f>VLOOKUP($O275,'Mapa Oficinas'!$A$7:$C$46,2,FALSE)</f>
        <v>CABA</v>
      </c>
      <c r="S275" t="str">
        <f>VLOOKUP($O275,'Mapa Oficinas'!$A$7:$C$46,3,FALSE)</f>
        <v>Palermo</v>
      </c>
    </row>
    <row r="276" spans="1:19" x14ac:dyDescent="0.2">
      <c r="A276" s="1">
        <v>45728</v>
      </c>
      <c r="B276" t="s">
        <v>2885</v>
      </c>
      <c r="D276" t="s">
        <v>2886</v>
      </c>
      <c r="E276" t="s">
        <v>16</v>
      </c>
      <c r="F276" t="s">
        <v>17</v>
      </c>
      <c r="G276" s="14">
        <v>108000</v>
      </c>
      <c r="H276" s="14">
        <v>108000</v>
      </c>
      <c r="I276" t="s">
        <v>22</v>
      </c>
      <c r="J276" t="s">
        <v>22</v>
      </c>
      <c r="K276" t="s">
        <v>2662</v>
      </c>
      <c r="L276" t="s">
        <v>2663</v>
      </c>
      <c r="M276" t="s">
        <v>19</v>
      </c>
      <c r="N276">
        <v>2</v>
      </c>
      <c r="O276" t="s">
        <v>73</v>
      </c>
      <c r="P276" t="s">
        <v>21</v>
      </c>
      <c r="Q276" t="s">
        <v>30</v>
      </c>
      <c r="R276" t="str">
        <f>VLOOKUP($O276,'Mapa Oficinas'!$A$7:$C$46,2,FALSE)</f>
        <v>CABA</v>
      </c>
      <c r="S276" t="str">
        <f>VLOOKUP($O276,'Mapa Oficinas'!$A$7:$C$46,3,FALSE)</f>
        <v>Recoleta</v>
      </c>
    </row>
    <row r="277" spans="1:19" x14ac:dyDescent="0.2">
      <c r="A277" s="1">
        <v>45728</v>
      </c>
      <c r="B277" t="s">
        <v>7792</v>
      </c>
      <c r="D277" t="s">
        <v>7793</v>
      </c>
      <c r="E277" t="s">
        <v>16</v>
      </c>
      <c r="F277" t="s">
        <v>17</v>
      </c>
      <c r="G277" s="14">
        <v>115000</v>
      </c>
      <c r="H277" s="14">
        <v>110000</v>
      </c>
      <c r="I277" t="s">
        <v>22</v>
      </c>
      <c r="J277" t="s">
        <v>22</v>
      </c>
      <c r="K277" t="s">
        <v>7794</v>
      </c>
      <c r="L277" t="s">
        <v>318</v>
      </c>
      <c r="M277" t="s">
        <v>19</v>
      </c>
      <c r="N277">
        <v>2</v>
      </c>
      <c r="O277" t="s">
        <v>142</v>
      </c>
      <c r="P277" t="s">
        <v>21</v>
      </c>
      <c r="Q277" t="s">
        <v>30</v>
      </c>
      <c r="R277" t="str">
        <f>VLOOKUP($O277,'Mapa Oficinas'!$A$7:$C$46,2,FALSE)</f>
        <v>Zona Norte (GBA)</v>
      </c>
      <c r="S277" t="str">
        <f>VLOOKUP($O277,'Mapa Oficinas'!$A$7:$C$46,3,FALSE)</f>
        <v>Nordelta</v>
      </c>
    </row>
    <row r="278" spans="1:19" x14ac:dyDescent="0.2">
      <c r="A278" s="1">
        <v>45728</v>
      </c>
      <c r="B278" t="s">
        <v>7789</v>
      </c>
      <c r="D278" t="s">
        <v>7790</v>
      </c>
      <c r="E278" t="s">
        <v>16</v>
      </c>
      <c r="F278" t="s">
        <v>17</v>
      </c>
      <c r="G278" s="14">
        <v>290000</v>
      </c>
      <c r="H278" s="14">
        <v>265000</v>
      </c>
      <c r="I278" t="s">
        <v>22</v>
      </c>
      <c r="J278" t="s">
        <v>22</v>
      </c>
      <c r="K278" t="s">
        <v>7791</v>
      </c>
      <c r="L278" t="s">
        <v>4949</v>
      </c>
      <c r="M278" t="s">
        <v>28</v>
      </c>
      <c r="N278">
        <v>2</v>
      </c>
      <c r="O278" t="s">
        <v>103</v>
      </c>
      <c r="P278" t="s">
        <v>21</v>
      </c>
      <c r="Q278" t="s">
        <v>30</v>
      </c>
      <c r="R278" t="str">
        <f>VLOOKUP($O278,'Mapa Oficinas'!$A$7:$C$46,2,FALSE)</f>
        <v>CABA</v>
      </c>
      <c r="S278" t="str">
        <f>VLOOKUP($O278,'Mapa Oficinas'!$A$7:$C$46,3,FALSE)</f>
        <v>Barrio Parque</v>
      </c>
    </row>
    <row r="279" spans="1:19" x14ac:dyDescent="0.2">
      <c r="A279" s="1">
        <v>45729</v>
      </c>
      <c r="B279" t="s">
        <v>7771</v>
      </c>
      <c r="D279" t="s">
        <v>7772</v>
      </c>
      <c r="E279" t="s">
        <v>16</v>
      </c>
      <c r="F279" t="s">
        <v>17</v>
      </c>
      <c r="G279" s="14">
        <v>52000</v>
      </c>
      <c r="H279" s="14">
        <v>49000</v>
      </c>
      <c r="I279" t="s">
        <v>22</v>
      </c>
      <c r="J279" t="s">
        <v>22</v>
      </c>
      <c r="K279" t="s">
        <v>7773</v>
      </c>
      <c r="L279" t="s">
        <v>7774</v>
      </c>
      <c r="M279" t="s">
        <v>72</v>
      </c>
      <c r="N279">
        <v>2</v>
      </c>
      <c r="O279" t="s">
        <v>201</v>
      </c>
      <c r="P279" t="s">
        <v>21</v>
      </c>
      <c r="Q279" t="s">
        <v>30</v>
      </c>
      <c r="R279" t="str">
        <f>VLOOKUP($O279,'Mapa Oficinas'!$A$7:$C$46,2,FALSE)</f>
        <v>CABA</v>
      </c>
      <c r="S279" t="str">
        <f>VLOOKUP($O279,'Mapa Oficinas'!$A$7:$C$46,3,FALSE)</f>
        <v>Recoleta</v>
      </c>
    </row>
    <row r="280" spans="1:19" x14ac:dyDescent="0.2">
      <c r="A280" s="1">
        <v>45729</v>
      </c>
      <c r="B280" t="s">
        <v>7763</v>
      </c>
      <c r="D280" t="s">
        <v>7764</v>
      </c>
      <c r="E280" t="s">
        <v>16</v>
      </c>
      <c r="F280" t="s">
        <v>17</v>
      </c>
      <c r="G280" s="14">
        <v>50000</v>
      </c>
      <c r="H280" s="14">
        <v>49000</v>
      </c>
      <c r="I280" t="s">
        <v>22</v>
      </c>
      <c r="J280" t="s">
        <v>22</v>
      </c>
      <c r="K280" t="s">
        <v>7765</v>
      </c>
      <c r="L280" t="s">
        <v>7766</v>
      </c>
      <c r="M280" t="s">
        <v>72</v>
      </c>
      <c r="N280">
        <v>2</v>
      </c>
      <c r="O280" t="s">
        <v>35</v>
      </c>
      <c r="P280" t="s">
        <v>21</v>
      </c>
      <c r="Q280" t="s">
        <v>30</v>
      </c>
      <c r="R280" t="str">
        <f>VLOOKUP($O280,'Mapa Oficinas'!$A$7:$C$46,2,FALSE)</f>
        <v>Zona Norte (GBA)</v>
      </c>
      <c r="S280" t="str">
        <f>VLOOKUP($O280,'Mapa Oficinas'!$A$7:$C$46,3,FALSE)</f>
        <v>Vicente López</v>
      </c>
    </row>
    <row r="281" spans="1:19" x14ac:dyDescent="0.2">
      <c r="A281" s="1">
        <v>45729</v>
      </c>
      <c r="B281" t="s">
        <v>7769</v>
      </c>
      <c r="D281" t="s">
        <v>7770</v>
      </c>
      <c r="E281" t="s">
        <v>16</v>
      </c>
      <c r="F281" t="s">
        <v>17</v>
      </c>
      <c r="G281" s="14">
        <v>51000</v>
      </c>
      <c r="H281" s="14">
        <v>51000</v>
      </c>
      <c r="I281" t="s">
        <v>22</v>
      </c>
      <c r="J281" t="s">
        <v>22</v>
      </c>
      <c r="L281" t="s">
        <v>1114</v>
      </c>
      <c r="M281" t="s">
        <v>97</v>
      </c>
      <c r="N281">
        <v>2</v>
      </c>
      <c r="O281" t="s">
        <v>359</v>
      </c>
      <c r="P281" t="s">
        <v>21</v>
      </c>
      <c r="Q281" t="s">
        <v>30</v>
      </c>
      <c r="R281" t="str">
        <f>VLOOKUP($O281,'Mapa Oficinas'!$A$7:$C$46,2,FALSE)</f>
        <v>CABA</v>
      </c>
      <c r="S281" t="str">
        <f>VLOOKUP($O281,'Mapa Oficinas'!$A$7:$C$46,3,FALSE)</f>
        <v>Palermo</v>
      </c>
    </row>
    <row r="282" spans="1:19" x14ac:dyDescent="0.2">
      <c r="A282" s="1">
        <v>45729</v>
      </c>
      <c r="B282" t="s">
        <v>7779</v>
      </c>
      <c r="D282" t="s">
        <v>7780</v>
      </c>
      <c r="E282" t="s">
        <v>16</v>
      </c>
      <c r="F282" t="s">
        <v>17</v>
      </c>
      <c r="G282" s="14">
        <v>69000</v>
      </c>
      <c r="H282" s="14">
        <v>69000</v>
      </c>
      <c r="I282" t="s">
        <v>22</v>
      </c>
      <c r="J282" t="s">
        <v>22</v>
      </c>
      <c r="K282" t="s">
        <v>7781</v>
      </c>
      <c r="L282" t="s">
        <v>318</v>
      </c>
      <c r="M282" t="s">
        <v>19</v>
      </c>
      <c r="N282">
        <v>2</v>
      </c>
      <c r="O282" t="s">
        <v>227</v>
      </c>
      <c r="P282" t="s">
        <v>21</v>
      </c>
      <c r="Q282" t="s">
        <v>30</v>
      </c>
      <c r="R282" t="str">
        <f>VLOOKUP($O282,'Mapa Oficinas'!$A$7:$C$46,2,FALSE)</f>
        <v>Zona Oeste (GBA)</v>
      </c>
      <c r="S282" t="str">
        <f>VLOOKUP($O282,'Mapa Oficinas'!$A$7:$C$46,3,FALSE)</f>
        <v>Parque Leloir</v>
      </c>
    </row>
    <row r="283" spans="1:19" x14ac:dyDescent="0.2">
      <c r="A283" s="1">
        <v>45729</v>
      </c>
      <c r="B283" t="s">
        <v>7776</v>
      </c>
      <c r="D283" t="s">
        <v>7777</v>
      </c>
      <c r="E283" t="s">
        <v>16</v>
      </c>
      <c r="F283" t="s">
        <v>17</v>
      </c>
      <c r="G283" s="14">
        <v>85000</v>
      </c>
      <c r="H283" s="14">
        <v>83000</v>
      </c>
      <c r="I283" t="s">
        <v>22</v>
      </c>
      <c r="J283" t="s">
        <v>22</v>
      </c>
      <c r="K283" t="s">
        <v>7778</v>
      </c>
      <c r="L283" t="s">
        <v>398</v>
      </c>
      <c r="M283" t="s">
        <v>19</v>
      </c>
      <c r="N283">
        <v>2</v>
      </c>
      <c r="O283" t="s">
        <v>20</v>
      </c>
      <c r="P283" t="s">
        <v>276</v>
      </c>
      <c r="Q283" t="s">
        <v>30</v>
      </c>
      <c r="R283" t="str">
        <f>VLOOKUP($O283,'Mapa Oficinas'!$A$7:$C$46,2,FALSE)</f>
        <v>CABA</v>
      </c>
      <c r="S283" t="str">
        <f>VLOOKUP($O283,'Mapa Oficinas'!$A$7:$C$46,3,FALSE)</f>
        <v>Palermo</v>
      </c>
    </row>
    <row r="284" spans="1:19" x14ac:dyDescent="0.2">
      <c r="A284" s="1">
        <v>45729</v>
      </c>
      <c r="B284">
        <v>10263</v>
      </c>
      <c r="D284" t="s">
        <v>7775</v>
      </c>
      <c r="E284" t="s">
        <v>16</v>
      </c>
      <c r="F284" t="s">
        <v>17</v>
      </c>
      <c r="G284" s="14">
        <v>0</v>
      </c>
      <c r="H284" s="14">
        <v>150000</v>
      </c>
      <c r="I284" t="s">
        <v>22</v>
      </c>
      <c r="J284" t="s">
        <v>22</v>
      </c>
      <c r="L284" t="s">
        <v>277</v>
      </c>
      <c r="M284" t="s">
        <v>19</v>
      </c>
      <c r="N284">
        <v>1</v>
      </c>
      <c r="O284" t="s">
        <v>103</v>
      </c>
      <c r="P284" t="s">
        <v>146</v>
      </c>
      <c r="Q284" t="s">
        <v>30</v>
      </c>
      <c r="R284" t="str">
        <f>VLOOKUP($O284,'Mapa Oficinas'!$A$7:$C$46,2,FALSE)</f>
        <v>CABA</v>
      </c>
      <c r="S284" t="str">
        <f>VLOOKUP($O284,'Mapa Oficinas'!$A$7:$C$46,3,FALSE)</f>
        <v>Barrio Parque</v>
      </c>
    </row>
    <row r="285" spans="1:19" x14ac:dyDescent="0.2">
      <c r="A285" s="1">
        <v>45729</v>
      </c>
      <c r="B285" t="s">
        <v>7758</v>
      </c>
      <c r="D285" t="s">
        <v>7759</v>
      </c>
      <c r="E285" t="s">
        <v>16</v>
      </c>
      <c r="F285" t="s">
        <v>58</v>
      </c>
      <c r="G285" s="14">
        <v>189000</v>
      </c>
      <c r="H285" s="14">
        <v>167000</v>
      </c>
      <c r="I285" t="s">
        <v>22</v>
      </c>
      <c r="J285" t="s">
        <v>22</v>
      </c>
      <c r="K285" t="s">
        <v>7760</v>
      </c>
      <c r="L285" t="s">
        <v>2002</v>
      </c>
      <c r="M285" t="s">
        <v>19</v>
      </c>
      <c r="N285">
        <v>2</v>
      </c>
      <c r="O285" t="s">
        <v>50</v>
      </c>
      <c r="P285" t="s">
        <v>21</v>
      </c>
      <c r="Q285" t="s">
        <v>30</v>
      </c>
      <c r="R285" t="str">
        <f>VLOOKUP($O285,'Mapa Oficinas'!$A$7:$C$46,2,FALSE)</f>
        <v>CABA</v>
      </c>
      <c r="S285" t="str">
        <f>VLOOKUP($O285,'Mapa Oficinas'!$A$7:$C$46,3,FALSE)</f>
        <v>Villa Urquiza</v>
      </c>
    </row>
    <row r="286" spans="1:19" x14ac:dyDescent="0.2">
      <c r="A286" s="1">
        <v>45729</v>
      </c>
      <c r="B286" t="s">
        <v>7753</v>
      </c>
      <c r="D286" t="s">
        <v>7754</v>
      </c>
      <c r="E286" t="s">
        <v>16</v>
      </c>
      <c r="F286" t="s">
        <v>17</v>
      </c>
      <c r="G286" s="14">
        <v>900</v>
      </c>
      <c r="H286" s="14">
        <v>172000</v>
      </c>
      <c r="I286" t="s">
        <v>22</v>
      </c>
      <c r="J286" t="s">
        <v>22</v>
      </c>
      <c r="K286" t="s">
        <v>7755</v>
      </c>
      <c r="L286" t="s">
        <v>4915</v>
      </c>
      <c r="M286" t="s">
        <v>28</v>
      </c>
      <c r="N286">
        <v>2</v>
      </c>
      <c r="O286" t="s">
        <v>29</v>
      </c>
      <c r="P286" t="s">
        <v>21</v>
      </c>
      <c r="Q286" t="s">
        <v>30</v>
      </c>
      <c r="R286" t="str">
        <f>VLOOKUP($O286,'Mapa Oficinas'!$A$7:$C$46,2,FALSE)</f>
        <v>CABA</v>
      </c>
      <c r="S286" t="str">
        <f>VLOOKUP($O286,'Mapa Oficinas'!$A$7:$C$46,3,FALSE)</f>
        <v>Núñez</v>
      </c>
    </row>
    <row r="287" spans="1:19" x14ac:dyDescent="0.2">
      <c r="A287" s="1">
        <v>45729</v>
      </c>
      <c r="B287" t="s">
        <v>7756</v>
      </c>
      <c r="D287" t="s">
        <v>7757</v>
      </c>
      <c r="E287" t="s">
        <v>16</v>
      </c>
      <c r="F287" t="s">
        <v>38</v>
      </c>
      <c r="G287" s="14">
        <v>230000</v>
      </c>
      <c r="H287" s="14">
        <v>218000</v>
      </c>
      <c r="I287" t="s">
        <v>22</v>
      </c>
      <c r="J287" t="s">
        <v>22</v>
      </c>
      <c r="K287" t="s">
        <v>4089</v>
      </c>
      <c r="L287" t="s">
        <v>1581</v>
      </c>
      <c r="M287" t="s">
        <v>19</v>
      </c>
      <c r="N287">
        <v>2</v>
      </c>
      <c r="O287" t="s">
        <v>87</v>
      </c>
      <c r="P287" t="s">
        <v>276</v>
      </c>
      <c r="Q287" t="s">
        <v>30</v>
      </c>
      <c r="R287" t="str">
        <f>VLOOKUP($O287,'Mapa Oficinas'!$A$7:$C$46,2,FALSE)</f>
        <v>Zona Norte (GBA)</v>
      </c>
      <c r="S287" t="str">
        <f>VLOOKUP($O287,'Mapa Oficinas'!$A$7:$C$46,3,FALSE)</f>
        <v>Tigre</v>
      </c>
    </row>
    <row r="288" spans="1:19" x14ac:dyDescent="0.2">
      <c r="A288" s="1">
        <v>45729</v>
      </c>
      <c r="B288" t="s">
        <v>6120</v>
      </c>
      <c r="D288" t="s">
        <v>6121</v>
      </c>
      <c r="E288" t="s">
        <v>16</v>
      </c>
      <c r="F288" t="s">
        <v>17</v>
      </c>
      <c r="G288" s="14">
        <v>250000</v>
      </c>
      <c r="H288" s="14">
        <v>238000</v>
      </c>
      <c r="I288" t="s">
        <v>22</v>
      </c>
      <c r="J288" t="s">
        <v>22</v>
      </c>
      <c r="K288" t="s">
        <v>6122</v>
      </c>
      <c r="L288" t="s">
        <v>111</v>
      </c>
      <c r="M288" t="s">
        <v>19</v>
      </c>
      <c r="N288">
        <v>2</v>
      </c>
      <c r="O288" t="s">
        <v>142</v>
      </c>
      <c r="P288" t="s">
        <v>21</v>
      </c>
      <c r="Q288" t="s">
        <v>30</v>
      </c>
      <c r="R288" t="str">
        <f>VLOOKUP($O288,'Mapa Oficinas'!$A$7:$C$46,2,FALSE)</f>
        <v>Zona Norte (GBA)</v>
      </c>
      <c r="S288" t="str">
        <f>VLOOKUP($O288,'Mapa Oficinas'!$A$7:$C$46,3,FALSE)</f>
        <v>Nordelta</v>
      </c>
    </row>
    <row r="289" spans="1:19" x14ac:dyDescent="0.2">
      <c r="A289" s="1">
        <v>45730</v>
      </c>
      <c r="B289" t="s">
        <v>7743</v>
      </c>
      <c r="D289" t="s">
        <v>7744</v>
      </c>
      <c r="E289" t="s">
        <v>16</v>
      </c>
      <c r="F289" t="s">
        <v>58</v>
      </c>
      <c r="G289" s="14">
        <v>66900</v>
      </c>
      <c r="H289" s="14">
        <v>60000</v>
      </c>
      <c r="I289" t="s">
        <v>22</v>
      </c>
      <c r="J289" t="s">
        <v>22</v>
      </c>
      <c r="K289" t="s">
        <v>7745</v>
      </c>
      <c r="L289" t="s">
        <v>1004</v>
      </c>
      <c r="M289" t="s">
        <v>19</v>
      </c>
      <c r="N289">
        <v>2</v>
      </c>
      <c r="O289" t="s">
        <v>50</v>
      </c>
      <c r="P289" t="s">
        <v>21</v>
      </c>
      <c r="Q289" t="s">
        <v>30</v>
      </c>
      <c r="R289" t="str">
        <f>VLOOKUP($O289,'Mapa Oficinas'!$A$7:$C$46,2,FALSE)</f>
        <v>CABA</v>
      </c>
      <c r="S289" t="str">
        <f>VLOOKUP($O289,'Mapa Oficinas'!$A$7:$C$46,3,FALSE)</f>
        <v>Villa Urquiza</v>
      </c>
    </row>
    <row r="290" spans="1:19" x14ac:dyDescent="0.2">
      <c r="A290" s="1">
        <v>45730</v>
      </c>
      <c r="B290" t="s">
        <v>7734</v>
      </c>
      <c r="D290" t="s">
        <v>1476</v>
      </c>
      <c r="E290" t="s">
        <v>16</v>
      </c>
      <c r="F290" t="s">
        <v>134</v>
      </c>
      <c r="G290" s="14">
        <v>73548</v>
      </c>
      <c r="H290" s="14">
        <v>73548</v>
      </c>
      <c r="I290" t="s">
        <v>22</v>
      </c>
      <c r="J290" t="s">
        <v>22</v>
      </c>
      <c r="K290" t="s">
        <v>1477</v>
      </c>
      <c r="L290" t="s">
        <v>136</v>
      </c>
      <c r="M290" t="s">
        <v>19</v>
      </c>
      <c r="N290">
        <v>2</v>
      </c>
      <c r="O290" t="s">
        <v>130</v>
      </c>
      <c r="P290" t="s">
        <v>21</v>
      </c>
      <c r="Q290" t="s">
        <v>30</v>
      </c>
      <c r="R290" t="str">
        <f>VLOOKUP($O290,'Mapa Oficinas'!$A$7:$C$46,2,FALSE)</f>
        <v>Interior - Río Negro</v>
      </c>
      <c r="S290" t="str">
        <f>VLOOKUP($O290,'Mapa Oficinas'!$A$7:$C$46,3,FALSE)</f>
        <v>Bariloche</v>
      </c>
    </row>
    <row r="291" spans="1:19" x14ac:dyDescent="0.2">
      <c r="A291" s="1">
        <v>45730</v>
      </c>
      <c r="B291" t="s">
        <v>7735</v>
      </c>
      <c r="D291" t="s">
        <v>1476</v>
      </c>
      <c r="E291" t="s">
        <v>16</v>
      </c>
      <c r="F291" t="s">
        <v>134</v>
      </c>
      <c r="G291" s="14">
        <v>78505</v>
      </c>
      <c r="H291" s="14">
        <v>76272</v>
      </c>
      <c r="I291" t="s">
        <v>22</v>
      </c>
      <c r="J291" t="s">
        <v>22</v>
      </c>
      <c r="K291" t="s">
        <v>7736</v>
      </c>
      <c r="L291" t="s">
        <v>136</v>
      </c>
      <c r="M291" t="s">
        <v>19</v>
      </c>
      <c r="N291">
        <v>2</v>
      </c>
      <c r="O291" t="s">
        <v>130</v>
      </c>
      <c r="P291" t="s">
        <v>41</v>
      </c>
      <c r="Q291" t="s">
        <v>30</v>
      </c>
      <c r="R291" t="str">
        <f>VLOOKUP($O291,'Mapa Oficinas'!$A$7:$C$46,2,FALSE)</f>
        <v>Interior - Río Negro</v>
      </c>
      <c r="S291" t="str">
        <f>VLOOKUP($O291,'Mapa Oficinas'!$A$7:$C$46,3,FALSE)</f>
        <v>Bariloche</v>
      </c>
    </row>
    <row r="292" spans="1:19" x14ac:dyDescent="0.2">
      <c r="A292" s="1">
        <v>45730</v>
      </c>
      <c r="B292" t="s">
        <v>7737</v>
      </c>
      <c r="D292" t="s">
        <v>7738</v>
      </c>
      <c r="E292" t="s">
        <v>16</v>
      </c>
      <c r="F292" t="s">
        <v>17</v>
      </c>
      <c r="G292" s="14">
        <v>90000</v>
      </c>
      <c r="H292" s="14">
        <v>90000</v>
      </c>
      <c r="I292" t="s">
        <v>22</v>
      </c>
      <c r="J292" t="s">
        <v>22</v>
      </c>
      <c r="K292" t="s">
        <v>7739</v>
      </c>
      <c r="L292" t="s">
        <v>189</v>
      </c>
      <c r="M292" t="s">
        <v>19</v>
      </c>
      <c r="N292">
        <v>2</v>
      </c>
      <c r="O292" t="s">
        <v>151</v>
      </c>
      <c r="P292" t="s">
        <v>41</v>
      </c>
      <c r="Q292" t="s">
        <v>30</v>
      </c>
      <c r="R292" t="str">
        <f>VLOOKUP($O292,'Mapa Oficinas'!$A$7:$C$46,2,FALSE)</f>
        <v>Interior - Neuquén</v>
      </c>
      <c r="S292" t="str">
        <f>VLOOKUP($O292,'Mapa Oficinas'!$A$7:$C$46,3,FALSE)</f>
        <v>Capital Neuquén</v>
      </c>
    </row>
    <row r="293" spans="1:19" x14ac:dyDescent="0.2">
      <c r="A293" s="1">
        <v>45730</v>
      </c>
      <c r="B293" t="s">
        <v>7750</v>
      </c>
      <c r="D293" t="s">
        <v>7751</v>
      </c>
      <c r="E293" t="s">
        <v>16</v>
      </c>
      <c r="F293" t="s">
        <v>47</v>
      </c>
      <c r="G293" s="14">
        <v>110000</v>
      </c>
      <c r="H293" s="14">
        <v>107000</v>
      </c>
      <c r="I293" t="s">
        <v>22</v>
      </c>
      <c r="J293" t="s">
        <v>22</v>
      </c>
      <c r="K293" t="s">
        <v>7752</v>
      </c>
      <c r="L293" t="s">
        <v>888</v>
      </c>
      <c r="M293" t="s">
        <v>19</v>
      </c>
      <c r="N293">
        <v>2</v>
      </c>
      <c r="O293" t="s">
        <v>50</v>
      </c>
      <c r="P293" t="s">
        <v>41</v>
      </c>
      <c r="Q293" t="s">
        <v>30</v>
      </c>
      <c r="R293" t="str">
        <f>VLOOKUP($O293,'Mapa Oficinas'!$A$7:$C$46,2,FALSE)</f>
        <v>CABA</v>
      </c>
      <c r="S293" t="str">
        <f>VLOOKUP($O293,'Mapa Oficinas'!$A$7:$C$46,3,FALSE)</f>
        <v>Villa Urquiza</v>
      </c>
    </row>
    <row r="294" spans="1:19" x14ac:dyDescent="0.2">
      <c r="A294" s="1">
        <v>45730</v>
      </c>
      <c r="B294" t="s">
        <v>7728</v>
      </c>
      <c r="D294" t="s">
        <v>7729</v>
      </c>
      <c r="E294" t="s">
        <v>16</v>
      </c>
      <c r="F294" t="s">
        <v>17</v>
      </c>
      <c r="G294" s="14">
        <v>130000</v>
      </c>
      <c r="H294" s="14">
        <v>125000</v>
      </c>
      <c r="I294" t="s">
        <v>22</v>
      </c>
      <c r="J294" t="s">
        <v>22</v>
      </c>
      <c r="K294" t="s">
        <v>7730</v>
      </c>
      <c r="L294" t="s">
        <v>191</v>
      </c>
      <c r="M294" t="s">
        <v>19</v>
      </c>
      <c r="N294">
        <v>2</v>
      </c>
      <c r="O294" t="s">
        <v>103</v>
      </c>
      <c r="P294" t="s">
        <v>21</v>
      </c>
      <c r="Q294" t="s">
        <v>30</v>
      </c>
      <c r="R294" t="str">
        <f>VLOOKUP($O294,'Mapa Oficinas'!$A$7:$C$46,2,FALSE)</f>
        <v>CABA</v>
      </c>
      <c r="S294" t="str">
        <f>VLOOKUP($O294,'Mapa Oficinas'!$A$7:$C$46,3,FALSE)</f>
        <v>Barrio Parque</v>
      </c>
    </row>
    <row r="295" spans="1:19" x14ac:dyDescent="0.2">
      <c r="A295" s="1">
        <v>45730</v>
      </c>
      <c r="B295" t="s">
        <v>7746</v>
      </c>
      <c r="D295" t="s">
        <v>7747</v>
      </c>
      <c r="E295" t="s">
        <v>16</v>
      </c>
      <c r="F295" t="s">
        <v>17</v>
      </c>
      <c r="G295" s="14">
        <v>173000</v>
      </c>
      <c r="H295" s="14">
        <v>170000</v>
      </c>
      <c r="I295" t="s">
        <v>22</v>
      </c>
      <c r="J295" t="s">
        <v>22</v>
      </c>
      <c r="K295" t="s">
        <v>7748</v>
      </c>
      <c r="L295" t="s">
        <v>7749</v>
      </c>
      <c r="M295" t="s">
        <v>28</v>
      </c>
      <c r="N295">
        <v>2</v>
      </c>
      <c r="O295" t="s">
        <v>156</v>
      </c>
      <c r="P295" t="s">
        <v>21</v>
      </c>
      <c r="Q295" t="s">
        <v>30</v>
      </c>
      <c r="R295" t="str">
        <f>VLOOKUP($O295,'Mapa Oficinas'!$A$7:$C$46,2,FALSE)</f>
        <v>Zona Norte (GBA)</v>
      </c>
      <c r="S295" t="str">
        <f>VLOOKUP($O295,'Mapa Oficinas'!$A$7:$C$46,3,FALSE)</f>
        <v>Pilar</v>
      </c>
    </row>
    <row r="296" spans="1:19" x14ac:dyDescent="0.2">
      <c r="A296" s="1">
        <v>45730</v>
      </c>
      <c r="B296" t="s">
        <v>7731</v>
      </c>
      <c r="D296" t="s">
        <v>7732</v>
      </c>
      <c r="E296" t="s">
        <v>16</v>
      </c>
      <c r="F296" t="s">
        <v>58</v>
      </c>
      <c r="G296" s="14">
        <v>255000</v>
      </c>
      <c r="H296" s="14">
        <v>245000</v>
      </c>
      <c r="I296" t="s">
        <v>22</v>
      </c>
      <c r="J296" t="s">
        <v>22</v>
      </c>
      <c r="K296" t="s">
        <v>7733</v>
      </c>
      <c r="L296" t="s">
        <v>217</v>
      </c>
      <c r="M296" t="s">
        <v>72</v>
      </c>
      <c r="N296">
        <v>2</v>
      </c>
      <c r="O296" t="s">
        <v>103</v>
      </c>
      <c r="P296" t="s">
        <v>21</v>
      </c>
      <c r="Q296" t="s">
        <v>30</v>
      </c>
      <c r="R296" t="str">
        <f>VLOOKUP($O296,'Mapa Oficinas'!$A$7:$C$46,2,FALSE)</f>
        <v>CABA</v>
      </c>
      <c r="S296" t="str">
        <f>VLOOKUP($O296,'Mapa Oficinas'!$A$7:$C$46,3,FALSE)</f>
        <v>Barrio Parque</v>
      </c>
    </row>
    <row r="297" spans="1:19" x14ac:dyDescent="0.2">
      <c r="A297" s="1">
        <v>45733</v>
      </c>
      <c r="B297" t="s">
        <v>7723</v>
      </c>
      <c r="D297" t="s">
        <v>7724</v>
      </c>
      <c r="E297" t="s">
        <v>16</v>
      </c>
      <c r="F297" t="s">
        <v>82</v>
      </c>
      <c r="G297" s="14">
        <v>38000</v>
      </c>
      <c r="H297" s="14">
        <v>36500</v>
      </c>
      <c r="I297" t="s">
        <v>22</v>
      </c>
      <c r="J297" t="s">
        <v>22</v>
      </c>
      <c r="K297" t="s">
        <v>7209</v>
      </c>
      <c r="L297" t="s">
        <v>915</v>
      </c>
      <c r="M297" t="s">
        <v>97</v>
      </c>
      <c r="N297">
        <v>2</v>
      </c>
      <c r="O297" t="s">
        <v>98</v>
      </c>
      <c r="P297" t="s">
        <v>41</v>
      </c>
      <c r="Q297" t="s">
        <v>30</v>
      </c>
      <c r="R297" t="str">
        <f>VLOOKUP($O297,'Mapa Oficinas'!$A$7:$C$46,2,FALSE)</f>
        <v>Interior - Neuquén</v>
      </c>
      <c r="S297" t="str">
        <f>VLOOKUP($O297,'Mapa Oficinas'!$A$7:$C$46,3,FALSE)</f>
        <v>Villa La Angostura</v>
      </c>
    </row>
    <row r="298" spans="1:19" x14ac:dyDescent="0.2">
      <c r="A298" s="1">
        <v>45733</v>
      </c>
      <c r="B298" t="s">
        <v>7715</v>
      </c>
      <c r="D298" t="s">
        <v>7716</v>
      </c>
      <c r="E298" t="s">
        <v>16</v>
      </c>
      <c r="F298" t="s">
        <v>17</v>
      </c>
      <c r="G298" s="14">
        <v>78000</v>
      </c>
      <c r="H298" s="14">
        <v>78000</v>
      </c>
      <c r="I298" t="s">
        <v>22</v>
      </c>
      <c r="J298" t="s">
        <v>22</v>
      </c>
      <c r="L298" t="s">
        <v>3697</v>
      </c>
      <c r="M298" t="s">
        <v>28</v>
      </c>
      <c r="N298">
        <v>2</v>
      </c>
      <c r="O298" t="s">
        <v>142</v>
      </c>
      <c r="P298" t="s">
        <v>276</v>
      </c>
      <c r="Q298" t="s">
        <v>30</v>
      </c>
      <c r="R298" t="str">
        <f>VLOOKUP($O298,'Mapa Oficinas'!$A$7:$C$46,2,FALSE)</f>
        <v>Zona Norte (GBA)</v>
      </c>
      <c r="S298" t="str">
        <f>VLOOKUP($O298,'Mapa Oficinas'!$A$7:$C$46,3,FALSE)</f>
        <v>Nordelta</v>
      </c>
    </row>
    <row r="299" spans="1:19" x14ac:dyDescent="0.2">
      <c r="A299" s="1">
        <v>45733</v>
      </c>
      <c r="B299" t="s">
        <v>7722</v>
      </c>
      <c r="D299" t="s">
        <v>7722</v>
      </c>
      <c r="E299" t="s">
        <v>16</v>
      </c>
      <c r="F299" t="s">
        <v>17</v>
      </c>
      <c r="G299" s="14">
        <v>94000</v>
      </c>
      <c r="H299" s="14">
        <v>94000</v>
      </c>
      <c r="I299" t="s">
        <v>22</v>
      </c>
      <c r="J299" t="s">
        <v>22</v>
      </c>
      <c r="K299" t="s">
        <v>7722</v>
      </c>
      <c r="L299" t="s">
        <v>523</v>
      </c>
      <c r="M299" t="s">
        <v>19</v>
      </c>
      <c r="N299">
        <v>2</v>
      </c>
      <c r="O299" t="s">
        <v>50</v>
      </c>
      <c r="P299" t="s">
        <v>41</v>
      </c>
      <c r="Q299" t="s">
        <v>30</v>
      </c>
      <c r="R299" t="str">
        <f>VLOOKUP($O299,'Mapa Oficinas'!$A$7:$C$46,2,FALSE)</f>
        <v>CABA</v>
      </c>
      <c r="S299" t="str">
        <f>VLOOKUP($O299,'Mapa Oficinas'!$A$7:$C$46,3,FALSE)</f>
        <v>Villa Urquiza</v>
      </c>
    </row>
    <row r="300" spans="1:19" x14ac:dyDescent="0.2">
      <c r="A300" s="1">
        <v>45733</v>
      </c>
      <c r="B300" t="s">
        <v>7711</v>
      </c>
      <c r="D300" t="s">
        <v>7712</v>
      </c>
      <c r="E300" t="s">
        <v>16</v>
      </c>
      <c r="F300" t="s">
        <v>17</v>
      </c>
      <c r="G300" s="14">
        <v>167250</v>
      </c>
      <c r="H300" s="14">
        <v>117500</v>
      </c>
      <c r="I300" t="s">
        <v>22</v>
      </c>
      <c r="J300" t="s">
        <v>22</v>
      </c>
      <c r="K300" t="s">
        <v>7713</v>
      </c>
      <c r="L300" t="s">
        <v>7714</v>
      </c>
      <c r="M300" t="s">
        <v>19</v>
      </c>
      <c r="N300">
        <v>2</v>
      </c>
      <c r="O300" t="s">
        <v>142</v>
      </c>
      <c r="P300" t="s">
        <v>41</v>
      </c>
      <c r="Q300" t="s">
        <v>30</v>
      </c>
      <c r="R300" t="str">
        <f>VLOOKUP($O300,'Mapa Oficinas'!$A$7:$C$46,2,FALSE)</f>
        <v>Zona Norte (GBA)</v>
      </c>
      <c r="S300" t="str">
        <f>VLOOKUP($O300,'Mapa Oficinas'!$A$7:$C$46,3,FALSE)</f>
        <v>Nordelta</v>
      </c>
    </row>
    <row r="301" spans="1:19" x14ac:dyDescent="0.2">
      <c r="A301" s="1">
        <v>45733</v>
      </c>
      <c r="B301" t="s">
        <v>7720</v>
      </c>
      <c r="D301" t="s">
        <v>7721</v>
      </c>
      <c r="E301" t="s">
        <v>16</v>
      </c>
      <c r="F301" t="s">
        <v>17</v>
      </c>
      <c r="G301" s="14">
        <v>266000</v>
      </c>
      <c r="H301" s="14">
        <v>266000</v>
      </c>
      <c r="I301" t="s">
        <v>22</v>
      </c>
      <c r="J301" t="s">
        <v>22</v>
      </c>
      <c r="L301" t="s">
        <v>111</v>
      </c>
      <c r="M301" t="s">
        <v>19</v>
      </c>
      <c r="N301">
        <v>2</v>
      </c>
      <c r="O301" t="s">
        <v>359</v>
      </c>
      <c r="P301" t="s">
        <v>21</v>
      </c>
      <c r="Q301" t="s">
        <v>30</v>
      </c>
      <c r="R301" t="str">
        <f>VLOOKUP($O301,'Mapa Oficinas'!$A$7:$C$46,2,FALSE)</f>
        <v>CABA</v>
      </c>
      <c r="S301" t="str">
        <f>VLOOKUP($O301,'Mapa Oficinas'!$A$7:$C$46,3,FALSE)</f>
        <v>Palermo</v>
      </c>
    </row>
    <row r="302" spans="1:19" x14ac:dyDescent="0.2">
      <c r="A302" s="1">
        <v>45734</v>
      </c>
      <c r="B302" t="s">
        <v>7702</v>
      </c>
      <c r="D302" t="s">
        <v>7703</v>
      </c>
      <c r="E302" t="s">
        <v>16</v>
      </c>
      <c r="F302" t="s">
        <v>58</v>
      </c>
      <c r="G302" s="14">
        <v>39500</v>
      </c>
      <c r="H302" s="14">
        <v>39000</v>
      </c>
      <c r="I302" t="s">
        <v>22</v>
      </c>
      <c r="J302" t="s">
        <v>22</v>
      </c>
      <c r="K302" t="s">
        <v>7704</v>
      </c>
      <c r="L302" t="s">
        <v>221</v>
      </c>
      <c r="M302" t="s">
        <v>19</v>
      </c>
      <c r="N302">
        <v>2</v>
      </c>
      <c r="O302" t="s">
        <v>198</v>
      </c>
      <c r="P302" t="s">
        <v>276</v>
      </c>
      <c r="Q302" t="s">
        <v>30</v>
      </c>
      <c r="R302" t="str">
        <f>VLOOKUP($O302,'Mapa Oficinas'!$A$7:$C$46,2,FALSE)</f>
        <v>CABA</v>
      </c>
      <c r="S302" t="str">
        <f>VLOOKUP($O302,'Mapa Oficinas'!$A$7:$C$46,3,FALSE)</f>
        <v>Caballito</v>
      </c>
    </row>
    <row r="303" spans="1:19" x14ac:dyDescent="0.2">
      <c r="A303" s="1">
        <v>45734</v>
      </c>
      <c r="B303" t="s">
        <v>7698</v>
      </c>
      <c r="D303" t="s">
        <v>7698</v>
      </c>
      <c r="E303" t="s">
        <v>16</v>
      </c>
      <c r="F303" t="s">
        <v>17</v>
      </c>
      <c r="G303" s="14">
        <v>65000</v>
      </c>
      <c r="H303" s="14">
        <v>65000</v>
      </c>
      <c r="I303" t="s">
        <v>22</v>
      </c>
      <c r="J303" t="s">
        <v>22</v>
      </c>
      <c r="K303" t="s">
        <v>7698</v>
      </c>
      <c r="L303" t="s">
        <v>1177</v>
      </c>
      <c r="M303" t="s">
        <v>19</v>
      </c>
      <c r="N303">
        <v>2</v>
      </c>
      <c r="O303" t="s">
        <v>50</v>
      </c>
      <c r="P303" t="s">
        <v>21</v>
      </c>
      <c r="Q303" t="s">
        <v>30</v>
      </c>
      <c r="R303" t="str">
        <f>VLOOKUP($O303,'Mapa Oficinas'!$A$7:$C$46,2,FALSE)</f>
        <v>CABA</v>
      </c>
      <c r="S303" t="str">
        <f>VLOOKUP($O303,'Mapa Oficinas'!$A$7:$C$46,3,FALSE)</f>
        <v>Villa Urquiza</v>
      </c>
    </row>
    <row r="304" spans="1:19" x14ac:dyDescent="0.2">
      <c r="A304" s="1">
        <v>45734</v>
      </c>
      <c r="B304" t="s">
        <v>7696</v>
      </c>
      <c r="D304" t="s">
        <v>7697</v>
      </c>
      <c r="E304" t="s">
        <v>16</v>
      </c>
      <c r="F304" t="s">
        <v>17</v>
      </c>
      <c r="G304" s="14">
        <v>75000</v>
      </c>
      <c r="H304" s="14">
        <v>75000</v>
      </c>
      <c r="I304" t="s">
        <v>22</v>
      </c>
      <c r="J304" t="s">
        <v>22</v>
      </c>
      <c r="L304" t="s">
        <v>1765</v>
      </c>
      <c r="M304" t="s">
        <v>28</v>
      </c>
      <c r="N304">
        <v>2</v>
      </c>
      <c r="O304" t="s">
        <v>142</v>
      </c>
      <c r="P304" t="s">
        <v>41</v>
      </c>
      <c r="Q304" t="s">
        <v>30</v>
      </c>
      <c r="R304" t="str">
        <f>VLOOKUP($O304,'Mapa Oficinas'!$A$7:$C$46,2,FALSE)</f>
        <v>Zona Norte (GBA)</v>
      </c>
      <c r="S304" t="str">
        <f>VLOOKUP($O304,'Mapa Oficinas'!$A$7:$C$46,3,FALSE)</f>
        <v>Nordelta</v>
      </c>
    </row>
    <row r="305" spans="1:19" x14ac:dyDescent="0.2">
      <c r="A305" s="1">
        <v>45734</v>
      </c>
      <c r="B305" t="s">
        <v>7708</v>
      </c>
      <c r="D305" t="s">
        <v>7709</v>
      </c>
      <c r="E305" t="s">
        <v>16</v>
      </c>
      <c r="F305" t="s">
        <v>47</v>
      </c>
      <c r="G305" s="14">
        <v>85000</v>
      </c>
      <c r="H305" s="14">
        <v>85000</v>
      </c>
      <c r="I305" t="s">
        <v>22</v>
      </c>
      <c r="J305" t="s">
        <v>22</v>
      </c>
      <c r="K305" t="s">
        <v>7710</v>
      </c>
      <c r="L305" t="s">
        <v>226</v>
      </c>
      <c r="M305" t="s">
        <v>19</v>
      </c>
      <c r="N305">
        <v>1</v>
      </c>
      <c r="O305" t="s">
        <v>73</v>
      </c>
      <c r="P305" t="s">
        <v>146</v>
      </c>
      <c r="Q305" t="s">
        <v>30</v>
      </c>
      <c r="R305" t="str">
        <f>VLOOKUP($O305,'Mapa Oficinas'!$A$7:$C$46,2,FALSE)</f>
        <v>CABA</v>
      </c>
      <c r="S305" t="str">
        <f>VLOOKUP($O305,'Mapa Oficinas'!$A$7:$C$46,3,FALSE)</f>
        <v>Recoleta</v>
      </c>
    </row>
    <row r="306" spans="1:19" x14ac:dyDescent="0.2">
      <c r="A306" s="1">
        <v>45735</v>
      </c>
      <c r="B306" t="s">
        <v>7690</v>
      </c>
      <c r="D306" t="s">
        <v>7691</v>
      </c>
      <c r="E306" t="s">
        <v>16</v>
      </c>
      <c r="F306" t="s">
        <v>47</v>
      </c>
      <c r="G306" s="14">
        <v>45000</v>
      </c>
      <c r="H306" s="14">
        <v>42000</v>
      </c>
      <c r="I306" t="s">
        <v>22</v>
      </c>
      <c r="J306" t="s">
        <v>22</v>
      </c>
      <c r="K306" t="s">
        <v>7692</v>
      </c>
      <c r="L306" t="s">
        <v>657</v>
      </c>
      <c r="M306" t="s">
        <v>72</v>
      </c>
      <c r="N306">
        <v>2</v>
      </c>
      <c r="O306" t="s">
        <v>50</v>
      </c>
      <c r="P306" t="s">
        <v>41</v>
      </c>
      <c r="Q306" t="s">
        <v>30</v>
      </c>
      <c r="R306" t="str">
        <f>VLOOKUP($O306,'Mapa Oficinas'!$A$7:$C$46,2,FALSE)</f>
        <v>CABA</v>
      </c>
      <c r="S306" t="str">
        <f>VLOOKUP($O306,'Mapa Oficinas'!$A$7:$C$46,3,FALSE)</f>
        <v>Villa Urquiza</v>
      </c>
    </row>
    <row r="307" spans="1:19" x14ac:dyDescent="0.2">
      <c r="A307" s="1">
        <v>45735</v>
      </c>
      <c r="B307" t="s">
        <v>7688</v>
      </c>
      <c r="D307" t="s">
        <v>7689</v>
      </c>
      <c r="E307" t="s">
        <v>16</v>
      </c>
      <c r="F307" t="s">
        <v>17</v>
      </c>
      <c r="G307" s="14">
        <v>85000</v>
      </c>
      <c r="H307" s="14">
        <v>80000</v>
      </c>
      <c r="I307" t="s">
        <v>22</v>
      </c>
      <c r="J307" t="s">
        <v>22</v>
      </c>
      <c r="K307" t="s">
        <v>2938</v>
      </c>
      <c r="L307" t="s">
        <v>2939</v>
      </c>
      <c r="M307" t="s">
        <v>19</v>
      </c>
      <c r="N307">
        <v>2</v>
      </c>
      <c r="O307" t="s">
        <v>50</v>
      </c>
      <c r="P307" t="s">
        <v>41</v>
      </c>
      <c r="Q307" t="s">
        <v>30</v>
      </c>
      <c r="R307" t="str">
        <f>VLOOKUP($O307,'Mapa Oficinas'!$A$7:$C$46,2,FALSE)</f>
        <v>CABA</v>
      </c>
      <c r="S307" t="str">
        <f>VLOOKUP($O307,'Mapa Oficinas'!$A$7:$C$46,3,FALSE)</f>
        <v>Villa Urquiza</v>
      </c>
    </row>
    <row r="308" spans="1:19" x14ac:dyDescent="0.2">
      <c r="A308" s="1">
        <v>45735</v>
      </c>
      <c r="B308" t="s">
        <v>7685</v>
      </c>
      <c r="D308" t="s">
        <v>7686</v>
      </c>
      <c r="E308" t="s">
        <v>16</v>
      </c>
      <c r="F308" t="s">
        <v>17</v>
      </c>
      <c r="G308" s="14">
        <v>195000</v>
      </c>
      <c r="H308" s="14">
        <v>192000</v>
      </c>
      <c r="I308" t="s">
        <v>22</v>
      </c>
      <c r="J308" t="s">
        <v>22</v>
      </c>
      <c r="K308" t="s">
        <v>7687</v>
      </c>
      <c r="L308" t="s">
        <v>1633</v>
      </c>
      <c r="M308" t="s">
        <v>19</v>
      </c>
      <c r="N308">
        <v>2</v>
      </c>
      <c r="O308" t="s">
        <v>206</v>
      </c>
      <c r="P308" t="s">
        <v>276</v>
      </c>
      <c r="Q308" t="s">
        <v>30</v>
      </c>
      <c r="R308" t="str">
        <f>VLOOKUP($O308,'Mapa Oficinas'!$A$7:$C$46,2,FALSE)</f>
        <v>CABA</v>
      </c>
      <c r="S308" t="str">
        <f>VLOOKUP($O308,'Mapa Oficinas'!$A$7:$C$46,3,FALSE)</f>
        <v>Belgrano</v>
      </c>
    </row>
    <row r="309" spans="1:19" x14ac:dyDescent="0.2">
      <c r="A309" s="1">
        <v>45736</v>
      </c>
      <c r="B309" t="s">
        <v>7658</v>
      </c>
      <c r="D309" t="s">
        <v>7659</v>
      </c>
      <c r="E309" t="s">
        <v>16</v>
      </c>
      <c r="F309" t="s">
        <v>134</v>
      </c>
      <c r="G309" s="14">
        <v>69500</v>
      </c>
      <c r="H309" s="14">
        <v>58000</v>
      </c>
      <c r="I309" t="s">
        <v>22</v>
      </c>
      <c r="J309" t="s">
        <v>22</v>
      </c>
      <c r="K309" t="s">
        <v>7660</v>
      </c>
      <c r="L309" t="s">
        <v>308</v>
      </c>
      <c r="M309" t="s">
        <v>19</v>
      </c>
      <c r="N309">
        <v>2</v>
      </c>
      <c r="O309" t="s">
        <v>171</v>
      </c>
      <c r="P309" t="s">
        <v>276</v>
      </c>
      <c r="Q309" t="s">
        <v>30</v>
      </c>
      <c r="R309" t="str">
        <f>VLOOKUP($O309,'Mapa Oficinas'!$A$7:$C$46,2,FALSE)</f>
        <v>Zona Sur (GBA)</v>
      </c>
      <c r="S309" t="str">
        <f>VLOOKUP($O309,'Mapa Oficinas'!$A$7:$C$46,3,FALSE)</f>
        <v>La Plata</v>
      </c>
    </row>
    <row r="310" spans="1:19" x14ac:dyDescent="0.2">
      <c r="A310" s="1">
        <v>45736</v>
      </c>
      <c r="B310" t="s">
        <v>7677</v>
      </c>
      <c r="D310" t="s">
        <v>7678</v>
      </c>
      <c r="E310" t="s">
        <v>16</v>
      </c>
      <c r="F310" t="s">
        <v>17</v>
      </c>
      <c r="G310" s="14">
        <v>81000</v>
      </c>
      <c r="H310" s="14">
        <v>79000</v>
      </c>
      <c r="I310" t="s">
        <v>22</v>
      </c>
      <c r="J310" t="s">
        <v>22</v>
      </c>
      <c r="K310" t="s">
        <v>7679</v>
      </c>
      <c r="L310" t="s">
        <v>569</v>
      </c>
      <c r="M310" t="s">
        <v>19</v>
      </c>
      <c r="N310">
        <v>2</v>
      </c>
      <c r="O310" t="s">
        <v>20</v>
      </c>
      <c r="P310" t="s">
        <v>276</v>
      </c>
      <c r="Q310" t="s">
        <v>30</v>
      </c>
      <c r="R310" t="str">
        <f>VLOOKUP($O310,'Mapa Oficinas'!$A$7:$C$46,2,FALSE)</f>
        <v>CABA</v>
      </c>
      <c r="S310" t="str">
        <f>VLOOKUP($O310,'Mapa Oficinas'!$A$7:$C$46,3,FALSE)</f>
        <v>Palermo</v>
      </c>
    </row>
    <row r="311" spans="1:19" x14ac:dyDescent="0.2">
      <c r="A311" s="1">
        <v>45736</v>
      </c>
      <c r="D311" t="s">
        <v>5684</v>
      </c>
      <c r="E311" t="s">
        <v>16</v>
      </c>
      <c r="F311" t="s">
        <v>896</v>
      </c>
      <c r="G311" s="14">
        <v>99000</v>
      </c>
      <c r="H311" s="14">
        <v>99000</v>
      </c>
      <c r="I311" t="s">
        <v>22</v>
      </c>
      <c r="J311" t="s">
        <v>22</v>
      </c>
      <c r="K311" t="s">
        <v>5685</v>
      </c>
      <c r="L311" t="s">
        <v>1931</v>
      </c>
      <c r="M311" t="s">
        <v>19</v>
      </c>
      <c r="N311">
        <v>2</v>
      </c>
      <c r="O311" t="s">
        <v>98</v>
      </c>
      <c r="P311" t="s">
        <v>21</v>
      </c>
      <c r="Q311" t="s">
        <v>30</v>
      </c>
      <c r="R311" t="str">
        <f>VLOOKUP($O311,'Mapa Oficinas'!$A$7:$C$46,2,FALSE)</f>
        <v>Interior - Neuquén</v>
      </c>
      <c r="S311" t="str">
        <f>VLOOKUP($O311,'Mapa Oficinas'!$A$7:$C$46,3,FALSE)</f>
        <v>Villa La Angostura</v>
      </c>
    </row>
    <row r="312" spans="1:19" x14ac:dyDescent="0.2">
      <c r="A312" s="1">
        <v>45736</v>
      </c>
      <c r="B312" t="s">
        <v>7682</v>
      </c>
      <c r="D312" t="s">
        <v>7683</v>
      </c>
      <c r="E312" t="s">
        <v>16</v>
      </c>
      <c r="F312" t="s">
        <v>134</v>
      </c>
      <c r="G312" s="14">
        <v>109000</v>
      </c>
      <c r="H312" s="14">
        <v>104000</v>
      </c>
      <c r="I312" t="s">
        <v>22</v>
      </c>
      <c r="J312" t="s">
        <v>22</v>
      </c>
      <c r="K312" t="s">
        <v>7684</v>
      </c>
      <c r="L312" t="s">
        <v>318</v>
      </c>
      <c r="M312" t="s">
        <v>19</v>
      </c>
      <c r="N312">
        <v>2</v>
      </c>
      <c r="O312" t="s">
        <v>116</v>
      </c>
      <c r="P312" t="s">
        <v>276</v>
      </c>
      <c r="Q312" t="s">
        <v>30</v>
      </c>
      <c r="R312" t="str">
        <f>VLOOKUP($O312,'Mapa Oficinas'!$A$7:$C$46,2,FALSE)</f>
        <v>CABA</v>
      </c>
      <c r="S312" t="str">
        <f>VLOOKUP($O312,'Mapa Oficinas'!$A$7:$C$46,3,FALSE)</f>
        <v>Puerto Madero</v>
      </c>
    </row>
    <row r="313" spans="1:19" x14ac:dyDescent="0.2">
      <c r="A313" s="1">
        <v>45736</v>
      </c>
      <c r="B313" t="s">
        <v>7665</v>
      </c>
      <c r="D313" t="s">
        <v>7666</v>
      </c>
      <c r="E313" t="s">
        <v>16</v>
      </c>
      <c r="F313" t="s">
        <v>58</v>
      </c>
      <c r="G313" s="14">
        <v>175000</v>
      </c>
      <c r="H313" s="14">
        <v>155000</v>
      </c>
      <c r="I313" t="s">
        <v>22</v>
      </c>
      <c r="J313" t="s">
        <v>22</v>
      </c>
      <c r="K313" t="s">
        <v>7667</v>
      </c>
      <c r="L313" t="s">
        <v>1608</v>
      </c>
      <c r="M313" t="s">
        <v>28</v>
      </c>
      <c r="N313">
        <v>2</v>
      </c>
      <c r="O313" t="s">
        <v>50</v>
      </c>
      <c r="P313" t="s">
        <v>21</v>
      </c>
      <c r="Q313" t="s">
        <v>30</v>
      </c>
      <c r="R313" t="str">
        <f>VLOOKUP($O313,'Mapa Oficinas'!$A$7:$C$46,2,FALSE)</f>
        <v>CABA</v>
      </c>
      <c r="S313" t="str">
        <f>VLOOKUP($O313,'Mapa Oficinas'!$A$7:$C$46,3,FALSE)</f>
        <v>Villa Urquiza</v>
      </c>
    </row>
    <row r="314" spans="1:19" x14ac:dyDescent="0.2">
      <c r="A314" s="1">
        <v>45736</v>
      </c>
      <c r="B314" t="s">
        <v>7671</v>
      </c>
      <c r="D314" t="s">
        <v>7672</v>
      </c>
      <c r="E314" t="s">
        <v>16</v>
      </c>
      <c r="F314" t="s">
        <v>17</v>
      </c>
      <c r="G314" s="14">
        <v>165000</v>
      </c>
      <c r="H314" s="14">
        <v>165000</v>
      </c>
      <c r="I314" t="s">
        <v>22</v>
      </c>
      <c r="J314" t="s">
        <v>22</v>
      </c>
      <c r="K314" t="s">
        <v>7673</v>
      </c>
      <c r="L314" t="s">
        <v>282</v>
      </c>
      <c r="M314" t="s">
        <v>19</v>
      </c>
      <c r="N314">
        <v>2</v>
      </c>
      <c r="O314" t="s">
        <v>201</v>
      </c>
      <c r="P314" t="s">
        <v>276</v>
      </c>
      <c r="Q314" t="s">
        <v>30</v>
      </c>
      <c r="R314" t="str">
        <f>VLOOKUP($O314,'Mapa Oficinas'!$A$7:$C$46,2,FALSE)</f>
        <v>CABA</v>
      </c>
      <c r="S314" t="str">
        <f>VLOOKUP($O314,'Mapa Oficinas'!$A$7:$C$46,3,FALSE)</f>
        <v>Recoleta</v>
      </c>
    </row>
    <row r="315" spans="1:19" x14ac:dyDescent="0.2">
      <c r="A315" s="1">
        <v>45736</v>
      </c>
      <c r="B315" t="s">
        <v>7661</v>
      </c>
      <c r="D315" t="s">
        <v>7662</v>
      </c>
      <c r="E315" t="s">
        <v>16</v>
      </c>
      <c r="F315" t="s">
        <v>17</v>
      </c>
      <c r="G315" s="14">
        <v>265000</v>
      </c>
      <c r="H315" s="14">
        <v>252000</v>
      </c>
      <c r="I315" t="s">
        <v>22</v>
      </c>
      <c r="J315" t="s">
        <v>22</v>
      </c>
      <c r="K315" t="s">
        <v>7663</v>
      </c>
      <c r="L315" t="s">
        <v>7664</v>
      </c>
      <c r="M315" t="s">
        <v>28</v>
      </c>
      <c r="N315">
        <v>2</v>
      </c>
      <c r="O315" t="s">
        <v>103</v>
      </c>
      <c r="P315" t="s">
        <v>41</v>
      </c>
      <c r="Q315" t="s">
        <v>30</v>
      </c>
      <c r="R315" t="str">
        <f>VLOOKUP($O315,'Mapa Oficinas'!$A$7:$C$46,2,FALSE)</f>
        <v>CABA</v>
      </c>
      <c r="S315" t="str">
        <f>VLOOKUP($O315,'Mapa Oficinas'!$A$7:$C$46,3,FALSE)</f>
        <v>Barrio Parque</v>
      </c>
    </row>
    <row r="316" spans="1:19" x14ac:dyDescent="0.2">
      <c r="A316" s="1">
        <v>45736</v>
      </c>
      <c r="B316" t="s">
        <v>7674</v>
      </c>
      <c r="D316" t="s">
        <v>7675</v>
      </c>
      <c r="E316" t="s">
        <v>16</v>
      </c>
      <c r="F316" t="s">
        <v>134</v>
      </c>
      <c r="G316" s="14">
        <v>395000</v>
      </c>
      <c r="H316" s="14">
        <v>360000</v>
      </c>
      <c r="I316" t="s">
        <v>22</v>
      </c>
      <c r="J316" t="s">
        <v>22</v>
      </c>
      <c r="K316" t="s">
        <v>7676</v>
      </c>
      <c r="L316" t="s">
        <v>191</v>
      </c>
      <c r="M316" t="s">
        <v>19</v>
      </c>
      <c r="N316">
        <v>2</v>
      </c>
      <c r="O316" t="s">
        <v>201</v>
      </c>
      <c r="P316" t="s">
        <v>276</v>
      </c>
      <c r="Q316" t="s">
        <v>30</v>
      </c>
      <c r="R316" t="str">
        <f>VLOOKUP($O316,'Mapa Oficinas'!$A$7:$C$46,2,FALSE)</f>
        <v>CABA</v>
      </c>
      <c r="S316" t="str">
        <f>VLOOKUP($O316,'Mapa Oficinas'!$A$7:$C$46,3,FALSE)</f>
        <v>Recoleta</v>
      </c>
    </row>
    <row r="317" spans="1:19" x14ac:dyDescent="0.2">
      <c r="A317" s="1">
        <v>45736</v>
      </c>
      <c r="B317" t="s">
        <v>7668</v>
      </c>
      <c r="D317" t="s">
        <v>7669</v>
      </c>
      <c r="E317" t="s">
        <v>16</v>
      </c>
      <c r="F317" t="s">
        <v>17</v>
      </c>
      <c r="G317" s="14">
        <v>650000</v>
      </c>
      <c r="H317" s="14">
        <v>500000</v>
      </c>
      <c r="I317" t="s">
        <v>22</v>
      </c>
      <c r="J317" t="s">
        <v>22</v>
      </c>
      <c r="K317" t="s">
        <v>7670</v>
      </c>
      <c r="L317" t="s">
        <v>191</v>
      </c>
      <c r="M317" t="s">
        <v>97</v>
      </c>
      <c r="N317">
        <v>2</v>
      </c>
      <c r="O317" t="s">
        <v>103</v>
      </c>
      <c r="P317" t="s">
        <v>21</v>
      </c>
      <c r="Q317" t="s">
        <v>30</v>
      </c>
      <c r="R317" t="str">
        <f>VLOOKUP($O317,'Mapa Oficinas'!$A$7:$C$46,2,FALSE)</f>
        <v>CABA</v>
      </c>
      <c r="S317" t="str">
        <f>VLOOKUP($O317,'Mapa Oficinas'!$A$7:$C$46,3,FALSE)</f>
        <v>Barrio Parque</v>
      </c>
    </row>
    <row r="318" spans="1:19" x14ac:dyDescent="0.2">
      <c r="A318" s="1">
        <v>45737</v>
      </c>
      <c r="B318" t="s">
        <v>7649</v>
      </c>
      <c r="D318" t="s">
        <v>7650</v>
      </c>
      <c r="E318" t="s">
        <v>16</v>
      </c>
      <c r="F318" t="s">
        <v>17</v>
      </c>
      <c r="G318" s="14">
        <v>70000</v>
      </c>
      <c r="H318" s="14">
        <v>65000</v>
      </c>
      <c r="I318" t="s">
        <v>22</v>
      </c>
      <c r="J318" t="s">
        <v>22</v>
      </c>
      <c r="K318" t="s">
        <v>7651</v>
      </c>
      <c r="L318" t="s">
        <v>1586</v>
      </c>
      <c r="M318" t="s">
        <v>28</v>
      </c>
      <c r="N318">
        <v>2</v>
      </c>
      <c r="O318" t="s">
        <v>227</v>
      </c>
      <c r="P318" t="s">
        <v>21</v>
      </c>
      <c r="Q318" t="s">
        <v>30</v>
      </c>
      <c r="R318" t="str">
        <f>VLOOKUP($O318,'Mapa Oficinas'!$A$7:$C$46,2,FALSE)</f>
        <v>Zona Oeste (GBA)</v>
      </c>
      <c r="S318" t="str">
        <f>VLOOKUP($O318,'Mapa Oficinas'!$A$7:$C$46,3,FALSE)</f>
        <v>Parque Leloir</v>
      </c>
    </row>
    <row r="319" spans="1:19" x14ac:dyDescent="0.2">
      <c r="A319" s="1">
        <v>45737</v>
      </c>
      <c r="B319" t="s">
        <v>7638</v>
      </c>
      <c r="D319" t="s">
        <v>7639</v>
      </c>
      <c r="E319" t="s">
        <v>16</v>
      </c>
      <c r="F319" t="s">
        <v>17</v>
      </c>
      <c r="G319" s="14">
        <v>65000</v>
      </c>
      <c r="H319" s="14">
        <v>70000</v>
      </c>
      <c r="I319" t="s">
        <v>22</v>
      </c>
      <c r="J319" t="s">
        <v>22</v>
      </c>
      <c r="K319" t="s">
        <v>7639</v>
      </c>
      <c r="L319" t="s">
        <v>604</v>
      </c>
      <c r="M319" t="s">
        <v>19</v>
      </c>
      <c r="N319">
        <v>2</v>
      </c>
      <c r="O319" t="s">
        <v>142</v>
      </c>
      <c r="P319" t="s">
        <v>276</v>
      </c>
      <c r="Q319" t="s">
        <v>30</v>
      </c>
      <c r="R319" t="str">
        <f>VLOOKUP($O319,'Mapa Oficinas'!$A$7:$C$46,2,FALSE)</f>
        <v>Zona Norte (GBA)</v>
      </c>
      <c r="S319" t="str">
        <f>VLOOKUP($O319,'Mapa Oficinas'!$A$7:$C$46,3,FALSE)</f>
        <v>Nordelta</v>
      </c>
    </row>
    <row r="320" spans="1:19" x14ac:dyDescent="0.2">
      <c r="A320" s="1">
        <v>45737</v>
      </c>
      <c r="B320" t="s">
        <v>7652</v>
      </c>
      <c r="D320" t="s">
        <v>7653</v>
      </c>
      <c r="E320" t="s">
        <v>16</v>
      </c>
      <c r="F320" t="s">
        <v>17</v>
      </c>
      <c r="G320" s="14">
        <v>159000</v>
      </c>
      <c r="H320" s="14">
        <v>150000</v>
      </c>
      <c r="I320" t="s">
        <v>22</v>
      </c>
      <c r="J320" t="s">
        <v>22</v>
      </c>
      <c r="K320" t="s">
        <v>7654</v>
      </c>
      <c r="L320" t="s">
        <v>318</v>
      </c>
      <c r="M320" t="s">
        <v>19</v>
      </c>
      <c r="N320">
        <v>2</v>
      </c>
      <c r="O320" t="s">
        <v>227</v>
      </c>
      <c r="P320" t="s">
        <v>276</v>
      </c>
      <c r="Q320" t="s">
        <v>30</v>
      </c>
      <c r="R320" t="str">
        <f>VLOOKUP($O320,'Mapa Oficinas'!$A$7:$C$46,2,FALSE)</f>
        <v>Zona Oeste (GBA)</v>
      </c>
      <c r="S320" t="str">
        <f>VLOOKUP($O320,'Mapa Oficinas'!$A$7:$C$46,3,FALSE)</f>
        <v>Parque Leloir</v>
      </c>
    </row>
    <row r="321" spans="1:19" x14ac:dyDescent="0.2">
      <c r="A321" s="1">
        <v>45737</v>
      </c>
      <c r="B321" t="s">
        <v>7643</v>
      </c>
      <c r="D321" t="s">
        <v>7644</v>
      </c>
      <c r="E321" t="s">
        <v>16</v>
      </c>
      <c r="F321" t="s">
        <v>17</v>
      </c>
      <c r="G321" s="14">
        <v>179000</v>
      </c>
      <c r="H321" s="14">
        <v>174500</v>
      </c>
      <c r="I321" t="s">
        <v>22</v>
      </c>
      <c r="J321" t="s">
        <v>22</v>
      </c>
      <c r="K321" t="s">
        <v>7645</v>
      </c>
      <c r="L321" t="s">
        <v>1765</v>
      </c>
      <c r="M321" t="s">
        <v>28</v>
      </c>
      <c r="N321">
        <v>2</v>
      </c>
      <c r="O321" t="s">
        <v>103</v>
      </c>
      <c r="P321" t="s">
        <v>276</v>
      </c>
      <c r="Q321" t="s">
        <v>30</v>
      </c>
      <c r="R321" t="str">
        <f>VLOOKUP($O321,'Mapa Oficinas'!$A$7:$C$46,2,FALSE)</f>
        <v>CABA</v>
      </c>
      <c r="S321" t="str">
        <f>VLOOKUP($O321,'Mapa Oficinas'!$A$7:$C$46,3,FALSE)</f>
        <v>Barrio Parque</v>
      </c>
    </row>
    <row r="322" spans="1:19" x14ac:dyDescent="0.2">
      <c r="A322" s="1">
        <v>45737</v>
      </c>
      <c r="B322" t="s">
        <v>7640</v>
      </c>
      <c r="D322" t="s">
        <v>7641</v>
      </c>
      <c r="E322" t="s">
        <v>16</v>
      </c>
      <c r="F322" t="s">
        <v>17</v>
      </c>
      <c r="G322" s="14">
        <v>279000</v>
      </c>
      <c r="H322" s="14">
        <v>266500</v>
      </c>
      <c r="I322" t="s">
        <v>22</v>
      </c>
      <c r="J322" t="s">
        <v>22</v>
      </c>
      <c r="K322" t="s">
        <v>7642</v>
      </c>
      <c r="L322" t="s">
        <v>1017</v>
      </c>
      <c r="M322" t="s">
        <v>19</v>
      </c>
      <c r="N322">
        <v>2</v>
      </c>
      <c r="O322" t="s">
        <v>103</v>
      </c>
      <c r="P322" t="s">
        <v>21</v>
      </c>
      <c r="Q322" t="s">
        <v>30</v>
      </c>
      <c r="R322" t="str">
        <f>VLOOKUP($O322,'Mapa Oficinas'!$A$7:$C$46,2,FALSE)</f>
        <v>CABA</v>
      </c>
      <c r="S322" t="str">
        <f>VLOOKUP($O322,'Mapa Oficinas'!$A$7:$C$46,3,FALSE)</f>
        <v>Barrio Parque</v>
      </c>
    </row>
    <row r="323" spans="1:19" x14ac:dyDescent="0.2">
      <c r="A323" s="1">
        <v>45737</v>
      </c>
      <c r="B323" t="s">
        <v>7655</v>
      </c>
      <c r="D323" t="s">
        <v>7656</v>
      </c>
      <c r="E323" t="s">
        <v>16</v>
      </c>
      <c r="F323" t="s">
        <v>17</v>
      </c>
      <c r="G323" s="14">
        <v>489000</v>
      </c>
      <c r="H323" s="14">
        <v>480000</v>
      </c>
      <c r="I323" t="s">
        <v>22</v>
      </c>
      <c r="J323" t="s">
        <v>22</v>
      </c>
      <c r="K323" t="s">
        <v>7657</v>
      </c>
      <c r="L323" t="s">
        <v>5227</v>
      </c>
      <c r="M323" t="s">
        <v>19</v>
      </c>
      <c r="N323">
        <v>2</v>
      </c>
      <c r="O323" t="s">
        <v>35</v>
      </c>
      <c r="P323" t="s">
        <v>21</v>
      </c>
      <c r="Q323" t="s">
        <v>30</v>
      </c>
      <c r="R323" t="str">
        <f>VLOOKUP($O323,'Mapa Oficinas'!$A$7:$C$46,2,FALSE)</f>
        <v>Zona Norte (GBA)</v>
      </c>
      <c r="S323" t="str">
        <f>VLOOKUP($O323,'Mapa Oficinas'!$A$7:$C$46,3,FALSE)</f>
        <v>Vicente López</v>
      </c>
    </row>
    <row r="324" spans="1:19" x14ac:dyDescent="0.2">
      <c r="A324" s="1">
        <v>45738</v>
      </c>
      <c r="B324" t="s">
        <v>7634</v>
      </c>
      <c r="D324" t="s">
        <v>7635</v>
      </c>
      <c r="E324" t="s">
        <v>16</v>
      </c>
      <c r="F324" t="s">
        <v>17</v>
      </c>
      <c r="G324" s="14">
        <v>58000</v>
      </c>
      <c r="H324" s="14">
        <v>58000</v>
      </c>
      <c r="I324" t="s">
        <v>22</v>
      </c>
      <c r="J324" t="s">
        <v>22</v>
      </c>
      <c r="K324" t="s">
        <v>7636</v>
      </c>
      <c r="L324" t="s">
        <v>569</v>
      </c>
      <c r="M324" t="s">
        <v>19</v>
      </c>
      <c r="N324">
        <v>2</v>
      </c>
      <c r="O324" t="s">
        <v>35</v>
      </c>
      <c r="P324" t="s">
        <v>21</v>
      </c>
      <c r="Q324" t="s">
        <v>30</v>
      </c>
      <c r="R324" t="str">
        <f>VLOOKUP($O324,'Mapa Oficinas'!$A$7:$C$46,2,FALSE)</f>
        <v>Zona Norte (GBA)</v>
      </c>
      <c r="S324" t="str">
        <f>VLOOKUP($O324,'Mapa Oficinas'!$A$7:$C$46,3,FALSE)</f>
        <v>Vicente López</v>
      </c>
    </row>
    <row r="325" spans="1:19" x14ac:dyDescent="0.2">
      <c r="A325" s="1">
        <v>45738</v>
      </c>
      <c r="B325" t="s">
        <v>7630</v>
      </c>
      <c r="D325" t="s">
        <v>7631</v>
      </c>
      <c r="E325" t="s">
        <v>16</v>
      </c>
      <c r="F325" t="s">
        <v>82</v>
      </c>
      <c r="G325" s="14">
        <v>195000</v>
      </c>
      <c r="H325" s="14">
        <v>185000</v>
      </c>
      <c r="I325" t="s">
        <v>22</v>
      </c>
      <c r="J325" t="s">
        <v>22</v>
      </c>
      <c r="K325" t="s">
        <v>7632</v>
      </c>
      <c r="L325" t="s">
        <v>7633</v>
      </c>
      <c r="M325" t="s">
        <v>28</v>
      </c>
      <c r="N325">
        <v>2</v>
      </c>
      <c r="O325" t="s">
        <v>98</v>
      </c>
      <c r="P325" t="s">
        <v>41</v>
      </c>
      <c r="Q325" t="s">
        <v>30</v>
      </c>
      <c r="R325" t="str">
        <f>VLOOKUP($O325,'Mapa Oficinas'!$A$7:$C$46,2,FALSE)</f>
        <v>Interior - Neuquén</v>
      </c>
      <c r="S325" t="str">
        <f>VLOOKUP($O325,'Mapa Oficinas'!$A$7:$C$46,3,FALSE)</f>
        <v>Villa La Angostura</v>
      </c>
    </row>
    <row r="326" spans="1:19" x14ac:dyDescent="0.2">
      <c r="A326" s="1">
        <v>45739</v>
      </c>
      <c r="B326" t="s">
        <v>7626</v>
      </c>
      <c r="D326" t="s">
        <v>7627</v>
      </c>
      <c r="E326" t="s">
        <v>16</v>
      </c>
      <c r="F326" t="s">
        <v>134</v>
      </c>
      <c r="G326" s="14">
        <v>175000</v>
      </c>
      <c r="H326" s="14">
        <v>163000</v>
      </c>
      <c r="I326" t="s">
        <v>22</v>
      </c>
      <c r="J326" t="s">
        <v>22</v>
      </c>
      <c r="K326" t="s">
        <v>7628</v>
      </c>
      <c r="L326" t="s">
        <v>7629</v>
      </c>
      <c r="M326" t="s">
        <v>28</v>
      </c>
      <c r="N326">
        <v>2</v>
      </c>
      <c r="O326" t="s">
        <v>171</v>
      </c>
      <c r="P326" t="s">
        <v>276</v>
      </c>
      <c r="Q326" t="s">
        <v>30</v>
      </c>
      <c r="R326" t="str">
        <f>VLOOKUP($O326,'Mapa Oficinas'!$A$7:$C$46,2,FALSE)</f>
        <v>Zona Sur (GBA)</v>
      </c>
      <c r="S326" t="str">
        <f>VLOOKUP($O326,'Mapa Oficinas'!$A$7:$C$46,3,FALSE)</f>
        <v>La Plata</v>
      </c>
    </row>
    <row r="327" spans="1:19" x14ac:dyDescent="0.2">
      <c r="A327" s="1">
        <v>45741</v>
      </c>
      <c r="B327" t="s">
        <v>7606</v>
      </c>
      <c r="D327" t="s">
        <v>7607</v>
      </c>
      <c r="E327" t="s">
        <v>16</v>
      </c>
      <c r="F327" t="s">
        <v>17</v>
      </c>
      <c r="G327" s="14">
        <v>37000</v>
      </c>
      <c r="H327" s="14">
        <v>36500</v>
      </c>
      <c r="I327" t="s">
        <v>22</v>
      </c>
      <c r="J327" t="s">
        <v>22</v>
      </c>
      <c r="K327" t="s">
        <v>7608</v>
      </c>
      <c r="L327" t="s">
        <v>821</v>
      </c>
      <c r="M327" t="s">
        <v>97</v>
      </c>
      <c r="N327">
        <v>2</v>
      </c>
      <c r="O327" t="s">
        <v>151</v>
      </c>
      <c r="P327" t="s">
        <v>41</v>
      </c>
      <c r="Q327" t="s">
        <v>30</v>
      </c>
      <c r="R327" t="str">
        <f>VLOOKUP($O327,'Mapa Oficinas'!$A$7:$C$46,2,FALSE)</f>
        <v>Interior - Neuquén</v>
      </c>
      <c r="S327" t="str">
        <f>VLOOKUP($O327,'Mapa Oficinas'!$A$7:$C$46,3,FALSE)</f>
        <v>Capital Neuquén</v>
      </c>
    </row>
    <row r="328" spans="1:19" x14ac:dyDescent="0.2">
      <c r="A328" s="1">
        <v>45741</v>
      </c>
      <c r="B328" t="s">
        <v>7609</v>
      </c>
      <c r="D328" t="s">
        <v>7610</v>
      </c>
      <c r="E328" t="s">
        <v>16</v>
      </c>
      <c r="F328" t="s">
        <v>17</v>
      </c>
      <c r="G328" s="14">
        <v>52000</v>
      </c>
      <c r="H328" s="14">
        <v>39800</v>
      </c>
      <c r="I328" t="s">
        <v>22</v>
      </c>
      <c r="J328" t="s">
        <v>22</v>
      </c>
      <c r="K328" t="s">
        <v>7611</v>
      </c>
      <c r="L328" t="s">
        <v>821</v>
      </c>
      <c r="M328" t="s">
        <v>97</v>
      </c>
      <c r="N328">
        <v>2</v>
      </c>
      <c r="O328" t="s">
        <v>151</v>
      </c>
      <c r="P328" t="s">
        <v>21</v>
      </c>
      <c r="Q328" t="s">
        <v>30</v>
      </c>
      <c r="R328" t="str">
        <f>VLOOKUP($O328,'Mapa Oficinas'!$A$7:$C$46,2,FALSE)</f>
        <v>Interior - Neuquén</v>
      </c>
      <c r="S328" t="str">
        <f>VLOOKUP($O328,'Mapa Oficinas'!$A$7:$C$46,3,FALSE)</f>
        <v>Capital Neuquén</v>
      </c>
    </row>
    <row r="329" spans="1:19" x14ac:dyDescent="0.2">
      <c r="A329" s="1">
        <v>45741</v>
      </c>
      <c r="B329" t="s">
        <v>7621</v>
      </c>
      <c r="D329" t="s">
        <v>7622</v>
      </c>
      <c r="E329" t="s">
        <v>16</v>
      </c>
      <c r="F329" t="s">
        <v>17</v>
      </c>
      <c r="G329" s="14">
        <v>64900</v>
      </c>
      <c r="H329" s="14">
        <v>63000</v>
      </c>
      <c r="I329" t="s">
        <v>22</v>
      </c>
      <c r="J329" t="s">
        <v>22</v>
      </c>
      <c r="K329" t="s">
        <v>7127</v>
      </c>
      <c r="L329" t="s">
        <v>226</v>
      </c>
      <c r="M329" t="s">
        <v>19</v>
      </c>
      <c r="N329">
        <v>2</v>
      </c>
      <c r="O329" t="s">
        <v>103</v>
      </c>
      <c r="P329" t="s">
        <v>21</v>
      </c>
      <c r="Q329" t="s">
        <v>30</v>
      </c>
      <c r="R329" t="str">
        <f>VLOOKUP($O329,'Mapa Oficinas'!$A$7:$C$46,2,FALSE)</f>
        <v>CABA</v>
      </c>
      <c r="S329" t="str">
        <f>VLOOKUP($O329,'Mapa Oficinas'!$A$7:$C$46,3,FALSE)</f>
        <v>Barrio Parque</v>
      </c>
    </row>
    <row r="330" spans="1:19" x14ac:dyDescent="0.2">
      <c r="A330" s="1">
        <v>45741</v>
      </c>
      <c r="B330" t="s">
        <v>4722</v>
      </c>
      <c r="D330" t="s">
        <v>4723</v>
      </c>
      <c r="E330" t="s">
        <v>16</v>
      </c>
      <c r="F330" t="s">
        <v>17</v>
      </c>
      <c r="G330" s="14">
        <v>73000</v>
      </c>
      <c r="H330" s="14">
        <v>73000</v>
      </c>
      <c r="I330" t="s">
        <v>22</v>
      </c>
      <c r="J330" t="s">
        <v>22</v>
      </c>
      <c r="K330" t="s">
        <v>4724</v>
      </c>
      <c r="L330" t="s">
        <v>191</v>
      </c>
      <c r="M330" t="s">
        <v>19</v>
      </c>
      <c r="N330">
        <v>2</v>
      </c>
      <c r="O330" t="s">
        <v>73</v>
      </c>
      <c r="P330" t="s">
        <v>21</v>
      </c>
      <c r="Q330" t="s">
        <v>30</v>
      </c>
      <c r="R330" t="str">
        <f>VLOOKUP($O330,'Mapa Oficinas'!$A$7:$C$46,2,FALSE)</f>
        <v>CABA</v>
      </c>
      <c r="S330" t="str">
        <f>VLOOKUP($O330,'Mapa Oficinas'!$A$7:$C$46,3,FALSE)</f>
        <v>Recoleta</v>
      </c>
    </row>
    <row r="331" spans="1:19" x14ac:dyDescent="0.2">
      <c r="A331" s="1">
        <v>45741</v>
      </c>
      <c r="D331" t="s">
        <v>7599</v>
      </c>
      <c r="E331" t="s">
        <v>16</v>
      </c>
      <c r="F331" t="s">
        <v>896</v>
      </c>
      <c r="G331" s="14">
        <v>84000</v>
      </c>
      <c r="H331" s="14">
        <v>84000</v>
      </c>
      <c r="I331" t="s">
        <v>22</v>
      </c>
      <c r="J331" t="s">
        <v>22</v>
      </c>
      <c r="K331" t="s">
        <v>7600</v>
      </c>
      <c r="L331" t="s">
        <v>2153</v>
      </c>
      <c r="M331" t="s">
        <v>19</v>
      </c>
      <c r="N331">
        <v>1</v>
      </c>
      <c r="O331" t="s">
        <v>98</v>
      </c>
      <c r="P331" t="s">
        <v>131</v>
      </c>
      <c r="Q331" t="s">
        <v>30</v>
      </c>
      <c r="R331" t="str">
        <f>VLOOKUP($O331,'Mapa Oficinas'!$A$7:$C$46,2,FALSE)</f>
        <v>Interior - Neuquén</v>
      </c>
      <c r="S331" t="str">
        <f>VLOOKUP($O331,'Mapa Oficinas'!$A$7:$C$46,3,FALSE)</f>
        <v>Villa La Angostura</v>
      </c>
    </row>
    <row r="332" spans="1:19" x14ac:dyDescent="0.2">
      <c r="A332" s="1">
        <v>45741</v>
      </c>
      <c r="B332" t="s">
        <v>7623</v>
      </c>
      <c r="D332" t="s">
        <v>7624</v>
      </c>
      <c r="E332" t="s">
        <v>16</v>
      </c>
      <c r="F332" t="s">
        <v>17</v>
      </c>
      <c r="G332" s="14">
        <v>90000</v>
      </c>
      <c r="H332" s="14">
        <v>90000</v>
      </c>
      <c r="I332" t="s">
        <v>22</v>
      </c>
      <c r="J332" t="s">
        <v>22</v>
      </c>
      <c r="K332" t="s">
        <v>7625</v>
      </c>
      <c r="L332" t="s">
        <v>191</v>
      </c>
      <c r="M332" t="s">
        <v>19</v>
      </c>
      <c r="N332">
        <v>2</v>
      </c>
      <c r="O332" t="s">
        <v>142</v>
      </c>
      <c r="P332" t="s">
        <v>276</v>
      </c>
      <c r="Q332" t="s">
        <v>30</v>
      </c>
      <c r="R332" t="str">
        <f>VLOOKUP($O332,'Mapa Oficinas'!$A$7:$C$46,2,FALSE)</f>
        <v>Zona Norte (GBA)</v>
      </c>
      <c r="S332" t="str">
        <f>VLOOKUP($O332,'Mapa Oficinas'!$A$7:$C$46,3,FALSE)</f>
        <v>Nordelta</v>
      </c>
    </row>
    <row r="333" spans="1:19" x14ac:dyDescent="0.2">
      <c r="A333" s="1">
        <v>45741</v>
      </c>
      <c r="B333" t="s">
        <v>7612</v>
      </c>
      <c r="D333" t="s">
        <v>7613</v>
      </c>
      <c r="E333" t="s">
        <v>16</v>
      </c>
      <c r="F333" t="s">
        <v>17</v>
      </c>
      <c r="G333" s="14">
        <v>100000</v>
      </c>
      <c r="H333" s="14">
        <v>94000</v>
      </c>
      <c r="I333" t="s">
        <v>22</v>
      </c>
      <c r="J333" t="s">
        <v>22</v>
      </c>
      <c r="K333" t="s">
        <v>7614</v>
      </c>
      <c r="L333" t="s">
        <v>967</v>
      </c>
      <c r="M333" t="s">
        <v>19</v>
      </c>
      <c r="N333">
        <v>2</v>
      </c>
      <c r="O333" t="s">
        <v>103</v>
      </c>
      <c r="P333" t="s">
        <v>21</v>
      </c>
      <c r="Q333" t="s">
        <v>30</v>
      </c>
      <c r="R333" t="str">
        <f>VLOOKUP($O333,'Mapa Oficinas'!$A$7:$C$46,2,FALSE)</f>
        <v>CABA</v>
      </c>
      <c r="S333" t="str">
        <f>VLOOKUP($O333,'Mapa Oficinas'!$A$7:$C$46,3,FALSE)</f>
        <v>Barrio Parque</v>
      </c>
    </row>
    <row r="334" spans="1:19" x14ac:dyDescent="0.2">
      <c r="A334" s="1">
        <v>45741</v>
      </c>
      <c r="B334" t="s">
        <v>7603</v>
      </c>
      <c r="D334" t="s">
        <v>7604</v>
      </c>
      <c r="E334" t="s">
        <v>16</v>
      </c>
      <c r="F334" t="s">
        <v>58</v>
      </c>
      <c r="G334" s="14">
        <v>215000</v>
      </c>
      <c r="H334" s="14">
        <v>205000</v>
      </c>
      <c r="I334" t="s">
        <v>22</v>
      </c>
      <c r="J334" t="s">
        <v>22</v>
      </c>
      <c r="K334" t="s">
        <v>7605</v>
      </c>
      <c r="L334" t="s">
        <v>482</v>
      </c>
      <c r="M334" t="s">
        <v>19</v>
      </c>
      <c r="N334">
        <v>2</v>
      </c>
      <c r="O334" t="s">
        <v>50</v>
      </c>
      <c r="P334" t="s">
        <v>21</v>
      </c>
      <c r="Q334" t="s">
        <v>30</v>
      </c>
      <c r="R334" t="str">
        <f>VLOOKUP($O334,'Mapa Oficinas'!$A$7:$C$46,2,FALSE)</f>
        <v>CABA</v>
      </c>
      <c r="S334" t="str">
        <f>VLOOKUP($O334,'Mapa Oficinas'!$A$7:$C$46,3,FALSE)</f>
        <v>Villa Urquiza</v>
      </c>
    </row>
    <row r="335" spans="1:19" x14ac:dyDescent="0.2">
      <c r="A335" s="1">
        <v>45741</v>
      </c>
      <c r="D335" t="s">
        <v>7601</v>
      </c>
      <c r="E335" t="s">
        <v>16</v>
      </c>
      <c r="F335" t="s">
        <v>896</v>
      </c>
      <c r="G335" s="14">
        <v>216000</v>
      </c>
      <c r="H335" s="14">
        <v>216000</v>
      </c>
      <c r="I335" t="s">
        <v>22</v>
      </c>
      <c r="J335" t="s">
        <v>22</v>
      </c>
      <c r="K335" t="s">
        <v>7602</v>
      </c>
      <c r="L335" t="s">
        <v>318</v>
      </c>
      <c r="M335" t="s">
        <v>19</v>
      </c>
      <c r="N335">
        <v>1</v>
      </c>
      <c r="O335" t="s">
        <v>227</v>
      </c>
      <c r="P335" t="s">
        <v>146</v>
      </c>
      <c r="Q335" t="s">
        <v>30</v>
      </c>
      <c r="R335" t="str">
        <f>VLOOKUP($O335,'Mapa Oficinas'!$A$7:$C$46,2,FALSE)</f>
        <v>Zona Oeste (GBA)</v>
      </c>
      <c r="S335" t="str">
        <f>VLOOKUP($O335,'Mapa Oficinas'!$A$7:$C$46,3,FALSE)</f>
        <v>Parque Leloir</v>
      </c>
    </row>
    <row r="336" spans="1:19" x14ac:dyDescent="0.2">
      <c r="A336" s="1">
        <v>45741</v>
      </c>
      <c r="B336" t="s">
        <v>7615</v>
      </c>
      <c r="D336" t="s">
        <v>7616</v>
      </c>
      <c r="E336" t="s">
        <v>16</v>
      </c>
      <c r="F336" t="s">
        <v>17</v>
      </c>
      <c r="G336" s="14">
        <v>230000</v>
      </c>
      <c r="H336" s="14">
        <v>230000</v>
      </c>
      <c r="I336" t="s">
        <v>22</v>
      </c>
      <c r="J336" t="s">
        <v>22</v>
      </c>
      <c r="K336" t="s">
        <v>7617</v>
      </c>
      <c r="L336" t="s">
        <v>117</v>
      </c>
      <c r="M336" t="s">
        <v>19</v>
      </c>
      <c r="N336">
        <v>1</v>
      </c>
      <c r="O336" t="s">
        <v>20</v>
      </c>
      <c r="P336" t="s">
        <v>146</v>
      </c>
      <c r="Q336" t="s">
        <v>30</v>
      </c>
      <c r="R336" t="str">
        <f>VLOOKUP($O336,'Mapa Oficinas'!$A$7:$C$46,2,FALSE)</f>
        <v>CABA</v>
      </c>
      <c r="S336" t="str">
        <f>VLOOKUP($O336,'Mapa Oficinas'!$A$7:$C$46,3,FALSE)</f>
        <v>Palermo</v>
      </c>
    </row>
    <row r="337" spans="1:19" x14ac:dyDescent="0.2">
      <c r="A337" s="1">
        <v>45741</v>
      </c>
      <c r="B337" t="s">
        <v>7618</v>
      </c>
      <c r="D337" t="s">
        <v>7619</v>
      </c>
      <c r="E337" t="s">
        <v>16</v>
      </c>
      <c r="F337" t="s">
        <v>17</v>
      </c>
      <c r="G337" s="14">
        <v>3200</v>
      </c>
      <c r="H337" s="14">
        <v>780000</v>
      </c>
      <c r="I337" t="s">
        <v>22</v>
      </c>
      <c r="J337" t="s">
        <v>22</v>
      </c>
      <c r="K337" t="s">
        <v>7620</v>
      </c>
      <c r="L337" t="s">
        <v>117</v>
      </c>
      <c r="M337" t="s">
        <v>19</v>
      </c>
      <c r="N337">
        <v>2</v>
      </c>
      <c r="O337" t="s">
        <v>35</v>
      </c>
      <c r="P337" t="s">
        <v>21</v>
      </c>
      <c r="Q337" t="s">
        <v>30</v>
      </c>
      <c r="R337" t="str">
        <f>VLOOKUP($O337,'Mapa Oficinas'!$A$7:$C$46,2,FALSE)</f>
        <v>Zona Norte (GBA)</v>
      </c>
      <c r="S337" t="str">
        <f>VLOOKUP($O337,'Mapa Oficinas'!$A$7:$C$46,3,FALSE)</f>
        <v>Vicente López</v>
      </c>
    </row>
    <row r="338" spans="1:19" x14ac:dyDescent="0.2">
      <c r="A338" s="1">
        <v>45742</v>
      </c>
      <c r="B338" t="s">
        <v>7591</v>
      </c>
      <c r="D338" t="s">
        <v>7592</v>
      </c>
      <c r="E338" t="s">
        <v>16</v>
      </c>
      <c r="F338" t="s">
        <v>17</v>
      </c>
      <c r="G338" s="14">
        <v>66000</v>
      </c>
      <c r="H338" s="14">
        <v>66000</v>
      </c>
      <c r="I338" t="s">
        <v>22</v>
      </c>
      <c r="J338" t="s">
        <v>22</v>
      </c>
      <c r="L338" t="s">
        <v>438</v>
      </c>
      <c r="M338" t="s">
        <v>19</v>
      </c>
      <c r="N338">
        <v>2</v>
      </c>
      <c r="O338" t="s">
        <v>142</v>
      </c>
      <c r="P338" t="s">
        <v>276</v>
      </c>
      <c r="Q338" t="s">
        <v>30</v>
      </c>
      <c r="R338" t="str">
        <f>VLOOKUP($O338,'Mapa Oficinas'!$A$7:$C$46,2,FALSE)</f>
        <v>Zona Norte (GBA)</v>
      </c>
      <c r="S338" t="str">
        <f>VLOOKUP($O338,'Mapa Oficinas'!$A$7:$C$46,3,FALSE)</f>
        <v>Nordelta</v>
      </c>
    </row>
    <row r="339" spans="1:19" x14ac:dyDescent="0.2">
      <c r="A339" s="1">
        <v>45742</v>
      </c>
      <c r="B339" t="s">
        <v>7593</v>
      </c>
      <c r="D339" t="s">
        <v>7594</v>
      </c>
      <c r="E339" t="s">
        <v>16</v>
      </c>
      <c r="F339" t="s">
        <v>17</v>
      </c>
      <c r="G339" s="14">
        <v>72000</v>
      </c>
      <c r="H339" s="14">
        <v>70000</v>
      </c>
      <c r="I339" t="s">
        <v>22</v>
      </c>
      <c r="J339" t="s">
        <v>22</v>
      </c>
      <c r="K339" t="s">
        <v>7595</v>
      </c>
      <c r="L339" t="s">
        <v>115</v>
      </c>
      <c r="M339" t="s">
        <v>19</v>
      </c>
      <c r="N339">
        <v>2</v>
      </c>
      <c r="O339" t="s">
        <v>389</v>
      </c>
      <c r="P339" t="s">
        <v>21</v>
      </c>
      <c r="Q339" t="s">
        <v>30</v>
      </c>
      <c r="R339" t="str">
        <f>VLOOKUP($O339,'Mapa Oficinas'!$A$7:$C$46,2,FALSE)</f>
        <v>Zona Norte (GBA)</v>
      </c>
      <c r="S339" t="str">
        <f>VLOOKUP($O339,'Mapa Oficinas'!$A$7:$C$46,3,FALSE)</f>
        <v>Escobar</v>
      </c>
    </row>
    <row r="340" spans="1:19" x14ac:dyDescent="0.2">
      <c r="A340" s="1">
        <v>45742</v>
      </c>
      <c r="B340" t="s">
        <v>7585</v>
      </c>
      <c r="D340" t="s">
        <v>7586</v>
      </c>
      <c r="E340" t="s">
        <v>16</v>
      </c>
      <c r="F340" t="s">
        <v>17</v>
      </c>
      <c r="G340" s="14">
        <v>88500</v>
      </c>
      <c r="H340" s="14">
        <v>86000</v>
      </c>
      <c r="I340" t="s">
        <v>22</v>
      </c>
      <c r="J340" t="s">
        <v>22</v>
      </c>
      <c r="K340" t="s">
        <v>7587</v>
      </c>
      <c r="L340" t="s">
        <v>503</v>
      </c>
      <c r="M340" t="s">
        <v>19</v>
      </c>
      <c r="N340">
        <v>2</v>
      </c>
      <c r="O340" t="s">
        <v>103</v>
      </c>
      <c r="P340" t="s">
        <v>21</v>
      </c>
      <c r="Q340" t="s">
        <v>30</v>
      </c>
      <c r="R340" t="str">
        <f>VLOOKUP($O340,'Mapa Oficinas'!$A$7:$C$46,2,FALSE)</f>
        <v>CABA</v>
      </c>
      <c r="S340" t="str">
        <f>VLOOKUP($O340,'Mapa Oficinas'!$A$7:$C$46,3,FALSE)</f>
        <v>Barrio Parque</v>
      </c>
    </row>
    <row r="341" spans="1:19" x14ac:dyDescent="0.2">
      <c r="A341" s="1">
        <v>45742</v>
      </c>
      <c r="B341" t="s">
        <v>7596</v>
      </c>
      <c r="D341" t="s">
        <v>7597</v>
      </c>
      <c r="E341" t="s">
        <v>16</v>
      </c>
      <c r="F341" t="s">
        <v>53</v>
      </c>
      <c r="G341" s="14">
        <v>155000</v>
      </c>
      <c r="H341" s="14">
        <v>140000</v>
      </c>
      <c r="I341" t="s">
        <v>22</v>
      </c>
      <c r="J341" t="s">
        <v>22</v>
      </c>
      <c r="K341" t="s">
        <v>7598</v>
      </c>
      <c r="L341" t="s">
        <v>630</v>
      </c>
      <c r="M341" t="s">
        <v>97</v>
      </c>
      <c r="N341">
        <v>2</v>
      </c>
      <c r="O341" t="s">
        <v>246</v>
      </c>
      <c r="P341" t="s">
        <v>41</v>
      </c>
      <c r="Q341" t="s">
        <v>30</v>
      </c>
      <c r="R341" t="str">
        <f>VLOOKUP($O341,'Mapa Oficinas'!$A$7:$C$46,2,FALSE)</f>
        <v>Interior - Salta</v>
      </c>
      <c r="S341" t="str">
        <f>VLOOKUP($O341,'Mapa Oficinas'!$A$7:$C$46,3,FALSE)</f>
        <v>San Lorenzo Chico</v>
      </c>
    </row>
    <row r="342" spans="1:19" x14ac:dyDescent="0.2">
      <c r="A342" s="1">
        <v>45742</v>
      </c>
      <c r="B342" t="s">
        <v>7588</v>
      </c>
      <c r="D342" t="s">
        <v>7589</v>
      </c>
      <c r="E342" t="s">
        <v>16</v>
      </c>
      <c r="F342" t="s">
        <v>17</v>
      </c>
      <c r="G342" s="14">
        <v>165000</v>
      </c>
      <c r="H342" s="14">
        <v>160000</v>
      </c>
      <c r="I342" t="s">
        <v>22</v>
      </c>
      <c r="J342" t="s">
        <v>22</v>
      </c>
      <c r="K342" t="s">
        <v>7590</v>
      </c>
      <c r="L342" t="s">
        <v>441</v>
      </c>
      <c r="M342" t="s">
        <v>28</v>
      </c>
      <c r="N342">
        <v>2</v>
      </c>
      <c r="O342" t="s">
        <v>142</v>
      </c>
      <c r="P342" t="s">
        <v>41</v>
      </c>
      <c r="Q342" t="s">
        <v>30</v>
      </c>
      <c r="R342" t="str">
        <f>VLOOKUP($O342,'Mapa Oficinas'!$A$7:$C$46,2,FALSE)</f>
        <v>Zona Norte (GBA)</v>
      </c>
      <c r="S342" t="str">
        <f>VLOOKUP($O342,'Mapa Oficinas'!$A$7:$C$46,3,FALSE)</f>
        <v>Nordelta</v>
      </c>
    </row>
    <row r="343" spans="1:19" x14ac:dyDescent="0.2">
      <c r="A343" s="1">
        <v>45742</v>
      </c>
      <c r="B343" t="s">
        <v>7584</v>
      </c>
      <c r="D343" t="s">
        <v>7584</v>
      </c>
      <c r="E343" t="s">
        <v>16</v>
      </c>
      <c r="F343" t="s">
        <v>17</v>
      </c>
      <c r="G343" s="14">
        <v>285000</v>
      </c>
      <c r="H343" s="14">
        <v>285000</v>
      </c>
      <c r="I343" t="s">
        <v>22</v>
      </c>
      <c r="J343" t="s">
        <v>22</v>
      </c>
      <c r="K343" t="s">
        <v>7584</v>
      </c>
      <c r="L343" t="s">
        <v>523</v>
      </c>
      <c r="M343" t="s">
        <v>19</v>
      </c>
      <c r="N343">
        <v>2</v>
      </c>
      <c r="O343" t="s">
        <v>50</v>
      </c>
      <c r="P343" t="s">
        <v>21</v>
      </c>
      <c r="Q343" t="s">
        <v>30</v>
      </c>
      <c r="R343" t="str">
        <f>VLOOKUP($O343,'Mapa Oficinas'!$A$7:$C$46,2,FALSE)</f>
        <v>CABA</v>
      </c>
      <c r="S343" t="str">
        <f>VLOOKUP($O343,'Mapa Oficinas'!$A$7:$C$46,3,FALSE)</f>
        <v>Villa Urquiza</v>
      </c>
    </row>
    <row r="344" spans="1:19" x14ac:dyDescent="0.2">
      <c r="A344" s="1">
        <v>45743</v>
      </c>
      <c r="B344">
        <v>12</v>
      </c>
      <c r="D344" t="s">
        <v>7559</v>
      </c>
      <c r="E344" t="s">
        <v>16</v>
      </c>
      <c r="F344" t="s">
        <v>17</v>
      </c>
      <c r="G344" s="14">
        <v>66000</v>
      </c>
      <c r="H344" s="14">
        <v>66000</v>
      </c>
      <c r="I344" t="s">
        <v>22</v>
      </c>
      <c r="J344" t="s">
        <v>22</v>
      </c>
      <c r="K344" t="s">
        <v>7560</v>
      </c>
      <c r="L344" t="s">
        <v>217</v>
      </c>
      <c r="M344" t="s">
        <v>19</v>
      </c>
      <c r="N344">
        <v>1</v>
      </c>
      <c r="O344" t="s">
        <v>198</v>
      </c>
      <c r="P344" t="s">
        <v>146</v>
      </c>
      <c r="Q344" t="s">
        <v>30</v>
      </c>
      <c r="R344" t="str">
        <f>VLOOKUP($O344,'Mapa Oficinas'!$A$7:$C$46,2,FALSE)</f>
        <v>CABA</v>
      </c>
      <c r="S344" t="str">
        <f>VLOOKUP($O344,'Mapa Oficinas'!$A$7:$C$46,3,FALSE)</f>
        <v>Caballito</v>
      </c>
    </row>
    <row r="345" spans="1:19" x14ac:dyDescent="0.2">
      <c r="A345" s="1">
        <v>45743</v>
      </c>
      <c r="D345" t="s">
        <v>7576</v>
      </c>
      <c r="E345" t="s">
        <v>16</v>
      </c>
      <c r="F345" t="s">
        <v>38</v>
      </c>
      <c r="G345" s="14">
        <v>70000</v>
      </c>
      <c r="H345" s="14">
        <v>66000</v>
      </c>
      <c r="I345" t="s">
        <v>22</v>
      </c>
      <c r="J345" t="s">
        <v>22</v>
      </c>
      <c r="K345" t="s">
        <v>7577</v>
      </c>
      <c r="L345" t="s">
        <v>630</v>
      </c>
      <c r="M345" t="s">
        <v>28</v>
      </c>
      <c r="N345">
        <v>1</v>
      </c>
      <c r="O345" t="s">
        <v>246</v>
      </c>
      <c r="P345" t="s">
        <v>131</v>
      </c>
      <c r="Q345" t="s">
        <v>30</v>
      </c>
      <c r="R345" t="str">
        <f>VLOOKUP($O345,'Mapa Oficinas'!$A$7:$C$46,2,FALSE)</f>
        <v>Interior - Salta</v>
      </c>
      <c r="S345" t="str">
        <f>VLOOKUP($O345,'Mapa Oficinas'!$A$7:$C$46,3,FALSE)</f>
        <v>San Lorenzo Chico</v>
      </c>
    </row>
    <row r="346" spans="1:19" x14ac:dyDescent="0.2">
      <c r="A346" s="1">
        <v>45743</v>
      </c>
      <c r="B346" t="s">
        <v>7556</v>
      </c>
      <c r="D346" t="s">
        <v>7557</v>
      </c>
      <c r="E346" t="s">
        <v>16</v>
      </c>
      <c r="F346" t="s">
        <v>47</v>
      </c>
      <c r="G346" s="14">
        <v>79800</v>
      </c>
      <c r="H346" s="14">
        <v>79500</v>
      </c>
      <c r="I346" t="s">
        <v>22</v>
      </c>
      <c r="J346" t="s">
        <v>22</v>
      </c>
      <c r="K346" t="s">
        <v>7558</v>
      </c>
      <c r="L346" t="s">
        <v>503</v>
      </c>
      <c r="M346" t="s">
        <v>19</v>
      </c>
      <c r="N346">
        <v>2</v>
      </c>
      <c r="O346" t="s">
        <v>50</v>
      </c>
      <c r="P346" t="s">
        <v>41</v>
      </c>
      <c r="Q346" t="s">
        <v>30</v>
      </c>
      <c r="R346" t="str">
        <f>VLOOKUP($O346,'Mapa Oficinas'!$A$7:$C$46,2,FALSE)</f>
        <v>CABA</v>
      </c>
      <c r="S346" t="str">
        <f>VLOOKUP($O346,'Mapa Oficinas'!$A$7:$C$46,3,FALSE)</f>
        <v>Villa Urquiza</v>
      </c>
    </row>
    <row r="347" spans="1:19" x14ac:dyDescent="0.2">
      <c r="A347" s="1">
        <v>45743</v>
      </c>
      <c r="B347" t="s">
        <v>7578</v>
      </c>
      <c r="D347" t="s">
        <v>7579</v>
      </c>
      <c r="E347" t="s">
        <v>16</v>
      </c>
      <c r="F347" t="s">
        <v>82</v>
      </c>
      <c r="G347" s="14">
        <v>150000</v>
      </c>
      <c r="H347" s="14">
        <v>130000</v>
      </c>
      <c r="I347" t="s">
        <v>22</v>
      </c>
      <c r="J347" t="s">
        <v>22</v>
      </c>
      <c r="K347" t="s">
        <v>7580</v>
      </c>
      <c r="L347" t="s">
        <v>259</v>
      </c>
      <c r="M347" t="s">
        <v>97</v>
      </c>
      <c r="N347">
        <v>1</v>
      </c>
      <c r="O347" t="s">
        <v>98</v>
      </c>
      <c r="P347" t="s">
        <v>66</v>
      </c>
      <c r="Q347" t="s">
        <v>30</v>
      </c>
      <c r="R347" t="str">
        <f>VLOOKUP($O347,'Mapa Oficinas'!$A$7:$C$46,2,FALSE)</f>
        <v>Interior - Neuquén</v>
      </c>
      <c r="S347" t="str">
        <f>VLOOKUP($O347,'Mapa Oficinas'!$A$7:$C$46,3,FALSE)</f>
        <v>Villa La Angostura</v>
      </c>
    </row>
    <row r="348" spans="1:19" x14ac:dyDescent="0.2">
      <c r="A348" s="1">
        <v>45743</v>
      </c>
      <c r="B348">
        <v>11</v>
      </c>
      <c r="D348" t="s">
        <v>7567</v>
      </c>
      <c r="E348" t="s">
        <v>16</v>
      </c>
      <c r="F348" t="s">
        <v>58</v>
      </c>
      <c r="G348" s="14">
        <v>185000</v>
      </c>
      <c r="H348" s="14">
        <v>185000</v>
      </c>
      <c r="I348" t="s">
        <v>22</v>
      </c>
      <c r="J348" t="s">
        <v>22</v>
      </c>
      <c r="K348" t="s">
        <v>7568</v>
      </c>
      <c r="L348" t="s">
        <v>7569</v>
      </c>
      <c r="M348" t="s">
        <v>19</v>
      </c>
      <c r="N348">
        <v>2</v>
      </c>
      <c r="O348" t="s">
        <v>198</v>
      </c>
      <c r="P348" t="s">
        <v>36</v>
      </c>
      <c r="Q348" t="s">
        <v>30</v>
      </c>
      <c r="R348" t="str">
        <f>VLOOKUP($O348,'Mapa Oficinas'!$A$7:$C$46,2,FALSE)</f>
        <v>CABA</v>
      </c>
      <c r="S348" t="str">
        <f>VLOOKUP($O348,'Mapa Oficinas'!$A$7:$C$46,3,FALSE)</f>
        <v>Caballito</v>
      </c>
    </row>
    <row r="349" spans="1:19" x14ac:dyDescent="0.2">
      <c r="A349" s="1">
        <v>45743</v>
      </c>
      <c r="B349" t="s">
        <v>7581</v>
      </c>
      <c r="D349" t="s">
        <v>7582</v>
      </c>
      <c r="E349" t="s">
        <v>16</v>
      </c>
      <c r="F349" t="s">
        <v>17</v>
      </c>
      <c r="G349" s="14">
        <v>189000</v>
      </c>
      <c r="H349" s="14">
        <v>185000</v>
      </c>
      <c r="I349" t="s">
        <v>22</v>
      </c>
      <c r="J349" t="s">
        <v>22</v>
      </c>
      <c r="K349" t="s">
        <v>7583</v>
      </c>
      <c r="L349" t="s">
        <v>237</v>
      </c>
      <c r="M349" t="s">
        <v>19</v>
      </c>
      <c r="N349">
        <v>2</v>
      </c>
      <c r="O349" t="s">
        <v>20</v>
      </c>
      <c r="P349" t="s">
        <v>36</v>
      </c>
      <c r="Q349" t="s">
        <v>30</v>
      </c>
      <c r="R349" t="str">
        <f>VLOOKUP($O349,'Mapa Oficinas'!$A$7:$C$46,2,FALSE)</f>
        <v>CABA</v>
      </c>
      <c r="S349" t="str">
        <f>VLOOKUP($O349,'Mapa Oficinas'!$A$7:$C$46,3,FALSE)</f>
        <v>Palermo</v>
      </c>
    </row>
    <row r="350" spans="1:19" x14ac:dyDescent="0.2">
      <c r="A350" s="1">
        <v>45743</v>
      </c>
      <c r="B350" t="s">
        <v>7565</v>
      </c>
      <c r="D350" t="s">
        <v>7566</v>
      </c>
      <c r="E350" t="s">
        <v>16</v>
      </c>
      <c r="F350" t="s">
        <v>17</v>
      </c>
      <c r="G350" s="14">
        <v>285000</v>
      </c>
      <c r="H350" s="14">
        <v>285000</v>
      </c>
      <c r="I350" t="s">
        <v>22</v>
      </c>
      <c r="J350" t="s">
        <v>22</v>
      </c>
      <c r="L350" t="s">
        <v>413</v>
      </c>
      <c r="M350" t="s">
        <v>19</v>
      </c>
      <c r="N350">
        <v>2</v>
      </c>
      <c r="O350" t="s">
        <v>142</v>
      </c>
      <c r="P350" t="s">
        <v>276</v>
      </c>
      <c r="Q350" t="s">
        <v>30</v>
      </c>
      <c r="R350" t="str">
        <f>VLOOKUP($O350,'Mapa Oficinas'!$A$7:$C$46,2,FALSE)</f>
        <v>Zona Norte (GBA)</v>
      </c>
      <c r="S350" t="str">
        <f>VLOOKUP($O350,'Mapa Oficinas'!$A$7:$C$46,3,FALSE)</f>
        <v>Nordelta</v>
      </c>
    </row>
    <row r="351" spans="1:19" x14ac:dyDescent="0.2">
      <c r="A351" s="1">
        <v>45743</v>
      </c>
      <c r="B351" t="s">
        <v>7570</v>
      </c>
      <c r="D351" t="s">
        <v>7571</v>
      </c>
      <c r="E351" t="s">
        <v>16</v>
      </c>
      <c r="F351" t="s">
        <v>17</v>
      </c>
      <c r="G351" s="14">
        <v>284200</v>
      </c>
      <c r="H351" s="14">
        <v>315000</v>
      </c>
      <c r="I351" t="s">
        <v>22</v>
      </c>
      <c r="J351" t="s">
        <v>22</v>
      </c>
      <c r="K351" t="s">
        <v>7572</v>
      </c>
      <c r="L351" t="s">
        <v>727</v>
      </c>
      <c r="M351" t="s">
        <v>19</v>
      </c>
      <c r="N351">
        <v>2</v>
      </c>
      <c r="O351" t="s">
        <v>252</v>
      </c>
      <c r="P351" t="s">
        <v>21</v>
      </c>
      <c r="Q351" t="s">
        <v>30</v>
      </c>
      <c r="R351" t="str">
        <f>VLOOKUP($O351,'Mapa Oficinas'!$A$7:$C$46,2,FALSE)</f>
        <v>CABA</v>
      </c>
      <c r="S351" t="str">
        <f>VLOOKUP($O351,'Mapa Oficinas'!$A$7:$C$46,3,FALSE)</f>
        <v>Belgrano</v>
      </c>
    </row>
    <row r="352" spans="1:19" x14ac:dyDescent="0.2">
      <c r="A352" s="1">
        <v>45743</v>
      </c>
      <c r="B352" t="s">
        <v>7561</v>
      </c>
      <c r="D352" t="s">
        <v>7562</v>
      </c>
      <c r="E352" t="s">
        <v>16</v>
      </c>
      <c r="F352" t="s">
        <v>17</v>
      </c>
      <c r="G352" s="14">
        <v>450000</v>
      </c>
      <c r="H352" s="14">
        <v>400000</v>
      </c>
      <c r="I352" t="s">
        <v>22</v>
      </c>
      <c r="J352" t="s">
        <v>22</v>
      </c>
      <c r="K352" t="s">
        <v>7563</v>
      </c>
      <c r="L352" t="s">
        <v>7564</v>
      </c>
      <c r="M352" t="s">
        <v>28</v>
      </c>
      <c r="N352">
        <v>2</v>
      </c>
      <c r="O352" t="s">
        <v>142</v>
      </c>
      <c r="P352" t="s">
        <v>276</v>
      </c>
      <c r="Q352" t="s">
        <v>30</v>
      </c>
      <c r="R352" t="str">
        <f>VLOOKUP($O352,'Mapa Oficinas'!$A$7:$C$46,2,FALSE)</f>
        <v>Zona Norte (GBA)</v>
      </c>
      <c r="S352" t="str">
        <f>VLOOKUP($O352,'Mapa Oficinas'!$A$7:$C$46,3,FALSE)</f>
        <v>Nordelta</v>
      </c>
    </row>
    <row r="353" spans="1:19" x14ac:dyDescent="0.2">
      <c r="A353" s="1">
        <v>45744</v>
      </c>
      <c r="B353" t="s">
        <v>7553</v>
      </c>
      <c r="D353" t="s">
        <v>2503</v>
      </c>
      <c r="E353" t="s">
        <v>16</v>
      </c>
      <c r="F353" t="s">
        <v>38</v>
      </c>
      <c r="G353" s="14">
        <v>45000</v>
      </c>
      <c r="H353" s="14">
        <v>42000</v>
      </c>
      <c r="I353" t="s">
        <v>22</v>
      </c>
      <c r="J353" t="s">
        <v>22</v>
      </c>
      <c r="K353" t="s">
        <v>7554</v>
      </c>
      <c r="L353" t="s">
        <v>7555</v>
      </c>
      <c r="M353" t="s">
        <v>19</v>
      </c>
      <c r="N353">
        <v>2</v>
      </c>
      <c r="O353" t="s">
        <v>55</v>
      </c>
      <c r="P353" t="s">
        <v>21</v>
      </c>
      <c r="Q353" t="s">
        <v>30</v>
      </c>
      <c r="R353" t="str">
        <f>VLOOKUP($O353,'Mapa Oficinas'!$A$7:$C$46,2,FALSE)</f>
        <v>Interior - Santa Fe</v>
      </c>
      <c r="S353" t="str">
        <f>VLOOKUP($O353,'Mapa Oficinas'!$A$7:$C$46,3,FALSE)</f>
        <v>Capital Santa Fe</v>
      </c>
    </row>
    <row r="354" spans="1:19" x14ac:dyDescent="0.2">
      <c r="A354" s="1">
        <v>45744</v>
      </c>
      <c r="B354" t="s">
        <v>7511</v>
      </c>
      <c r="D354" t="s">
        <v>5636</v>
      </c>
      <c r="E354" t="s">
        <v>16</v>
      </c>
      <c r="F354" t="s">
        <v>47</v>
      </c>
      <c r="G354" s="14">
        <v>54000</v>
      </c>
      <c r="H354" s="14">
        <v>49500</v>
      </c>
      <c r="I354" t="s">
        <v>22</v>
      </c>
      <c r="J354" t="s">
        <v>22</v>
      </c>
      <c r="K354" t="s">
        <v>7512</v>
      </c>
      <c r="L354" t="s">
        <v>54</v>
      </c>
      <c r="M354" t="s">
        <v>28</v>
      </c>
      <c r="N354">
        <v>1</v>
      </c>
      <c r="O354" t="s">
        <v>55</v>
      </c>
      <c r="P354" t="s">
        <v>131</v>
      </c>
      <c r="Q354" t="s">
        <v>30</v>
      </c>
      <c r="R354" t="str">
        <f>VLOOKUP($O354,'Mapa Oficinas'!$A$7:$C$46,2,FALSE)</f>
        <v>Interior - Santa Fe</v>
      </c>
      <c r="S354" t="str">
        <f>VLOOKUP($O354,'Mapa Oficinas'!$A$7:$C$46,3,FALSE)</f>
        <v>Capital Santa Fe</v>
      </c>
    </row>
    <row r="355" spans="1:19" x14ac:dyDescent="0.2">
      <c r="A355" s="1">
        <v>45744</v>
      </c>
      <c r="B355" t="s">
        <v>7516</v>
      </c>
      <c r="D355" t="s">
        <v>7517</v>
      </c>
      <c r="E355" t="s">
        <v>16</v>
      </c>
      <c r="F355" t="s">
        <v>17</v>
      </c>
      <c r="G355" s="14">
        <v>77000</v>
      </c>
      <c r="H355" s="14">
        <v>75000</v>
      </c>
      <c r="I355" t="s">
        <v>22</v>
      </c>
      <c r="J355" t="s">
        <v>22</v>
      </c>
      <c r="K355" t="s">
        <v>7518</v>
      </c>
      <c r="L355" t="s">
        <v>545</v>
      </c>
      <c r="M355" t="s">
        <v>19</v>
      </c>
      <c r="N355">
        <v>2</v>
      </c>
      <c r="O355" t="s">
        <v>103</v>
      </c>
      <c r="P355" t="s">
        <v>21</v>
      </c>
      <c r="Q355" t="s">
        <v>30</v>
      </c>
      <c r="R355" t="str">
        <f>VLOOKUP($O355,'Mapa Oficinas'!$A$7:$C$46,2,FALSE)</f>
        <v>CABA</v>
      </c>
      <c r="S355" t="str">
        <f>VLOOKUP($O355,'Mapa Oficinas'!$A$7:$C$46,3,FALSE)</f>
        <v>Barrio Parque</v>
      </c>
    </row>
    <row r="356" spans="1:19" x14ac:dyDescent="0.2">
      <c r="A356" s="1">
        <v>45744</v>
      </c>
      <c r="B356" t="s">
        <v>7521</v>
      </c>
      <c r="D356" t="s">
        <v>1894</v>
      </c>
      <c r="E356" t="s">
        <v>16</v>
      </c>
      <c r="F356" t="s">
        <v>38</v>
      </c>
      <c r="G356" s="14">
        <v>80000</v>
      </c>
      <c r="H356" s="14">
        <v>80000</v>
      </c>
      <c r="I356" t="s">
        <v>22</v>
      </c>
      <c r="J356" t="s">
        <v>22</v>
      </c>
      <c r="K356" t="s">
        <v>1477</v>
      </c>
      <c r="L356" t="s">
        <v>1895</v>
      </c>
      <c r="M356" t="s">
        <v>19</v>
      </c>
      <c r="N356">
        <v>2</v>
      </c>
      <c r="O356" t="s">
        <v>130</v>
      </c>
      <c r="P356" t="s">
        <v>41</v>
      </c>
      <c r="Q356" t="s">
        <v>30</v>
      </c>
      <c r="R356" t="str">
        <f>VLOOKUP($O356,'Mapa Oficinas'!$A$7:$C$46,2,FALSE)</f>
        <v>Interior - Río Negro</v>
      </c>
      <c r="S356" t="str">
        <f>VLOOKUP($O356,'Mapa Oficinas'!$A$7:$C$46,3,FALSE)</f>
        <v>Bariloche</v>
      </c>
    </row>
    <row r="357" spans="1:19" x14ac:dyDescent="0.2">
      <c r="A357" s="1">
        <v>45744</v>
      </c>
      <c r="B357" t="s">
        <v>7519</v>
      </c>
      <c r="D357" t="s">
        <v>1476</v>
      </c>
      <c r="E357" t="s">
        <v>16</v>
      </c>
      <c r="F357" t="s">
        <v>134</v>
      </c>
      <c r="G357" s="14">
        <v>81750</v>
      </c>
      <c r="H357" s="14">
        <v>85020</v>
      </c>
      <c r="I357" t="s">
        <v>22</v>
      </c>
      <c r="J357" t="s">
        <v>22</v>
      </c>
      <c r="K357" t="s">
        <v>294</v>
      </c>
      <c r="L357" t="s">
        <v>136</v>
      </c>
      <c r="M357" t="s">
        <v>19</v>
      </c>
      <c r="N357">
        <v>2</v>
      </c>
      <c r="O357" t="s">
        <v>130</v>
      </c>
      <c r="P357" t="s">
        <v>21</v>
      </c>
      <c r="Q357" t="s">
        <v>30</v>
      </c>
      <c r="R357" t="str">
        <f>VLOOKUP($O357,'Mapa Oficinas'!$A$7:$C$46,2,FALSE)</f>
        <v>Interior - Río Negro</v>
      </c>
      <c r="S357" t="str">
        <f>VLOOKUP($O357,'Mapa Oficinas'!$A$7:$C$46,3,FALSE)</f>
        <v>Bariloche</v>
      </c>
    </row>
    <row r="358" spans="1:19" x14ac:dyDescent="0.2">
      <c r="A358" s="1">
        <v>45744</v>
      </c>
      <c r="B358" t="s">
        <v>7524</v>
      </c>
      <c r="D358" t="s">
        <v>7525</v>
      </c>
      <c r="E358" t="s">
        <v>16</v>
      </c>
      <c r="F358" t="s">
        <v>17</v>
      </c>
      <c r="G358" s="14">
        <v>105000</v>
      </c>
      <c r="H358" s="14">
        <v>100000</v>
      </c>
      <c r="I358" t="s">
        <v>22</v>
      </c>
      <c r="J358" t="s">
        <v>22</v>
      </c>
      <c r="K358" t="s">
        <v>947</v>
      </c>
      <c r="L358" t="s">
        <v>86</v>
      </c>
      <c r="M358" t="s">
        <v>19</v>
      </c>
      <c r="N358">
        <v>2</v>
      </c>
      <c r="O358" t="s">
        <v>142</v>
      </c>
      <c r="P358" t="s">
        <v>276</v>
      </c>
      <c r="Q358" t="s">
        <v>30</v>
      </c>
      <c r="R358" t="str">
        <f>VLOOKUP($O358,'Mapa Oficinas'!$A$7:$C$46,2,FALSE)</f>
        <v>Zona Norte (GBA)</v>
      </c>
      <c r="S358" t="str">
        <f>VLOOKUP($O358,'Mapa Oficinas'!$A$7:$C$46,3,FALSE)</f>
        <v>Nordelta</v>
      </c>
    </row>
    <row r="359" spans="1:19" x14ac:dyDescent="0.2">
      <c r="A359" s="1">
        <v>45744</v>
      </c>
      <c r="B359" t="s">
        <v>7520</v>
      </c>
      <c r="D359" t="s">
        <v>1476</v>
      </c>
      <c r="E359" t="s">
        <v>16</v>
      </c>
      <c r="F359" t="s">
        <v>134</v>
      </c>
      <c r="G359" s="14">
        <v>101370</v>
      </c>
      <c r="H359" s="14">
        <v>101370</v>
      </c>
      <c r="I359" t="s">
        <v>22</v>
      </c>
      <c r="J359" t="s">
        <v>22</v>
      </c>
      <c r="K359" t="s">
        <v>294</v>
      </c>
      <c r="L359" t="s">
        <v>136</v>
      </c>
      <c r="M359" t="s">
        <v>19</v>
      </c>
      <c r="N359">
        <v>2</v>
      </c>
      <c r="O359" t="s">
        <v>130</v>
      </c>
      <c r="P359" t="s">
        <v>41</v>
      </c>
      <c r="Q359" t="s">
        <v>30</v>
      </c>
      <c r="R359" t="str">
        <f>VLOOKUP($O359,'Mapa Oficinas'!$A$7:$C$46,2,FALSE)</f>
        <v>Interior - Río Negro</v>
      </c>
      <c r="S359" t="str">
        <f>VLOOKUP($O359,'Mapa Oficinas'!$A$7:$C$46,3,FALSE)</f>
        <v>Bariloche</v>
      </c>
    </row>
    <row r="360" spans="1:19" x14ac:dyDescent="0.2">
      <c r="A360" s="1">
        <v>45744</v>
      </c>
      <c r="B360">
        <v>10246</v>
      </c>
      <c r="D360" t="s">
        <v>7552</v>
      </c>
      <c r="E360" t="s">
        <v>16</v>
      </c>
      <c r="F360" t="s">
        <v>17</v>
      </c>
      <c r="G360" s="14">
        <v>0</v>
      </c>
      <c r="H360" s="14">
        <v>106000</v>
      </c>
      <c r="I360" t="s">
        <v>22</v>
      </c>
      <c r="J360" t="s">
        <v>22</v>
      </c>
      <c r="L360" t="s">
        <v>205</v>
      </c>
      <c r="M360" t="s">
        <v>19</v>
      </c>
      <c r="N360">
        <v>2</v>
      </c>
      <c r="O360" t="s">
        <v>103</v>
      </c>
      <c r="P360" t="s">
        <v>36</v>
      </c>
      <c r="Q360" t="s">
        <v>30</v>
      </c>
      <c r="R360" t="str">
        <f>VLOOKUP($O360,'Mapa Oficinas'!$A$7:$C$46,2,FALSE)</f>
        <v>CABA</v>
      </c>
      <c r="S360" t="str">
        <f>VLOOKUP($O360,'Mapa Oficinas'!$A$7:$C$46,3,FALSE)</f>
        <v>Barrio Parque</v>
      </c>
    </row>
    <row r="361" spans="1:19" x14ac:dyDescent="0.2">
      <c r="A361" s="1">
        <v>45744</v>
      </c>
      <c r="B361" t="s">
        <v>7526</v>
      </c>
      <c r="D361" t="s">
        <v>7527</v>
      </c>
      <c r="E361" t="s">
        <v>16</v>
      </c>
      <c r="F361" t="s">
        <v>17</v>
      </c>
      <c r="G361" s="14">
        <v>130000</v>
      </c>
      <c r="H361" s="14">
        <v>120000</v>
      </c>
      <c r="I361" t="s">
        <v>22</v>
      </c>
      <c r="J361" t="s">
        <v>22</v>
      </c>
      <c r="K361" t="s">
        <v>7528</v>
      </c>
      <c r="L361" t="s">
        <v>2434</v>
      </c>
      <c r="M361" t="s">
        <v>19</v>
      </c>
      <c r="N361">
        <v>2</v>
      </c>
      <c r="O361" t="s">
        <v>142</v>
      </c>
      <c r="P361" t="s">
        <v>276</v>
      </c>
      <c r="Q361" t="s">
        <v>30</v>
      </c>
      <c r="R361" t="str">
        <f>VLOOKUP($O361,'Mapa Oficinas'!$A$7:$C$46,2,FALSE)</f>
        <v>Zona Norte (GBA)</v>
      </c>
      <c r="S361" t="str">
        <f>VLOOKUP($O361,'Mapa Oficinas'!$A$7:$C$46,3,FALSE)</f>
        <v>Nordelta</v>
      </c>
    </row>
    <row r="362" spans="1:19" x14ac:dyDescent="0.2">
      <c r="A362" s="1">
        <v>45744</v>
      </c>
      <c r="B362" t="s">
        <v>7535</v>
      </c>
      <c r="D362" t="s">
        <v>7536</v>
      </c>
      <c r="E362" t="s">
        <v>16</v>
      </c>
      <c r="F362" t="s">
        <v>17</v>
      </c>
      <c r="G362" s="14">
        <v>139000</v>
      </c>
      <c r="H362" s="14">
        <v>130000</v>
      </c>
      <c r="I362" t="s">
        <v>22</v>
      </c>
      <c r="J362" t="s">
        <v>22</v>
      </c>
      <c r="K362" t="s">
        <v>7537</v>
      </c>
      <c r="L362" t="s">
        <v>79</v>
      </c>
      <c r="M362" t="s">
        <v>19</v>
      </c>
      <c r="N362">
        <v>2</v>
      </c>
      <c r="O362" t="s">
        <v>201</v>
      </c>
      <c r="P362" t="s">
        <v>36</v>
      </c>
      <c r="Q362" t="s">
        <v>30</v>
      </c>
      <c r="R362" t="str">
        <f>VLOOKUP($O362,'Mapa Oficinas'!$A$7:$C$46,2,FALSE)</f>
        <v>CABA</v>
      </c>
      <c r="S362" t="str">
        <f>VLOOKUP($O362,'Mapa Oficinas'!$A$7:$C$46,3,FALSE)</f>
        <v>Recoleta</v>
      </c>
    </row>
    <row r="363" spans="1:19" x14ac:dyDescent="0.2">
      <c r="A363" s="1">
        <v>45744</v>
      </c>
      <c r="B363" t="s">
        <v>7549</v>
      </c>
      <c r="D363" t="s">
        <v>7550</v>
      </c>
      <c r="E363" t="s">
        <v>16</v>
      </c>
      <c r="F363" t="s">
        <v>47</v>
      </c>
      <c r="G363" s="14">
        <v>156000</v>
      </c>
      <c r="H363" s="14">
        <v>154000</v>
      </c>
      <c r="I363" t="s">
        <v>22</v>
      </c>
      <c r="J363" t="s">
        <v>22</v>
      </c>
      <c r="K363" t="s">
        <v>7551</v>
      </c>
      <c r="L363" t="s">
        <v>258</v>
      </c>
      <c r="M363" t="s">
        <v>28</v>
      </c>
      <c r="N363">
        <v>2</v>
      </c>
      <c r="O363" t="s">
        <v>40</v>
      </c>
      <c r="P363" t="s">
        <v>21</v>
      </c>
      <c r="Q363" t="s">
        <v>30</v>
      </c>
      <c r="R363" t="str">
        <f>VLOOKUP($O363,'Mapa Oficinas'!$A$7:$C$46,2,FALSE)</f>
        <v>Zona Norte (GBA)</v>
      </c>
      <c r="S363" t="str">
        <f>VLOOKUP($O363,'Mapa Oficinas'!$A$7:$C$46,3,FALSE)</f>
        <v>Pilar</v>
      </c>
    </row>
    <row r="364" spans="1:19" x14ac:dyDescent="0.2">
      <c r="A364" s="1">
        <v>45744</v>
      </c>
      <c r="B364">
        <v>10327</v>
      </c>
      <c r="D364" t="s">
        <v>7548</v>
      </c>
      <c r="E364" t="s">
        <v>16</v>
      </c>
      <c r="F364" t="s">
        <v>17</v>
      </c>
      <c r="G364" s="14">
        <v>0</v>
      </c>
      <c r="H364" s="14">
        <v>173000</v>
      </c>
      <c r="I364" t="s">
        <v>22</v>
      </c>
      <c r="J364" t="s">
        <v>22</v>
      </c>
      <c r="L364" t="s">
        <v>282</v>
      </c>
      <c r="M364" t="s">
        <v>19</v>
      </c>
      <c r="N364">
        <v>2</v>
      </c>
      <c r="O364" t="s">
        <v>103</v>
      </c>
      <c r="P364" t="s">
        <v>21</v>
      </c>
      <c r="Q364" t="s">
        <v>30</v>
      </c>
      <c r="R364" t="str">
        <f>VLOOKUP($O364,'Mapa Oficinas'!$A$7:$C$46,2,FALSE)</f>
        <v>CABA</v>
      </c>
      <c r="S364" t="str">
        <f>VLOOKUP($O364,'Mapa Oficinas'!$A$7:$C$46,3,FALSE)</f>
        <v>Barrio Parque</v>
      </c>
    </row>
    <row r="365" spans="1:19" x14ac:dyDescent="0.2">
      <c r="A365" s="1">
        <v>45744</v>
      </c>
      <c r="B365" t="s">
        <v>7513</v>
      </c>
      <c r="D365" t="s">
        <v>7514</v>
      </c>
      <c r="E365" t="s">
        <v>16</v>
      </c>
      <c r="F365" t="s">
        <v>17</v>
      </c>
      <c r="G365" s="14">
        <v>250000</v>
      </c>
      <c r="H365" s="14">
        <v>245000</v>
      </c>
      <c r="I365" t="s">
        <v>22</v>
      </c>
      <c r="J365" t="s">
        <v>22</v>
      </c>
      <c r="K365" t="s">
        <v>7515</v>
      </c>
      <c r="L365" t="s">
        <v>1634</v>
      </c>
      <c r="M365" t="s">
        <v>19</v>
      </c>
      <c r="N365">
        <v>2</v>
      </c>
      <c r="O365" t="s">
        <v>103</v>
      </c>
      <c r="P365" t="s">
        <v>21</v>
      </c>
      <c r="Q365" t="s">
        <v>30</v>
      </c>
      <c r="R365" t="str">
        <f>VLOOKUP($O365,'Mapa Oficinas'!$A$7:$C$46,2,FALSE)</f>
        <v>CABA</v>
      </c>
      <c r="S365" t="str">
        <f>VLOOKUP($O365,'Mapa Oficinas'!$A$7:$C$46,3,FALSE)</f>
        <v>Barrio Parque</v>
      </c>
    </row>
    <row r="366" spans="1:19" x14ac:dyDescent="0.2">
      <c r="A366" s="1">
        <v>45744</v>
      </c>
      <c r="B366" t="s">
        <v>7545</v>
      </c>
      <c r="D366" t="s">
        <v>7546</v>
      </c>
      <c r="E366" t="s">
        <v>16</v>
      </c>
      <c r="F366" t="s">
        <v>17</v>
      </c>
      <c r="G366" s="14">
        <v>265000</v>
      </c>
      <c r="H366" s="14">
        <v>280000</v>
      </c>
      <c r="I366" t="s">
        <v>22</v>
      </c>
      <c r="J366" t="s">
        <v>22</v>
      </c>
      <c r="K366" t="s">
        <v>7547</v>
      </c>
      <c r="L366" t="s">
        <v>102</v>
      </c>
      <c r="M366" t="s">
        <v>19</v>
      </c>
      <c r="N366">
        <v>2</v>
      </c>
      <c r="O366" t="s">
        <v>103</v>
      </c>
      <c r="P366" t="s">
        <v>276</v>
      </c>
      <c r="Q366" t="s">
        <v>30</v>
      </c>
      <c r="R366" t="str">
        <f>VLOOKUP($O366,'Mapa Oficinas'!$A$7:$C$46,2,FALSE)</f>
        <v>CABA</v>
      </c>
      <c r="S366" t="str">
        <f>VLOOKUP($O366,'Mapa Oficinas'!$A$7:$C$46,3,FALSE)</f>
        <v>Barrio Parque</v>
      </c>
    </row>
    <row r="367" spans="1:19" x14ac:dyDescent="0.2">
      <c r="A367" s="1">
        <v>45744</v>
      </c>
      <c r="B367" t="s">
        <v>7522</v>
      </c>
      <c r="D367" t="s">
        <v>293</v>
      </c>
      <c r="E367" t="s">
        <v>16</v>
      </c>
      <c r="F367" t="s">
        <v>184</v>
      </c>
      <c r="G367" s="14">
        <v>292599</v>
      </c>
      <c r="H367" s="14">
        <v>292500</v>
      </c>
      <c r="I367" t="s">
        <v>22</v>
      </c>
      <c r="J367" t="s">
        <v>22</v>
      </c>
      <c r="K367" t="s">
        <v>294</v>
      </c>
      <c r="L367" t="s">
        <v>136</v>
      </c>
      <c r="M367" t="s">
        <v>19</v>
      </c>
      <c r="N367">
        <v>2</v>
      </c>
      <c r="O367" t="s">
        <v>130</v>
      </c>
      <c r="P367" t="s">
        <v>41</v>
      </c>
      <c r="Q367" t="s">
        <v>30</v>
      </c>
      <c r="R367" t="str">
        <f>VLOOKUP($O367,'Mapa Oficinas'!$A$7:$C$46,2,FALSE)</f>
        <v>Interior - Río Negro</v>
      </c>
      <c r="S367" t="str">
        <f>VLOOKUP($O367,'Mapa Oficinas'!$A$7:$C$46,3,FALSE)</f>
        <v>Bariloche</v>
      </c>
    </row>
    <row r="368" spans="1:19" x14ac:dyDescent="0.2">
      <c r="A368" s="1">
        <v>45744</v>
      </c>
      <c r="B368" t="s">
        <v>7523</v>
      </c>
      <c r="D368" t="s">
        <v>7523</v>
      </c>
      <c r="E368" t="s">
        <v>16</v>
      </c>
      <c r="F368" t="s">
        <v>17</v>
      </c>
      <c r="G368" s="14">
        <v>500000</v>
      </c>
      <c r="H368" s="14">
        <v>500000</v>
      </c>
      <c r="I368" t="s">
        <v>22</v>
      </c>
      <c r="J368" t="s">
        <v>22</v>
      </c>
      <c r="K368" t="s">
        <v>7523</v>
      </c>
      <c r="L368" t="s">
        <v>111</v>
      </c>
      <c r="M368" t="s">
        <v>97</v>
      </c>
      <c r="N368">
        <v>2</v>
      </c>
      <c r="O368" t="s">
        <v>35</v>
      </c>
      <c r="P368" t="s">
        <v>21</v>
      </c>
      <c r="Q368" t="s">
        <v>30</v>
      </c>
      <c r="R368" t="str">
        <f>VLOOKUP($O368,'Mapa Oficinas'!$A$7:$C$46,2,FALSE)</f>
        <v>Zona Norte (GBA)</v>
      </c>
      <c r="S368" t="str">
        <f>VLOOKUP($O368,'Mapa Oficinas'!$A$7:$C$46,3,FALSE)</f>
        <v>Vicente López</v>
      </c>
    </row>
    <row r="369" spans="1:19" x14ac:dyDescent="0.2">
      <c r="A369" s="1">
        <v>45747</v>
      </c>
      <c r="B369" t="s">
        <v>7494</v>
      </c>
      <c r="D369" t="s">
        <v>7495</v>
      </c>
      <c r="E369" t="s">
        <v>16</v>
      </c>
      <c r="F369" t="s">
        <v>17</v>
      </c>
      <c r="G369" s="14">
        <v>57000</v>
      </c>
      <c r="H369" s="14">
        <v>52000</v>
      </c>
      <c r="I369" t="s">
        <v>22</v>
      </c>
      <c r="J369" t="s">
        <v>22</v>
      </c>
      <c r="K369" t="s">
        <v>7496</v>
      </c>
      <c r="L369" t="s">
        <v>1827</v>
      </c>
      <c r="M369" t="s">
        <v>28</v>
      </c>
      <c r="N369">
        <v>2</v>
      </c>
      <c r="O369" t="s">
        <v>151</v>
      </c>
      <c r="P369" t="s">
        <v>21</v>
      </c>
      <c r="Q369" t="s">
        <v>30</v>
      </c>
      <c r="R369" t="str">
        <f>VLOOKUP($O369,'Mapa Oficinas'!$A$7:$C$46,2,FALSE)</f>
        <v>Interior - Neuquén</v>
      </c>
      <c r="S369" t="str">
        <f>VLOOKUP($O369,'Mapa Oficinas'!$A$7:$C$46,3,FALSE)</f>
        <v>Capital Neuquén</v>
      </c>
    </row>
    <row r="370" spans="1:19" x14ac:dyDescent="0.2">
      <c r="A370" s="1">
        <v>45747</v>
      </c>
      <c r="B370" t="s">
        <v>7491</v>
      </c>
      <c r="D370" t="s">
        <v>7492</v>
      </c>
      <c r="E370" t="s">
        <v>16</v>
      </c>
      <c r="F370" t="s">
        <v>17</v>
      </c>
      <c r="G370" s="14">
        <v>60000</v>
      </c>
      <c r="H370" s="14">
        <v>60000</v>
      </c>
      <c r="I370" t="s">
        <v>22</v>
      </c>
      <c r="J370" t="s">
        <v>22</v>
      </c>
      <c r="K370" t="s">
        <v>7493</v>
      </c>
      <c r="L370" t="s">
        <v>679</v>
      </c>
      <c r="M370" t="s">
        <v>28</v>
      </c>
      <c r="N370">
        <v>2</v>
      </c>
      <c r="O370" t="s">
        <v>151</v>
      </c>
      <c r="P370" t="s">
        <v>21</v>
      </c>
      <c r="Q370" t="s">
        <v>30</v>
      </c>
      <c r="R370" t="str">
        <f>VLOOKUP($O370,'Mapa Oficinas'!$A$7:$C$46,2,FALSE)</f>
        <v>Interior - Neuquén</v>
      </c>
      <c r="S370" t="str">
        <f>VLOOKUP($O370,'Mapa Oficinas'!$A$7:$C$46,3,FALSE)</f>
        <v>Capital Neuquén</v>
      </c>
    </row>
    <row r="371" spans="1:19" x14ac:dyDescent="0.2">
      <c r="A371" s="1">
        <v>45747</v>
      </c>
      <c r="B371" t="s">
        <v>7490</v>
      </c>
      <c r="D371" t="s">
        <v>7490</v>
      </c>
      <c r="E371" t="s">
        <v>16</v>
      </c>
      <c r="F371" t="s">
        <v>17</v>
      </c>
      <c r="G371" s="14">
        <v>62000</v>
      </c>
      <c r="H371" s="14">
        <v>62000</v>
      </c>
      <c r="I371" t="s">
        <v>22</v>
      </c>
      <c r="J371" t="s">
        <v>22</v>
      </c>
      <c r="K371" t="s">
        <v>7490</v>
      </c>
      <c r="L371" t="s">
        <v>330</v>
      </c>
      <c r="M371" t="s">
        <v>19</v>
      </c>
      <c r="N371">
        <v>2</v>
      </c>
      <c r="O371" t="s">
        <v>35</v>
      </c>
      <c r="P371" t="s">
        <v>21</v>
      </c>
      <c r="Q371" t="s">
        <v>30</v>
      </c>
      <c r="R371" t="str">
        <f>VLOOKUP($O371,'Mapa Oficinas'!$A$7:$C$46,2,FALSE)</f>
        <v>Zona Norte (GBA)</v>
      </c>
      <c r="S371" t="str">
        <f>VLOOKUP($O371,'Mapa Oficinas'!$A$7:$C$46,3,FALSE)</f>
        <v>Vicente López</v>
      </c>
    </row>
    <row r="372" spans="1:19" x14ac:dyDescent="0.2">
      <c r="A372" s="1">
        <v>45747</v>
      </c>
      <c r="B372" t="s">
        <v>7483</v>
      </c>
      <c r="D372" t="s">
        <v>7484</v>
      </c>
      <c r="E372" t="s">
        <v>16</v>
      </c>
      <c r="F372" t="s">
        <v>17</v>
      </c>
      <c r="G372" s="14">
        <v>69000</v>
      </c>
      <c r="H372" s="14">
        <v>64000</v>
      </c>
      <c r="I372" t="s">
        <v>22</v>
      </c>
      <c r="J372" t="s">
        <v>22</v>
      </c>
      <c r="K372" t="s">
        <v>7485</v>
      </c>
      <c r="L372" t="s">
        <v>2939</v>
      </c>
      <c r="M372" t="s">
        <v>72</v>
      </c>
      <c r="N372">
        <v>2</v>
      </c>
      <c r="O372" t="s">
        <v>50</v>
      </c>
      <c r="P372" t="s">
        <v>41</v>
      </c>
      <c r="Q372" t="s">
        <v>30</v>
      </c>
      <c r="R372" t="str">
        <f>VLOOKUP($O372,'Mapa Oficinas'!$A$7:$C$46,2,FALSE)</f>
        <v>CABA</v>
      </c>
      <c r="S372" t="str">
        <f>VLOOKUP($O372,'Mapa Oficinas'!$A$7:$C$46,3,FALSE)</f>
        <v>Villa Urquiza</v>
      </c>
    </row>
    <row r="373" spans="1:19" x14ac:dyDescent="0.2">
      <c r="A373" s="1">
        <v>45747</v>
      </c>
      <c r="B373" t="s">
        <v>7489</v>
      </c>
      <c r="D373" t="s">
        <v>7489</v>
      </c>
      <c r="E373" t="s">
        <v>16</v>
      </c>
      <c r="F373" t="s">
        <v>58</v>
      </c>
      <c r="G373" s="14">
        <v>76500</v>
      </c>
      <c r="H373" s="14">
        <v>76500</v>
      </c>
      <c r="I373" t="s">
        <v>22</v>
      </c>
      <c r="J373" t="s">
        <v>22</v>
      </c>
      <c r="K373" t="s">
        <v>7489</v>
      </c>
      <c r="L373" t="s">
        <v>523</v>
      </c>
      <c r="M373" t="s">
        <v>19</v>
      </c>
      <c r="N373">
        <v>2</v>
      </c>
      <c r="O373" t="s">
        <v>35</v>
      </c>
      <c r="P373" t="s">
        <v>21</v>
      </c>
      <c r="Q373" t="s">
        <v>30</v>
      </c>
      <c r="R373" t="str">
        <f>VLOOKUP($O373,'Mapa Oficinas'!$A$7:$C$46,2,FALSE)</f>
        <v>Zona Norte (GBA)</v>
      </c>
      <c r="S373" t="str">
        <f>VLOOKUP($O373,'Mapa Oficinas'!$A$7:$C$46,3,FALSE)</f>
        <v>Vicente López</v>
      </c>
    </row>
    <row r="374" spans="1:19" x14ac:dyDescent="0.2">
      <c r="A374" s="1">
        <v>45747</v>
      </c>
      <c r="B374" t="s">
        <v>7506</v>
      </c>
      <c r="D374" t="s">
        <v>7507</v>
      </c>
      <c r="E374" t="s">
        <v>16</v>
      </c>
      <c r="F374" t="s">
        <v>17</v>
      </c>
      <c r="G374" s="14">
        <v>82000</v>
      </c>
      <c r="H374" s="14">
        <v>80500</v>
      </c>
      <c r="I374" t="s">
        <v>22</v>
      </c>
      <c r="J374" t="s">
        <v>22</v>
      </c>
      <c r="K374" t="s">
        <v>6400</v>
      </c>
      <c r="L374" t="s">
        <v>318</v>
      </c>
      <c r="M374" t="s">
        <v>19</v>
      </c>
      <c r="N374">
        <v>2</v>
      </c>
      <c r="O374" t="s">
        <v>50</v>
      </c>
      <c r="P374" t="s">
        <v>21</v>
      </c>
      <c r="Q374" t="s">
        <v>30</v>
      </c>
      <c r="R374" t="str">
        <f>VLOOKUP($O374,'Mapa Oficinas'!$A$7:$C$46,2,FALSE)</f>
        <v>CABA</v>
      </c>
      <c r="S374" t="str">
        <f>VLOOKUP($O374,'Mapa Oficinas'!$A$7:$C$46,3,FALSE)</f>
        <v>Villa Urquiza</v>
      </c>
    </row>
    <row r="375" spans="1:19" x14ac:dyDescent="0.2">
      <c r="A375" s="1">
        <v>45747</v>
      </c>
      <c r="B375" t="s">
        <v>7497</v>
      </c>
      <c r="D375" t="s">
        <v>7498</v>
      </c>
      <c r="E375" t="s">
        <v>16</v>
      </c>
      <c r="F375" t="s">
        <v>17</v>
      </c>
      <c r="G375" s="14">
        <v>110000</v>
      </c>
      <c r="H375" s="14">
        <v>110000</v>
      </c>
      <c r="I375" t="s">
        <v>22</v>
      </c>
      <c r="J375" t="s">
        <v>22</v>
      </c>
      <c r="K375" t="s">
        <v>7499</v>
      </c>
      <c r="L375" t="s">
        <v>1598</v>
      </c>
      <c r="M375" t="s">
        <v>28</v>
      </c>
      <c r="N375">
        <v>2</v>
      </c>
      <c r="O375" t="s">
        <v>151</v>
      </c>
      <c r="P375" t="s">
        <v>21</v>
      </c>
      <c r="Q375" t="s">
        <v>30</v>
      </c>
      <c r="R375" t="str">
        <f>VLOOKUP($O375,'Mapa Oficinas'!$A$7:$C$46,2,FALSE)</f>
        <v>Interior - Neuquén</v>
      </c>
      <c r="S375" t="str">
        <f>VLOOKUP($O375,'Mapa Oficinas'!$A$7:$C$46,3,FALSE)</f>
        <v>Capital Neuquén</v>
      </c>
    </row>
    <row r="376" spans="1:19" x14ac:dyDescent="0.2">
      <c r="A376" s="1">
        <v>45747</v>
      </c>
      <c r="B376" t="s">
        <v>7503</v>
      </c>
      <c r="D376" t="s">
        <v>7504</v>
      </c>
      <c r="E376" t="s">
        <v>16</v>
      </c>
      <c r="F376" t="s">
        <v>17</v>
      </c>
      <c r="G376" s="14">
        <v>150000</v>
      </c>
      <c r="H376" s="14">
        <v>120000</v>
      </c>
      <c r="I376" t="s">
        <v>22</v>
      </c>
      <c r="J376" t="s">
        <v>22</v>
      </c>
      <c r="K376" t="s">
        <v>7505</v>
      </c>
      <c r="L376" t="s">
        <v>679</v>
      </c>
      <c r="M376" t="s">
        <v>19</v>
      </c>
      <c r="N376">
        <v>2</v>
      </c>
      <c r="O376" t="s">
        <v>151</v>
      </c>
      <c r="P376" t="s">
        <v>41</v>
      </c>
      <c r="Q376" t="s">
        <v>30</v>
      </c>
      <c r="R376" t="str">
        <f>VLOOKUP($O376,'Mapa Oficinas'!$A$7:$C$46,2,FALSE)</f>
        <v>Interior - Neuquén</v>
      </c>
      <c r="S376" t="str">
        <f>VLOOKUP($O376,'Mapa Oficinas'!$A$7:$C$46,3,FALSE)</f>
        <v>Capital Neuquén</v>
      </c>
    </row>
    <row r="377" spans="1:19" x14ac:dyDescent="0.2">
      <c r="A377" s="1">
        <v>45747</v>
      </c>
      <c r="B377" t="s">
        <v>7482</v>
      </c>
      <c r="D377" t="s">
        <v>7482</v>
      </c>
      <c r="E377" t="s">
        <v>16</v>
      </c>
      <c r="F377" t="s">
        <v>17</v>
      </c>
      <c r="G377" s="14">
        <v>145000</v>
      </c>
      <c r="H377" s="14">
        <v>145000</v>
      </c>
      <c r="I377" t="s">
        <v>22</v>
      </c>
      <c r="J377" t="s">
        <v>22</v>
      </c>
      <c r="K377" t="s">
        <v>7482</v>
      </c>
      <c r="L377" t="s">
        <v>523</v>
      </c>
      <c r="M377" t="s">
        <v>19</v>
      </c>
      <c r="N377">
        <v>2</v>
      </c>
      <c r="O377" t="s">
        <v>50</v>
      </c>
      <c r="P377" t="s">
        <v>21</v>
      </c>
      <c r="Q377" t="s">
        <v>30</v>
      </c>
      <c r="R377" t="str">
        <f>VLOOKUP($O377,'Mapa Oficinas'!$A$7:$C$46,2,FALSE)</f>
        <v>CABA</v>
      </c>
      <c r="S377" t="str">
        <f>VLOOKUP($O377,'Mapa Oficinas'!$A$7:$C$46,3,FALSE)</f>
        <v>Villa Urquiza</v>
      </c>
    </row>
    <row r="378" spans="1:19" x14ac:dyDescent="0.2">
      <c r="A378" s="1">
        <v>45747</v>
      </c>
      <c r="B378" t="s">
        <v>420</v>
      </c>
      <c r="D378" t="s">
        <v>7480</v>
      </c>
      <c r="E378" t="s">
        <v>16</v>
      </c>
      <c r="F378" t="s">
        <v>17</v>
      </c>
      <c r="G378" s="14">
        <v>168000</v>
      </c>
      <c r="H378" s="14">
        <v>168000</v>
      </c>
      <c r="I378" t="s">
        <v>22</v>
      </c>
      <c r="J378" t="s">
        <v>22</v>
      </c>
      <c r="K378" t="s">
        <v>7481</v>
      </c>
      <c r="L378" t="s">
        <v>277</v>
      </c>
      <c r="M378" t="s">
        <v>19</v>
      </c>
      <c r="N378">
        <v>1</v>
      </c>
      <c r="O378" t="s">
        <v>252</v>
      </c>
      <c r="P378" t="s">
        <v>146</v>
      </c>
      <c r="Q378" t="s">
        <v>30</v>
      </c>
      <c r="R378" t="str">
        <f>VLOOKUP($O378,'Mapa Oficinas'!$A$7:$C$46,2,FALSE)</f>
        <v>CABA</v>
      </c>
      <c r="S378" t="str">
        <f>VLOOKUP($O378,'Mapa Oficinas'!$A$7:$C$46,3,FALSE)</f>
        <v>Belgrano</v>
      </c>
    </row>
    <row r="379" spans="1:19" x14ac:dyDescent="0.2">
      <c r="A379" s="1">
        <v>45747</v>
      </c>
      <c r="B379" t="s">
        <v>7508</v>
      </c>
      <c r="D379" t="s">
        <v>7509</v>
      </c>
      <c r="E379" t="s">
        <v>16</v>
      </c>
      <c r="F379" t="s">
        <v>17</v>
      </c>
      <c r="G379" s="14">
        <v>229000</v>
      </c>
      <c r="H379" s="14">
        <v>199000</v>
      </c>
      <c r="I379" t="s">
        <v>22</v>
      </c>
      <c r="J379" t="s">
        <v>22</v>
      </c>
      <c r="K379" t="s">
        <v>7510</v>
      </c>
      <c r="L379" t="s">
        <v>205</v>
      </c>
      <c r="M379" t="s">
        <v>19</v>
      </c>
      <c r="N379">
        <v>2</v>
      </c>
      <c r="O379" t="s">
        <v>20</v>
      </c>
      <c r="P379" t="s">
        <v>21</v>
      </c>
      <c r="Q379" t="s">
        <v>30</v>
      </c>
      <c r="R379" t="str">
        <f>VLOOKUP($O379,'Mapa Oficinas'!$A$7:$C$46,2,FALSE)</f>
        <v>CABA</v>
      </c>
      <c r="S379" t="str">
        <f>VLOOKUP($O379,'Mapa Oficinas'!$A$7:$C$46,3,FALSE)</f>
        <v>Palermo</v>
      </c>
    </row>
    <row r="380" spans="1:19" x14ac:dyDescent="0.2">
      <c r="A380" s="1">
        <v>45747</v>
      </c>
      <c r="B380" t="s">
        <v>7486</v>
      </c>
      <c r="D380" t="s">
        <v>7487</v>
      </c>
      <c r="E380" t="s">
        <v>16</v>
      </c>
      <c r="F380" t="s">
        <v>47</v>
      </c>
      <c r="G380" s="14">
        <v>260000</v>
      </c>
      <c r="H380" s="14">
        <v>248400</v>
      </c>
      <c r="I380" t="s">
        <v>22</v>
      </c>
      <c r="J380" t="s">
        <v>22</v>
      </c>
      <c r="K380" t="s">
        <v>7488</v>
      </c>
      <c r="L380" t="s">
        <v>79</v>
      </c>
      <c r="M380" t="s">
        <v>19</v>
      </c>
      <c r="N380">
        <v>2</v>
      </c>
      <c r="O380" t="s">
        <v>201</v>
      </c>
      <c r="P380" t="s">
        <v>21</v>
      </c>
      <c r="Q380" t="s">
        <v>30</v>
      </c>
      <c r="R380" t="str">
        <f>VLOOKUP($O380,'Mapa Oficinas'!$A$7:$C$46,2,FALSE)</f>
        <v>CABA</v>
      </c>
      <c r="S380" t="str">
        <f>VLOOKUP($O380,'Mapa Oficinas'!$A$7:$C$46,3,FALSE)</f>
        <v>Recoleta</v>
      </c>
    </row>
    <row r="381" spans="1:19" x14ac:dyDescent="0.2">
      <c r="A381" s="1">
        <v>45747</v>
      </c>
      <c r="B381" t="s">
        <v>7477</v>
      </c>
      <c r="D381" t="s">
        <v>7478</v>
      </c>
      <c r="E381" t="s">
        <v>16</v>
      </c>
      <c r="F381" t="s">
        <v>134</v>
      </c>
      <c r="G381" s="14">
        <v>470000</v>
      </c>
      <c r="H381" s="14">
        <v>400000</v>
      </c>
      <c r="I381" t="s">
        <v>22</v>
      </c>
      <c r="J381" t="s">
        <v>22</v>
      </c>
      <c r="K381" t="s">
        <v>7479</v>
      </c>
      <c r="L381" t="s">
        <v>700</v>
      </c>
      <c r="M381" t="s">
        <v>19</v>
      </c>
      <c r="N381">
        <v>2</v>
      </c>
      <c r="O381" t="s">
        <v>206</v>
      </c>
      <c r="P381" t="s">
        <v>21</v>
      </c>
      <c r="Q381" t="s">
        <v>30</v>
      </c>
      <c r="R381" t="str">
        <f>VLOOKUP($O381,'Mapa Oficinas'!$A$7:$C$46,2,FALSE)</f>
        <v>CABA</v>
      </c>
      <c r="S381" t="str">
        <f>VLOOKUP($O381,'Mapa Oficinas'!$A$7:$C$46,3,FALSE)</f>
        <v>Belgrano</v>
      </c>
    </row>
    <row r="382" spans="1:19" x14ac:dyDescent="0.2">
      <c r="A382" s="1">
        <v>45747</v>
      </c>
      <c r="B382">
        <v>10313</v>
      </c>
      <c r="D382" t="s">
        <v>6338</v>
      </c>
      <c r="E382" t="s">
        <v>16</v>
      </c>
      <c r="F382" t="s">
        <v>127</v>
      </c>
      <c r="G382" s="14">
        <v>0</v>
      </c>
      <c r="H382" s="14">
        <v>900000</v>
      </c>
      <c r="I382" t="s">
        <v>22</v>
      </c>
      <c r="J382" t="s">
        <v>22</v>
      </c>
      <c r="L382" t="s">
        <v>222</v>
      </c>
      <c r="M382" t="s">
        <v>28</v>
      </c>
      <c r="N382">
        <v>2</v>
      </c>
      <c r="O382" t="s">
        <v>103</v>
      </c>
      <c r="P382" t="s">
        <v>21</v>
      </c>
      <c r="Q382" t="s">
        <v>30</v>
      </c>
      <c r="R382" t="str">
        <f>VLOOKUP($O382,'Mapa Oficinas'!$A$7:$C$46,2,FALSE)</f>
        <v>CABA</v>
      </c>
      <c r="S382" t="str">
        <f>VLOOKUP($O382,'Mapa Oficinas'!$A$7:$C$46,3,FALSE)</f>
        <v>Barrio Parque</v>
      </c>
    </row>
    <row r="383" spans="1:19" x14ac:dyDescent="0.2">
      <c r="A383" s="1">
        <v>45748</v>
      </c>
      <c r="B383" t="s">
        <v>7472</v>
      </c>
      <c r="D383" t="s">
        <v>7473</v>
      </c>
      <c r="E383" t="s">
        <v>16</v>
      </c>
      <c r="F383" t="s">
        <v>17</v>
      </c>
      <c r="G383" s="14">
        <v>60000</v>
      </c>
      <c r="H383" s="14">
        <v>50000</v>
      </c>
      <c r="I383" t="s">
        <v>22</v>
      </c>
      <c r="J383" t="s">
        <v>22</v>
      </c>
      <c r="K383" t="s">
        <v>7430</v>
      </c>
      <c r="L383" t="s">
        <v>856</v>
      </c>
      <c r="M383" t="s">
        <v>19</v>
      </c>
      <c r="N383">
        <v>2</v>
      </c>
      <c r="O383" t="s">
        <v>35</v>
      </c>
      <c r="P383" t="s">
        <v>21</v>
      </c>
      <c r="Q383" t="s">
        <v>30</v>
      </c>
      <c r="R383" t="str">
        <f>VLOOKUP($O383,'Mapa Oficinas'!$A$7:$C$46,2,FALSE)</f>
        <v>Zona Norte (GBA)</v>
      </c>
      <c r="S383" t="str">
        <f>VLOOKUP($O383,'Mapa Oficinas'!$A$7:$C$46,3,FALSE)</f>
        <v>Vicente López</v>
      </c>
    </row>
    <row r="384" spans="1:19" x14ac:dyDescent="0.2">
      <c r="A384" s="1">
        <v>45748</v>
      </c>
      <c r="B384" t="s">
        <v>7455</v>
      </c>
      <c r="D384" t="s">
        <v>7456</v>
      </c>
      <c r="E384" t="s">
        <v>16</v>
      </c>
      <c r="F384" t="s">
        <v>17</v>
      </c>
      <c r="G384" s="14">
        <v>83000</v>
      </c>
      <c r="H384" s="14">
        <v>80000</v>
      </c>
      <c r="I384" t="s">
        <v>22</v>
      </c>
      <c r="J384" t="s">
        <v>22</v>
      </c>
      <c r="K384" t="s">
        <v>7457</v>
      </c>
      <c r="L384" t="s">
        <v>71</v>
      </c>
      <c r="M384" t="s">
        <v>19</v>
      </c>
      <c r="N384">
        <v>2</v>
      </c>
      <c r="O384" t="s">
        <v>142</v>
      </c>
      <c r="P384" t="s">
        <v>21</v>
      </c>
      <c r="Q384" t="s">
        <v>30</v>
      </c>
      <c r="R384" t="str">
        <f>VLOOKUP($O384,'Mapa Oficinas'!$A$7:$C$46,2,FALSE)</f>
        <v>Zona Norte (GBA)</v>
      </c>
      <c r="S384" t="str">
        <f>VLOOKUP($O384,'Mapa Oficinas'!$A$7:$C$46,3,FALSE)</f>
        <v>Nordelta</v>
      </c>
    </row>
    <row r="385" spans="1:19" x14ac:dyDescent="0.2">
      <c r="A385" s="1">
        <v>45748</v>
      </c>
      <c r="B385" t="s">
        <v>7474</v>
      </c>
      <c r="D385" t="s">
        <v>7475</v>
      </c>
      <c r="E385" t="s">
        <v>16</v>
      </c>
      <c r="F385" t="s">
        <v>17</v>
      </c>
      <c r="G385" s="14">
        <v>130000</v>
      </c>
      <c r="H385" s="14">
        <v>130000</v>
      </c>
      <c r="I385" t="s">
        <v>22</v>
      </c>
      <c r="J385" t="s">
        <v>22</v>
      </c>
      <c r="K385" t="s">
        <v>7476</v>
      </c>
      <c r="L385" t="s">
        <v>79</v>
      </c>
      <c r="M385" t="s">
        <v>19</v>
      </c>
      <c r="N385">
        <v>2</v>
      </c>
      <c r="O385" t="s">
        <v>73</v>
      </c>
      <c r="P385" t="s">
        <v>36</v>
      </c>
      <c r="Q385" t="s">
        <v>30</v>
      </c>
      <c r="R385" t="str">
        <f>VLOOKUP($O385,'Mapa Oficinas'!$A$7:$C$46,2,FALSE)</f>
        <v>CABA</v>
      </c>
      <c r="S385" t="str">
        <f>VLOOKUP($O385,'Mapa Oficinas'!$A$7:$C$46,3,FALSE)</f>
        <v>Recoleta</v>
      </c>
    </row>
    <row r="386" spans="1:19" x14ac:dyDescent="0.2">
      <c r="A386" s="1">
        <v>45748</v>
      </c>
      <c r="B386" t="s">
        <v>7461</v>
      </c>
      <c r="D386" t="s">
        <v>7462</v>
      </c>
      <c r="E386" t="s">
        <v>16</v>
      </c>
      <c r="F386" t="s">
        <v>47</v>
      </c>
      <c r="G386" s="14">
        <v>165000</v>
      </c>
      <c r="H386" s="14">
        <v>165000</v>
      </c>
      <c r="I386" t="s">
        <v>22</v>
      </c>
      <c r="J386" t="s">
        <v>22</v>
      </c>
      <c r="K386" t="s">
        <v>7463</v>
      </c>
      <c r="L386" t="s">
        <v>217</v>
      </c>
      <c r="M386" t="s">
        <v>19</v>
      </c>
      <c r="N386">
        <v>2</v>
      </c>
      <c r="O386" t="s">
        <v>198</v>
      </c>
      <c r="P386" t="s">
        <v>36</v>
      </c>
      <c r="Q386" t="s">
        <v>30</v>
      </c>
      <c r="R386" t="str">
        <f>VLOOKUP($O386,'Mapa Oficinas'!$A$7:$C$46,2,FALSE)</f>
        <v>CABA</v>
      </c>
      <c r="S386" t="str">
        <f>VLOOKUP($O386,'Mapa Oficinas'!$A$7:$C$46,3,FALSE)</f>
        <v>Caballito</v>
      </c>
    </row>
    <row r="387" spans="1:19" x14ac:dyDescent="0.2">
      <c r="A387" s="1">
        <v>45748</v>
      </c>
      <c r="D387" t="s">
        <v>7470</v>
      </c>
      <c r="E387" t="s">
        <v>16</v>
      </c>
      <c r="F387" t="s">
        <v>1708</v>
      </c>
      <c r="G387" s="14">
        <v>185000</v>
      </c>
      <c r="H387" s="14">
        <v>185000</v>
      </c>
      <c r="I387" t="s">
        <v>22</v>
      </c>
      <c r="J387" t="s">
        <v>22</v>
      </c>
      <c r="K387" t="s">
        <v>7471</v>
      </c>
      <c r="L387" t="s">
        <v>449</v>
      </c>
      <c r="M387" t="s">
        <v>19</v>
      </c>
      <c r="N387">
        <v>2</v>
      </c>
      <c r="O387" t="s">
        <v>367</v>
      </c>
      <c r="P387" t="s">
        <v>41</v>
      </c>
      <c r="Q387" t="s">
        <v>30</v>
      </c>
      <c r="R387" t="str">
        <f>VLOOKUP($O387,'Mapa Oficinas'!$A$7:$C$46,2,FALSE)</f>
        <v>Interior - Neuquén</v>
      </c>
      <c r="S387" t="str">
        <f>VLOOKUP($O387,'Mapa Oficinas'!$A$7:$C$46,3,FALSE)</f>
        <v>San Martín de los Andes</v>
      </c>
    </row>
    <row r="388" spans="1:19" x14ac:dyDescent="0.2">
      <c r="A388" s="1">
        <v>45748</v>
      </c>
      <c r="B388" t="s">
        <v>7464</v>
      </c>
      <c r="D388" t="s">
        <v>7465</v>
      </c>
      <c r="E388" t="s">
        <v>16</v>
      </c>
      <c r="F388" t="s">
        <v>53</v>
      </c>
      <c r="G388" s="14">
        <v>280000</v>
      </c>
      <c r="H388" s="14">
        <v>260000</v>
      </c>
      <c r="I388" t="s">
        <v>22</v>
      </c>
      <c r="J388" t="s">
        <v>22</v>
      </c>
      <c r="K388" t="s">
        <v>7466</v>
      </c>
      <c r="L388" t="s">
        <v>2546</v>
      </c>
      <c r="M388" t="s">
        <v>28</v>
      </c>
      <c r="N388">
        <v>2</v>
      </c>
      <c r="O388" t="s">
        <v>85</v>
      </c>
      <c r="P388" t="s">
        <v>21</v>
      </c>
      <c r="Q388" t="s">
        <v>30</v>
      </c>
      <c r="R388" t="str">
        <f>VLOOKUP($O388,'Mapa Oficinas'!$A$7:$C$46,2,FALSE)</f>
        <v>Interior - Jujuy</v>
      </c>
      <c r="S388" t="str">
        <f>VLOOKUP($O388,'Mapa Oficinas'!$A$7:$C$46,3,FALSE)</f>
        <v>Capital Jujuy</v>
      </c>
    </row>
    <row r="389" spans="1:19" x14ac:dyDescent="0.2">
      <c r="A389" s="1">
        <v>45748</v>
      </c>
      <c r="B389" t="s">
        <v>6470</v>
      </c>
      <c r="D389" t="s">
        <v>6471</v>
      </c>
      <c r="E389" t="s">
        <v>16</v>
      </c>
      <c r="F389" t="s">
        <v>47</v>
      </c>
      <c r="G389" s="14">
        <v>394900</v>
      </c>
      <c r="H389" s="14">
        <v>370000</v>
      </c>
      <c r="I389" t="s">
        <v>22</v>
      </c>
      <c r="J389" t="s">
        <v>22</v>
      </c>
      <c r="K389" t="s">
        <v>6472</v>
      </c>
      <c r="L389" t="s">
        <v>6473</v>
      </c>
      <c r="M389" t="s">
        <v>28</v>
      </c>
      <c r="N389">
        <v>2</v>
      </c>
      <c r="O389" t="s">
        <v>87</v>
      </c>
      <c r="P389" t="s">
        <v>276</v>
      </c>
      <c r="Q389" t="s">
        <v>30</v>
      </c>
      <c r="R389" t="str">
        <f>VLOOKUP($O389,'Mapa Oficinas'!$A$7:$C$46,2,FALSE)</f>
        <v>Zona Norte (GBA)</v>
      </c>
      <c r="S389" t="str">
        <f>VLOOKUP($O389,'Mapa Oficinas'!$A$7:$C$46,3,FALSE)</f>
        <v>Tigre</v>
      </c>
    </row>
    <row r="390" spans="1:19" x14ac:dyDescent="0.2">
      <c r="A390" s="1">
        <v>45748</v>
      </c>
      <c r="B390" t="s">
        <v>7458</v>
      </c>
      <c r="D390" t="s">
        <v>7459</v>
      </c>
      <c r="E390" t="s">
        <v>16</v>
      </c>
      <c r="F390" t="s">
        <v>38</v>
      </c>
      <c r="G390" s="14">
        <v>590000</v>
      </c>
      <c r="H390" s="14">
        <v>575000</v>
      </c>
      <c r="I390" t="s">
        <v>22</v>
      </c>
      <c r="J390" t="s">
        <v>22</v>
      </c>
      <c r="K390" t="s">
        <v>7460</v>
      </c>
      <c r="L390" t="s">
        <v>257</v>
      </c>
      <c r="M390" t="s">
        <v>28</v>
      </c>
      <c r="N390">
        <v>1</v>
      </c>
      <c r="O390" t="s">
        <v>87</v>
      </c>
      <c r="P390" t="s">
        <v>146</v>
      </c>
      <c r="Q390" t="s">
        <v>30</v>
      </c>
      <c r="R390" t="str">
        <f>VLOOKUP($O390,'Mapa Oficinas'!$A$7:$C$46,2,FALSE)</f>
        <v>Zona Norte (GBA)</v>
      </c>
      <c r="S390" t="str">
        <f>VLOOKUP($O390,'Mapa Oficinas'!$A$7:$C$46,3,FALSE)</f>
        <v>Tigre</v>
      </c>
    </row>
    <row r="391" spans="1:19" x14ac:dyDescent="0.2">
      <c r="A391" s="1">
        <v>45749</v>
      </c>
      <c r="B391" t="s">
        <v>7448</v>
      </c>
      <c r="D391" t="s">
        <v>7449</v>
      </c>
      <c r="E391" t="s">
        <v>16</v>
      </c>
      <c r="F391" t="s">
        <v>243</v>
      </c>
      <c r="G391" s="14">
        <v>100000</v>
      </c>
      <c r="H391" s="14">
        <v>100000</v>
      </c>
      <c r="I391" t="s">
        <v>22</v>
      </c>
      <c r="J391" t="s">
        <v>22</v>
      </c>
      <c r="K391" t="s">
        <v>7450</v>
      </c>
      <c r="L391" t="s">
        <v>426</v>
      </c>
      <c r="M391" t="s">
        <v>28</v>
      </c>
      <c r="N391">
        <v>2</v>
      </c>
      <c r="O391" t="s">
        <v>246</v>
      </c>
      <c r="P391" t="s">
        <v>21</v>
      </c>
      <c r="Q391" t="s">
        <v>30</v>
      </c>
      <c r="R391" t="str">
        <f>VLOOKUP($O391,'Mapa Oficinas'!$A$7:$C$46,2,FALSE)</f>
        <v>Interior - Salta</v>
      </c>
      <c r="S391" t="str">
        <f>VLOOKUP($O391,'Mapa Oficinas'!$A$7:$C$46,3,FALSE)</f>
        <v>San Lorenzo Chico</v>
      </c>
    </row>
    <row r="392" spans="1:19" x14ac:dyDescent="0.2">
      <c r="A392" s="1">
        <v>45749</v>
      </c>
      <c r="B392" t="s">
        <v>7445</v>
      </c>
      <c r="D392" t="s">
        <v>7446</v>
      </c>
      <c r="E392" t="s">
        <v>16</v>
      </c>
      <c r="F392" t="s">
        <v>17</v>
      </c>
      <c r="G392" s="14">
        <v>165000</v>
      </c>
      <c r="H392" s="14">
        <v>165000</v>
      </c>
      <c r="I392" t="s">
        <v>22</v>
      </c>
      <c r="J392" t="s">
        <v>22</v>
      </c>
      <c r="K392" t="s">
        <v>7447</v>
      </c>
      <c r="L392" t="s">
        <v>217</v>
      </c>
      <c r="M392" t="s">
        <v>19</v>
      </c>
      <c r="N392">
        <v>2</v>
      </c>
      <c r="O392" t="s">
        <v>142</v>
      </c>
      <c r="P392" t="s">
        <v>21</v>
      </c>
      <c r="Q392" t="s">
        <v>30</v>
      </c>
      <c r="R392" t="str">
        <f>VLOOKUP($O392,'Mapa Oficinas'!$A$7:$C$46,2,FALSE)</f>
        <v>Zona Norte (GBA)</v>
      </c>
      <c r="S392" t="str">
        <f>VLOOKUP($O392,'Mapa Oficinas'!$A$7:$C$46,3,FALSE)</f>
        <v>Nordelta</v>
      </c>
    </row>
    <row r="393" spans="1:19" x14ac:dyDescent="0.2">
      <c r="A393" s="1">
        <v>45750</v>
      </c>
      <c r="B393" t="s">
        <v>7442</v>
      </c>
      <c r="D393" t="s">
        <v>7443</v>
      </c>
      <c r="E393" t="s">
        <v>16</v>
      </c>
      <c r="F393" t="s">
        <v>17</v>
      </c>
      <c r="G393" s="14">
        <v>49999</v>
      </c>
      <c r="H393" s="14">
        <v>50000</v>
      </c>
      <c r="I393" t="s">
        <v>22</v>
      </c>
      <c r="J393" t="s">
        <v>22</v>
      </c>
      <c r="K393" t="s">
        <v>7444</v>
      </c>
      <c r="L393" t="s">
        <v>1676</v>
      </c>
      <c r="M393" t="s">
        <v>28</v>
      </c>
      <c r="N393">
        <v>2</v>
      </c>
      <c r="O393" t="s">
        <v>227</v>
      </c>
      <c r="P393" t="s">
        <v>21</v>
      </c>
      <c r="Q393" t="s">
        <v>30</v>
      </c>
      <c r="R393" t="str">
        <f>VLOOKUP($O393,'Mapa Oficinas'!$A$7:$C$46,2,FALSE)</f>
        <v>Zona Oeste (GBA)</v>
      </c>
      <c r="S393" t="str">
        <f>VLOOKUP($O393,'Mapa Oficinas'!$A$7:$C$46,3,FALSE)</f>
        <v>Parque Leloir</v>
      </c>
    </row>
    <row r="394" spans="1:19" x14ac:dyDescent="0.2">
      <c r="A394" s="1">
        <v>45750</v>
      </c>
      <c r="D394" t="s">
        <v>7429</v>
      </c>
      <c r="E394" t="s">
        <v>16</v>
      </c>
      <c r="F394" t="s">
        <v>1708</v>
      </c>
      <c r="G394" s="14">
        <v>60000</v>
      </c>
      <c r="H394" s="14">
        <v>53000</v>
      </c>
      <c r="I394" t="s">
        <v>22</v>
      </c>
      <c r="J394" t="s">
        <v>22</v>
      </c>
      <c r="K394" t="s">
        <v>7430</v>
      </c>
      <c r="L394" t="s">
        <v>856</v>
      </c>
      <c r="M394" t="s">
        <v>19</v>
      </c>
      <c r="N394">
        <v>2</v>
      </c>
      <c r="O394" t="s">
        <v>206</v>
      </c>
      <c r="P394" t="s">
        <v>36</v>
      </c>
      <c r="Q394" t="s">
        <v>30</v>
      </c>
      <c r="R394" t="str">
        <f>VLOOKUP($O394,'Mapa Oficinas'!$A$7:$C$46,2,FALSE)</f>
        <v>CABA</v>
      </c>
      <c r="S394" t="str">
        <f>VLOOKUP($O394,'Mapa Oficinas'!$A$7:$C$46,3,FALSE)</f>
        <v>Belgrano</v>
      </c>
    </row>
    <row r="395" spans="1:19" x14ac:dyDescent="0.2">
      <c r="A395" s="1">
        <v>45750</v>
      </c>
      <c r="B395" t="s">
        <v>7433</v>
      </c>
      <c r="D395" t="s">
        <v>7434</v>
      </c>
      <c r="E395" t="s">
        <v>16</v>
      </c>
      <c r="F395" t="s">
        <v>17</v>
      </c>
      <c r="G395" s="14">
        <v>65000</v>
      </c>
      <c r="H395" s="14">
        <v>62000</v>
      </c>
      <c r="I395" t="s">
        <v>22</v>
      </c>
      <c r="J395" t="s">
        <v>22</v>
      </c>
      <c r="K395" t="s">
        <v>7435</v>
      </c>
      <c r="L395" t="s">
        <v>1064</v>
      </c>
      <c r="M395" t="s">
        <v>19</v>
      </c>
      <c r="N395">
        <v>2</v>
      </c>
      <c r="O395" t="s">
        <v>198</v>
      </c>
      <c r="P395" t="s">
        <v>1578</v>
      </c>
      <c r="Q395" t="s">
        <v>30</v>
      </c>
      <c r="R395" t="str">
        <f>VLOOKUP($O395,'Mapa Oficinas'!$A$7:$C$46,2,FALSE)</f>
        <v>CABA</v>
      </c>
      <c r="S395" t="str">
        <f>VLOOKUP($O395,'Mapa Oficinas'!$A$7:$C$46,3,FALSE)</f>
        <v>Caballito</v>
      </c>
    </row>
    <row r="396" spans="1:19" x14ac:dyDescent="0.2">
      <c r="A396" s="1">
        <v>45750</v>
      </c>
      <c r="B396" t="s">
        <v>7436</v>
      </c>
      <c r="D396" t="s">
        <v>7437</v>
      </c>
      <c r="E396" t="s">
        <v>16</v>
      </c>
      <c r="F396" t="s">
        <v>38</v>
      </c>
      <c r="G396" s="14">
        <v>65000</v>
      </c>
      <c r="H396" s="14">
        <v>62000</v>
      </c>
      <c r="I396" t="s">
        <v>22</v>
      </c>
      <c r="J396" t="s">
        <v>22</v>
      </c>
      <c r="K396" t="s">
        <v>7436</v>
      </c>
      <c r="L396" t="s">
        <v>1064</v>
      </c>
      <c r="M396" t="s">
        <v>19</v>
      </c>
      <c r="N396">
        <v>2</v>
      </c>
      <c r="O396" t="s">
        <v>40</v>
      </c>
      <c r="P396" t="s">
        <v>256</v>
      </c>
      <c r="Q396" t="s">
        <v>30</v>
      </c>
      <c r="R396" t="str">
        <f>VLOOKUP($O396,'Mapa Oficinas'!$A$7:$C$46,2,FALSE)</f>
        <v>Zona Norte (GBA)</v>
      </c>
      <c r="S396" t="str">
        <f>VLOOKUP($O396,'Mapa Oficinas'!$A$7:$C$46,3,FALSE)</f>
        <v>Pilar</v>
      </c>
    </row>
    <row r="397" spans="1:19" x14ac:dyDescent="0.2">
      <c r="A397" s="1">
        <v>45750</v>
      </c>
      <c r="B397" t="s">
        <v>7431</v>
      </c>
      <c r="D397" t="s">
        <v>7432</v>
      </c>
      <c r="E397" t="s">
        <v>16</v>
      </c>
      <c r="F397" t="s">
        <v>17</v>
      </c>
      <c r="G397" s="14">
        <v>225000</v>
      </c>
      <c r="H397" s="14">
        <v>205000</v>
      </c>
      <c r="I397" t="s">
        <v>22</v>
      </c>
      <c r="J397" t="s">
        <v>22</v>
      </c>
      <c r="K397" t="s">
        <v>1015</v>
      </c>
      <c r="L397" t="s">
        <v>191</v>
      </c>
      <c r="M397" t="s">
        <v>19</v>
      </c>
      <c r="N397">
        <v>2</v>
      </c>
      <c r="O397" t="s">
        <v>201</v>
      </c>
      <c r="P397" t="s">
        <v>21</v>
      </c>
      <c r="Q397" t="s">
        <v>30</v>
      </c>
      <c r="R397" t="str">
        <f>VLOOKUP($O397,'Mapa Oficinas'!$A$7:$C$46,2,FALSE)</f>
        <v>CABA</v>
      </c>
      <c r="S397" t="str">
        <f>VLOOKUP($O397,'Mapa Oficinas'!$A$7:$C$46,3,FALSE)</f>
        <v>Recoleta</v>
      </c>
    </row>
    <row r="398" spans="1:19" x14ac:dyDescent="0.2">
      <c r="A398" s="1">
        <v>45751</v>
      </c>
      <c r="B398" t="s">
        <v>7410</v>
      </c>
      <c r="D398" t="s">
        <v>7411</v>
      </c>
      <c r="E398" t="s">
        <v>16</v>
      </c>
      <c r="F398" t="s">
        <v>17</v>
      </c>
      <c r="G398" s="14">
        <v>99000</v>
      </c>
      <c r="H398" s="14">
        <v>95000</v>
      </c>
      <c r="I398" t="s">
        <v>22</v>
      </c>
      <c r="J398" t="s">
        <v>22</v>
      </c>
      <c r="K398" t="s">
        <v>7412</v>
      </c>
      <c r="L398" t="s">
        <v>111</v>
      </c>
      <c r="M398" t="s">
        <v>19</v>
      </c>
      <c r="N398">
        <v>2</v>
      </c>
      <c r="O398" t="s">
        <v>103</v>
      </c>
      <c r="P398" t="s">
        <v>21</v>
      </c>
      <c r="Q398" t="s">
        <v>30</v>
      </c>
      <c r="R398" t="str">
        <f>VLOOKUP($O398,'Mapa Oficinas'!$A$7:$C$46,2,FALSE)</f>
        <v>CABA</v>
      </c>
      <c r="S398" t="str">
        <f>VLOOKUP($O398,'Mapa Oficinas'!$A$7:$C$46,3,FALSE)</f>
        <v>Barrio Parque</v>
      </c>
    </row>
    <row r="399" spans="1:19" x14ac:dyDescent="0.2">
      <c r="A399" s="1">
        <v>45751</v>
      </c>
      <c r="B399" t="s">
        <v>7407</v>
      </c>
      <c r="D399" t="s">
        <v>7408</v>
      </c>
      <c r="E399" t="s">
        <v>16</v>
      </c>
      <c r="F399" t="s">
        <v>184</v>
      </c>
      <c r="G399" s="14">
        <v>146361</v>
      </c>
      <c r="H399" s="14">
        <v>145000</v>
      </c>
      <c r="I399" t="s">
        <v>22</v>
      </c>
      <c r="J399" t="s">
        <v>22</v>
      </c>
      <c r="K399" t="s">
        <v>7409</v>
      </c>
      <c r="L399" t="s">
        <v>307</v>
      </c>
      <c r="M399" t="s">
        <v>19</v>
      </c>
      <c r="N399">
        <v>2</v>
      </c>
      <c r="O399" t="s">
        <v>130</v>
      </c>
      <c r="P399" t="s">
        <v>41</v>
      </c>
      <c r="Q399" t="s">
        <v>30</v>
      </c>
      <c r="R399" t="str">
        <f>VLOOKUP($O399,'Mapa Oficinas'!$A$7:$C$46,2,FALSE)</f>
        <v>Interior - Río Negro</v>
      </c>
      <c r="S399" t="str">
        <f>VLOOKUP($O399,'Mapa Oficinas'!$A$7:$C$46,3,FALSE)</f>
        <v>Bariloche</v>
      </c>
    </row>
    <row r="400" spans="1:19" x14ac:dyDescent="0.2">
      <c r="A400" s="1">
        <v>45751</v>
      </c>
      <c r="B400" t="s">
        <v>7404</v>
      </c>
      <c r="D400" t="s">
        <v>7405</v>
      </c>
      <c r="E400" t="s">
        <v>16</v>
      </c>
      <c r="F400" t="s">
        <v>17</v>
      </c>
      <c r="G400" s="14">
        <v>160000</v>
      </c>
      <c r="H400" s="14">
        <v>148000</v>
      </c>
      <c r="I400" t="s">
        <v>22</v>
      </c>
      <c r="J400" t="s">
        <v>22</v>
      </c>
      <c r="K400" t="s">
        <v>7406</v>
      </c>
      <c r="L400" t="s">
        <v>1571</v>
      </c>
      <c r="M400" t="s">
        <v>72</v>
      </c>
      <c r="N400">
        <v>2</v>
      </c>
      <c r="O400" t="s">
        <v>103</v>
      </c>
      <c r="P400" t="s">
        <v>21</v>
      </c>
      <c r="Q400" t="s">
        <v>30</v>
      </c>
      <c r="R400" t="str">
        <f>VLOOKUP($O400,'Mapa Oficinas'!$A$7:$C$46,2,FALSE)</f>
        <v>CABA</v>
      </c>
      <c r="S400" t="str">
        <f>VLOOKUP($O400,'Mapa Oficinas'!$A$7:$C$46,3,FALSE)</f>
        <v>Barrio Parque</v>
      </c>
    </row>
    <row r="401" spans="1:19" x14ac:dyDescent="0.2">
      <c r="A401" s="1">
        <v>45751</v>
      </c>
      <c r="B401" t="s">
        <v>7421</v>
      </c>
      <c r="D401" t="s">
        <v>7422</v>
      </c>
      <c r="E401" t="s">
        <v>16</v>
      </c>
      <c r="F401" t="s">
        <v>134</v>
      </c>
      <c r="G401" s="14">
        <v>168000</v>
      </c>
      <c r="H401" s="14">
        <v>158000</v>
      </c>
      <c r="I401" t="s">
        <v>22</v>
      </c>
      <c r="J401" t="s">
        <v>22</v>
      </c>
      <c r="K401" t="s">
        <v>7423</v>
      </c>
      <c r="L401" t="s">
        <v>7424</v>
      </c>
      <c r="M401" t="s">
        <v>28</v>
      </c>
      <c r="N401">
        <v>2</v>
      </c>
      <c r="O401" t="s">
        <v>171</v>
      </c>
      <c r="P401" t="s">
        <v>41</v>
      </c>
      <c r="Q401" t="s">
        <v>30</v>
      </c>
      <c r="R401" t="str">
        <f>VLOOKUP($O401,'Mapa Oficinas'!$A$7:$C$46,2,FALSE)</f>
        <v>Zona Sur (GBA)</v>
      </c>
      <c r="S401" t="str">
        <f>VLOOKUP($O401,'Mapa Oficinas'!$A$7:$C$46,3,FALSE)</f>
        <v>La Plata</v>
      </c>
    </row>
    <row r="402" spans="1:19" x14ac:dyDescent="0.2">
      <c r="A402" s="1">
        <v>45751</v>
      </c>
      <c r="B402" t="s">
        <v>7419</v>
      </c>
      <c r="D402" t="s">
        <v>7420</v>
      </c>
      <c r="E402" t="s">
        <v>16</v>
      </c>
      <c r="F402" t="s">
        <v>47</v>
      </c>
      <c r="G402" s="14">
        <v>185000</v>
      </c>
      <c r="H402" s="14">
        <v>180000</v>
      </c>
      <c r="I402" t="s">
        <v>22</v>
      </c>
      <c r="J402" t="s">
        <v>22</v>
      </c>
      <c r="K402" t="s">
        <v>2989</v>
      </c>
      <c r="L402" t="s">
        <v>441</v>
      </c>
      <c r="M402" t="s">
        <v>28</v>
      </c>
      <c r="N402">
        <v>2</v>
      </c>
      <c r="O402" t="s">
        <v>40</v>
      </c>
      <c r="P402" t="s">
        <v>21</v>
      </c>
      <c r="Q402" t="s">
        <v>30</v>
      </c>
      <c r="R402" t="str">
        <f>VLOOKUP($O402,'Mapa Oficinas'!$A$7:$C$46,2,FALSE)</f>
        <v>Zona Norte (GBA)</v>
      </c>
      <c r="S402" t="str">
        <f>VLOOKUP($O402,'Mapa Oficinas'!$A$7:$C$46,3,FALSE)</f>
        <v>Pilar</v>
      </c>
    </row>
    <row r="403" spans="1:19" x14ac:dyDescent="0.2">
      <c r="A403" s="1">
        <v>45751</v>
      </c>
      <c r="B403" t="s">
        <v>7402</v>
      </c>
      <c r="D403" t="s">
        <v>7403</v>
      </c>
      <c r="E403" t="s">
        <v>16</v>
      </c>
      <c r="F403" t="s">
        <v>17</v>
      </c>
      <c r="G403" s="14">
        <v>199000</v>
      </c>
      <c r="H403" s="14">
        <v>192000</v>
      </c>
      <c r="I403" t="s">
        <v>22</v>
      </c>
      <c r="J403" t="s">
        <v>22</v>
      </c>
      <c r="K403" t="s">
        <v>6307</v>
      </c>
      <c r="L403" t="s">
        <v>282</v>
      </c>
      <c r="M403" t="s">
        <v>19</v>
      </c>
      <c r="N403">
        <v>2</v>
      </c>
      <c r="O403" t="s">
        <v>103</v>
      </c>
      <c r="P403" t="s">
        <v>21</v>
      </c>
      <c r="Q403" t="s">
        <v>30</v>
      </c>
      <c r="R403" t="str">
        <f>VLOOKUP($O403,'Mapa Oficinas'!$A$7:$C$46,2,FALSE)</f>
        <v>CABA</v>
      </c>
      <c r="S403" t="str">
        <f>VLOOKUP($O403,'Mapa Oficinas'!$A$7:$C$46,3,FALSE)</f>
        <v>Barrio Parque</v>
      </c>
    </row>
    <row r="404" spans="1:19" x14ac:dyDescent="0.2">
      <c r="A404" s="1">
        <v>45751</v>
      </c>
      <c r="B404">
        <v>10336</v>
      </c>
      <c r="D404">
        <v>10336</v>
      </c>
      <c r="E404" t="s">
        <v>16</v>
      </c>
      <c r="F404" t="s">
        <v>17</v>
      </c>
      <c r="G404" s="14">
        <v>0</v>
      </c>
      <c r="H404" s="14">
        <v>225000</v>
      </c>
      <c r="I404" t="s">
        <v>22</v>
      </c>
      <c r="J404" t="s">
        <v>22</v>
      </c>
      <c r="L404" t="s">
        <v>237</v>
      </c>
      <c r="M404" t="s">
        <v>19</v>
      </c>
      <c r="N404">
        <v>1</v>
      </c>
      <c r="O404" t="s">
        <v>103</v>
      </c>
      <c r="P404" t="s">
        <v>146</v>
      </c>
      <c r="Q404" t="s">
        <v>30</v>
      </c>
      <c r="R404" t="str">
        <f>VLOOKUP($O404,'Mapa Oficinas'!$A$7:$C$46,2,FALSE)</f>
        <v>CABA</v>
      </c>
      <c r="S404" t="str">
        <f>VLOOKUP($O404,'Mapa Oficinas'!$A$7:$C$46,3,FALSE)</f>
        <v>Barrio Parque</v>
      </c>
    </row>
    <row r="405" spans="1:19" x14ac:dyDescent="0.2">
      <c r="A405" s="1">
        <v>45751</v>
      </c>
      <c r="B405" t="s">
        <v>7399</v>
      </c>
      <c r="D405" t="s">
        <v>7400</v>
      </c>
      <c r="E405" t="s">
        <v>16</v>
      </c>
      <c r="F405" t="s">
        <v>17</v>
      </c>
      <c r="G405" s="14">
        <v>269000</v>
      </c>
      <c r="H405" s="14">
        <v>265000</v>
      </c>
      <c r="I405" t="s">
        <v>22</v>
      </c>
      <c r="J405" t="s">
        <v>22</v>
      </c>
      <c r="K405" t="s">
        <v>7401</v>
      </c>
      <c r="L405" t="s">
        <v>330</v>
      </c>
      <c r="M405" t="s">
        <v>19</v>
      </c>
      <c r="N405">
        <v>2</v>
      </c>
      <c r="O405" t="s">
        <v>1956</v>
      </c>
      <c r="P405" t="s">
        <v>21</v>
      </c>
      <c r="Q405" t="s">
        <v>30</v>
      </c>
      <c r="R405" t="str">
        <f>VLOOKUP($O405,'Mapa Oficinas'!$A$7:$C$46,2,FALSE)</f>
        <v>CABA</v>
      </c>
      <c r="S405" t="str">
        <f>VLOOKUP($O405,'Mapa Oficinas'!$A$7:$C$46,3,FALSE)</f>
        <v>Núñez</v>
      </c>
    </row>
    <row r="406" spans="1:19" x14ac:dyDescent="0.2">
      <c r="A406" s="1">
        <v>45751</v>
      </c>
      <c r="B406" t="s">
        <v>7413</v>
      </c>
      <c r="D406" t="s">
        <v>7414</v>
      </c>
      <c r="E406" t="s">
        <v>16</v>
      </c>
      <c r="F406" t="s">
        <v>38</v>
      </c>
      <c r="G406" s="14">
        <v>308000</v>
      </c>
      <c r="H406" s="14">
        <v>302500</v>
      </c>
      <c r="I406" t="s">
        <v>22</v>
      </c>
      <c r="J406" t="s">
        <v>22</v>
      </c>
      <c r="L406" t="s">
        <v>7415</v>
      </c>
      <c r="M406" t="s">
        <v>28</v>
      </c>
      <c r="N406">
        <v>2</v>
      </c>
      <c r="O406" t="s">
        <v>40</v>
      </c>
      <c r="P406" t="s">
        <v>44</v>
      </c>
      <c r="Q406" t="s">
        <v>30</v>
      </c>
      <c r="R406" t="str">
        <f>VLOOKUP($O406,'Mapa Oficinas'!$A$7:$C$46,2,FALSE)</f>
        <v>Zona Norte (GBA)</v>
      </c>
      <c r="S406" t="str">
        <f>VLOOKUP($O406,'Mapa Oficinas'!$A$7:$C$46,3,FALSE)</f>
        <v>Pilar</v>
      </c>
    </row>
    <row r="407" spans="1:19" x14ac:dyDescent="0.2">
      <c r="A407" s="1">
        <v>45751</v>
      </c>
      <c r="B407" t="s">
        <v>7416</v>
      </c>
      <c r="D407" t="s">
        <v>7417</v>
      </c>
      <c r="E407" t="s">
        <v>16</v>
      </c>
      <c r="F407" t="s">
        <v>38</v>
      </c>
      <c r="G407" s="14">
        <v>340000</v>
      </c>
      <c r="H407" s="14">
        <v>318000</v>
      </c>
      <c r="I407" t="s">
        <v>22</v>
      </c>
      <c r="J407" t="s">
        <v>22</v>
      </c>
      <c r="K407" t="s">
        <v>7418</v>
      </c>
      <c r="L407" t="s">
        <v>5354</v>
      </c>
      <c r="M407" t="s">
        <v>28</v>
      </c>
      <c r="N407">
        <v>2</v>
      </c>
      <c r="O407" t="s">
        <v>87</v>
      </c>
      <c r="P407" t="s">
        <v>276</v>
      </c>
      <c r="Q407" t="s">
        <v>30</v>
      </c>
      <c r="R407" t="str">
        <f>VLOOKUP($O407,'Mapa Oficinas'!$A$7:$C$46,2,FALSE)</f>
        <v>Zona Norte (GBA)</v>
      </c>
      <c r="S407" t="str">
        <f>VLOOKUP($O407,'Mapa Oficinas'!$A$7:$C$46,3,FALSE)</f>
        <v>Tigre</v>
      </c>
    </row>
    <row r="408" spans="1:19" x14ac:dyDescent="0.2">
      <c r="A408" s="1">
        <v>45751</v>
      </c>
      <c r="B408" t="s">
        <v>1652</v>
      </c>
      <c r="D408" t="s">
        <v>7425</v>
      </c>
      <c r="E408" t="s">
        <v>16</v>
      </c>
      <c r="F408" t="s">
        <v>38</v>
      </c>
      <c r="G408" s="14">
        <v>420000</v>
      </c>
      <c r="H408" s="14">
        <v>380000</v>
      </c>
      <c r="I408" t="s">
        <v>22</v>
      </c>
      <c r="J408" t="s">
        <v>22</v>
      </c>
      <c r="K408" t="s">
        <v>1654</v>
      </c>
      <c r="L408" t="s">
        <v>1655</v>
      </c>
      <c r="M408" t="s">
        <v>28</v>
      </c>
      <c r="N408">
        <v>2</v>
      </c>
      <c r="O408" t="s">
        <v>40</v>
      </c>
      <c r="P408" t="s">
        <v>21</v>
      </c>
      <c r="Q408" t="s">
        <v>30</v>
      </c>
      <c r="R408" t="str">
        <f>VLOOKUP($O408,'Mapa Oficinas'!$A$7:$C$46,2,FALSE)</f>
        <v>Zona Norte (GBA)</v>
      </c>
      <c r="S408" t="str">
        <f>VLOOKUP($O408,'Mapa Oficinas'!$A$7:$C$46,3,FALSE)</f>
        <v>Pilar</v>
      </c>
    </row>
    <row r="409" spans="1:19" x14ac:dyDescent="0.2">
      <c r="A409" s="1">
        <v>45752</v>
      </c>
      <c r="B409" t="s">
        <v>7396</v>
      </c>
      <c r="D409" t="s">
        <v>7397</v>
      </c>
      <c r="E409" t="s">
        <v>16</v>
      </c>
      <c r="F409" t="s">
        <v>17</v>
      </c>
      <c r="G409" s="14">
        <v>251487</v>
      </c>
      <c r="H409" s="14">
        <v>210000</v>
      </c>
      <c r="I409" t="s">
        <v>22</v>
      </c>
      <c r="J409" t="s">
        <v>22</v>
      </c>
      <c r="K409" t="s">
        <v>7398</v>
      </c>
      <c r="L409" t="s">
        <v>3245</v>
      </c>
      <c r="M409" t="s">
        <v>19</v>
      </c>
      <c r="N409">
        <v>2</v>
      </c>
      <c r="O409" t="s">
        <v>142</v>
      </c>
      <c r="P409" t="s">
        <v>276</v>
      </c>
      <c r="Q409" t="s">
        <v>30</v>
      </c>
      <c r="R409" t="str">
        <f>VLOOKUP($O409,'Mapa Oficinas'!$A$7:$C$46,2,FALSE)</f>
        <v>Zona Norte (GBA)</v>
      </c>
      <c r="S409" t="str">
        <f>VLOOKUP($O409,'Mapa Oficinas'!$A$7:$C$46,3,FALSE)</f>
        <v>Nordelta</v>
      </c>
    </row>
    <row r="410" spans="1:19" x14ac:dyDescent="0.2">
      <c r="A410" s="1">
        <v>45754</v>
      </c>
      <c r="B410" t="s">
        <v>7383</v>
      </c>
      <c r="D410" t="s">
        <v>7384</v>
      </c>
      <c r="E410" t="s">
        <v>16</v>
      </c>
      <c r="F410" t="s">
        <v>17</v>
      </c>
      <c r="G410" s="14">
        <v>40000</v>
      </c>
      <c r="H410" s="14">
        <v>37500</v>
      </c>
      <c r="I410" t="s">
        <v>22</v>
      </c>
      <c r="J410" t="s">
        <v>22</v>
      </c>
      <c r="K410" t="s">
        <v>6054</v>
      </c>
      <c r="L410" t="s">
        <v>967</v>
      </c>
      <c r="M410" t="s">
        <v>300</v>
      </c>
      <c r="N410">
        <v>2</v>
      </c>
      <c r="O410" t="s">
        <v>35</v>
      </c>
      <c r="P410" t="s">
        <v>21</v>
      </c>
      <c r="Q410" t="s">
        <v>30</v>
      </c>
      <c r="R410" t="str">
        <f>VLOOKUP($O410,'Mapa Oficinas'!$A$7:$C$46,2,FALSE)</f>
        <v>Zona Norte (GBA)</v>
      </c>
      <c r="S410" t="str">
        <f>VLOOKUP($O410,'Mapa Oficinas'!$A$7:$C$46,3,FALSE)</f>
        <v>Vicente López</v>
      </c>
    </row>
    <row r="411" spans="1:19" x14ac:dyDescent="0.2">
      <c r="A411" s="1">
        <v>45754</v>
      </c>
      <c r="B411" t="s">
        <v>7380</v>
      </c>
      <c r="D411" t="s">
        <v>7381</v>
      </c>
      <c r="E411" t="s">
        <v>16</v>
      </c>
      <c r="F411" t="s">
        <v>17</v>
      </c>
      <c r="G411" s="14">
        <v>130000</v>
      </c>
      <c r="H411" s="14">
        <v>115000</v>
      </c>
      <c r="I411" t="s">
        <v>22</v>
      </c>
      <c r="J411" t="s">
        <v>22</v>
      </c>
      <c r="K411" t="s">
        <v>7382</v>
      </c>
      <c r="L411" t="s">
        <v>4934</v>
      </c>
      <c r="M411" t="s">
        <v>28</v>
      </c>
      <c r="N411">
        <v>2</v>
      </c>
      <c r="O411" t="s">
        <v>29</v>
      </c>
      <c r="P411" t="s">
        <v>276</v>
      </c>
      <c r="Q411" t="s">
        <v>30</v>
      </c>
      <c r="R411" t="str">
        <f>VLOOKUP($O411,'Mapa Oficinas'!$A$7:$C$46,2,FALSE)</f>
        <v>CABA</v>
      </c>
      <c r="S411" t="str">
        <f>VLOOKUP($O411,'Mapa Oficinas'!$A$7:$C$46,3,FALSE)</f>
        <v>Núñez</v>
      </c>
    </row>
    <row r="412" spans="1:19" x14ac:dyDescent="0.2">
      <c r="A412" s="1">
        <v>45754</v>
      </c>
      <c r="B412" t="s">
        <v>7393</v>
      </c>
      <c r="D412" t="s">
        <v>7394</v>
      </c>
      <c r="E412" t="s">
        <v>16</v>
      </c>
      <c r="F412" t="s">
        <v>134</v>
      </c>
      <c r="G412" s="14">
        <v>130000</v>
      </c>
      <c r="H412" s="14">
        <v>120000</v>
      </c>
      <c r="I412" t="s">
        <v>22</v>
      </c>
      <c r="J412" t="s">
        <v>22</v>
      </c>
      <c r="K412" t="s">
        <v>7395</v>
      </c>
      <c r="L412" t="s">
        <v>449</v>
      </c>
      <c r="M412" t="s">
        <v>28</v>
      </c>
      <c r="N412">
        <v>2</v>
      </c>
      <c r="O412" t="s">
        <v>367</v>
      </c>
      <c r="P412" t="s">
        <v>41</v>
      </c>
      <c r="Q412" t="s">
        <v>30</v>
      </c>
      <c r="R412" t="str">
        <f>VLOOKUP($O412,'Mapa Oficinas'!$A$7:$C$46,2,FALSE)</f>
        <v>Interior - Neuquén</v>
      </c>
      <c r="S412" t="str">
        <f>VLOOKUP($O412,'Mapa Oficinas'!$A$7:$C$46,3,FALSE)</f>
        <v>San Martín de los Andes</v>
      </c>
    </row>
    <row r="413" spans="1:19" x14ac:dyDescent="0.2">
      <c r="A413" s="1">
        <v>45754</v>
      </c>
      <c r="B413" t="s">
        <v>2394</v>
      </c>
      <c r="D413" t="s">
        <v>2394</v>
      </c>
      <c r="E413" t="s">
        <v>16</v>
      </c>
      <c r="F413" t="s">
        <v>17</v>
      </c>
      <c r="G413" s="14">
        <v>125000</v>
      </c>
      <c r="H413" s="14">
        <v>125000</v>
      </c>
      <c r="I413" t="s">
        <v>22</v>
      </c>
      <c r="J413" t="s">
        <v>22</v>
      </c>
      <c r="L413" t="s">
        <v>593</v>
      </c>
      <c r="M413" t="s">
        <v>19</v>
      </c>
      <c r="N413">
        <v>1</v>
      </c>
      <c r="O413" t="s">
        <v>65</v>
      </c>
      <c r="P413" t="s">
        <v>146</v>
      </c>
      <c r="Q413" t="s">
        <v>30</v>
      </c>
      <c r="R413" t="str">
        <f>VLOOKUP($O413,'Mapa Oficinas'!$A$7:$C$46,2,FALSE)</f>
        <v>Interior - Mendoza</v>
      </c>
      <c r="S413" t="str">
        <f>VLOOKUP($O413,'Mapa Oficinas'!$A$7:$C$46,3,FALSE)</f>
        <v>Capital Mendoza</v>
      </c>
    </row>
    <row r="414" spans="1:19" x14ac:dyDescent="0.2">
      <c r="A414" s="1">
        <v>45754</v>
      </c>
      <c r="B414" t="s">
        <v>7385</v>
      </c>
      <c r="D414" t="s">
        <v>7386</v>
      </c>
      <c r="E414" t="s">
        <v>16</v>
      </c>
      <c r="F414" t="s">
        <v>82</v>
      </c>
      <c r="G414" s="14">
        <v>225000</v>
      </c>
      <c r="H414" s="14">
        <v>220000</v>
      </c>
      <c r="I414" t="s">
        <v>22</v>
      </c>
      <c r="J414" t="s">
        <v>22</v>
      </c>
      <c r="K414" t="s">
        <v>7387</v>
      </c>
      <c r="L414" t="s">
        <v>593</v>
      </c>
      <c r="M414" t="s">
        <v>19</v>
      </c>
      <c r="N414">
        <v>2</v>
      </c>
      <c r="O414" t="s">
        <v>65</v>
      </c>
      <c r="P414" t="s">
        <v>21</v>
      </c>
      <c r="Q414" t="s">
        <v>30</v>
      </c>
      <c r="R414" t="str">
        <f>VLOOKUP($O414,'Mapa Oficinas'!$A$7:$C$46,2,FALSE)</f>
        <v>Interior - Mendoza</v>
      </c>
      <c r="S414" t="str">
        <f>VLOOKUP($O414,'Mapa Oficinas'!$A$7:$C$46,3,FALSE)</f>
        <v>Capital Mendoza</v>
      </c>
    </row>
    <row r="415" spans="1:19" x14ac:dyDescent="0.2">
      <c r="A415" s="1">
        <v>45754</v>
      </c>
      <c r="B415" t="s">
        <v>7390</v>
      </c>
      <c r="D415" t="s">
        <v>7391</v>
      </c>
      <c r="E415" t="s">
        <v>16</v>
      </c>
      <c r="F415" t="s">
        <v>17</v>
      </c>
      <c r="G415" s="14">
        <v>229000</v>
      </c>
      <c r="H415" s="14">
        <v>226000</v>
      </c>
      <c r="I415" t="s">
        <v>22</v>
      </c>
      <c r="J415" t="s">
        <v>22</v>
      </c>
      <c r="K415" t="s">
        <v>7392</v>
      </c>
      <c r="L415" t="s">
        <v>102</v>
      </c>
      <c r="M415" t="s">
        <v>28</v>
      </c>
      <c r="N415">
        <v>2</v>
      </c>
      <c r="O415" t="s">
        <v>103</v>
      </c>
      <c r="P415" t="s">
        <v>21</v>
      </c>
      <c r="Q415" t="s">
        <v>30</v>
      </c>
      <c r="R415" t="str">
        <f>VLOOKUP($O415,'Mapa Oficinas'!$A$7:$C$46,2,FALSE)</f>
        <v>CABA</v>
      </c>
      <c r="S415" t="str">
        <f>VLOOKUP($O415,'Mapa Oficinas'!$A$7:$C$46,3,FALSE)</f>
        <v>Barrio Parque</v>
      </c>
    </row>
    <row r="416" spans="1:19" x14ac:dyDescent="0.2">
      <c r="A416" s="1">
        <v>45754</v>
      </c>
      <c r="B416" t="s">
        <v>7388</v>
      </c>
      <c r="D416" t="s">
        <v>7389</v>
      </c>
      <c r="E416" t="s">
        <v>16</v>
      </c>
      <c r="F416" t="s">
        <v>38</v>
      </c>
      <c r="G416" s="14">
        <v>250000</v>
      </c>
      <c r="H416" s="14">
        <v>250000</v>
      </c>
      <c r="I416" t="s">
        <v>22</v>
      </c>
      <c r="J416" t="s">
        <v>22</v>
      </c>
      <c r="L416" t="s">
        <v>1807</v>
      </c>
      <c r="M416" t="s">
        <v>97</v>
      </c>
      <c r="N416">
        <v>2</v>
      </c>
      <c r="O416" t="s">
        <v>40</v>
      </c>
      <c r="P416" t="s">
        <v>21</v>
      </c>
      <c r="Q416" t="s">
        <v>30</v>
      </c>
      <c r="R416" t="str">
        <f>VLOOKUP($O416,'Mapa Oficinas'!$A$7:$C$46,2,FALSE)</f>
        <v>Zona Norte (GBA)</v>
      </c>
      <c r="S416" t="str">
        <f>VLOOKUP($O416,'Mapa Oficinas'!$A$7:$C$46,3,FALSE)</f>
        <v>Pilar</v>
      </c>
    </row>
    <row r="417" spans="1:19" x14ac:dyDescent="0.2">
      <c r="A417" s="1">
        <v>45755</v>
      </c>
      <c r="B417">
        <v>5</v>
      </c>
      <c r="D417" t="s">
        <v>7375</v>
      </c>
      <c r="E417" t="s">
        <v>16</v>
      </c>
      <c r="F417" t="s">
        <v>17</v>
      </c>
      <c r="G417" s="14">
        <v>57000</v>
      </c>
      <c r="H417" s="14">
        <v>61000</v>
      </c>
      <c r="I417" t="s">
        <v>22</v>
      </c>
      <c r="J417" t="s">
        <v>22</v>
      </c>
      <c r="K417" t="s">
        <v>7376</v>
      </c>
      <c r="L417" t="s">
        <v>888</v>
      </c>
      <c r="M417" t="s">
        <v>19</v>
      </c>
      <c r="N417">
        <v>1</v>
      </c>
      <c r="O417" t="s">
        <v>116</v>
      </c>
      <c r="P417" t="s">
        <v>146</v>
      </c>
      <c r="Q417" t="s">
        <v>30</v>
      </c>
      <c r="R417" t="str">
        <f>VLOOKUP($O417,'Mapa Oficinas'!$A$7:$C$46,2,FALSE)</f>
        <v>CABA</v>
      </c>
      <c r="S417" t="str">
        <f>VLOOKUP($O417,'Mapa Oficinas'!$A$7:$C$46,3,FALSE)</f>
        <v>Puerto Madero</v>
      </c>
    </row>
    <row r="418" spans="1:19" x14ac:dyDescent="0.2">
      <c r="A418" s="1">
        <v>45755</v>
      </c>
      <c r="B418" t="s">
        <v>7370</v>
      </c>
      <c r="D418" t="s">
        <v>7371</v>
      </c>
      <c r="E418" t="s">
        <v>16</v>
      </c>
      <c r="F418" t="s">
        <v>47</v>
      </c>
      <c r="G418" s="14">
        <v>65000</v>
      </c>
      <c r="H418" s="14">
        <v>63000</v>
      </c>
      <c r="I418" t="s">
        <v>22</v>
      </c>
      <c r="J418" t="s">
        <v>22</v>
      </c>
      <c r="K418" t="s">
        <v>7372</v>
      </c>
      <c r="L418" t="s">
        <v>191</v>
      </c>
      <c r="M418" t="s">
        <v>19</v>
      </c>
      <c r="N418">
        <v>2</v>
      </c>
      <c r="O418" t="s">
        <v>252</v>
      </c>
      <c r="P418" t="s">
        <v>21</v>
      </c>
      <c r="Q418" t="s">
        <v>30</v>
      </c>
      <c r="R418" t="str">
        <f>VLOOKUP($O418,'Mapa Oficinas'!$A$7:$C$46,2,FALSE)</f>
        <v>CABA</v>
      </c>
      <c r="S418" t="str">
        <f>VLOOKUP($O418,'Mapa Oficinas'!$A$7:$C$46,3,FALSE)</f>
        <v>Belgrano</v>
      </c>
    </row>
    <row r="419" spans="1:19" x14ac:dyDescent="0.2">
      <c r="A419" s="1">
        <v>45755</v>
      </c>
      <c r="D419" t="s">
        <v>7378</v>
      </c>
      <c r="E419" t="s">
        <v>16</v>
      </c>
      <c r="F419" t="s">
        <v>82</v>
      </c>
      <c r="G419" s="14">
        <v>129000</v>
      </c>
      <c r="H419" s="14">
        <v>129000</v>
      </c>
      <c r="I419" t="s">
        <v>22</v>
      </c>
      <c r="J419" t="s">
        <v>22</v>
      </c>
      <c r="K419" t="s">
        <v>7379</v>
      </c>
      <c r="L419" t="s">
        <v>366</v>
      </c>
      <c r="M419" t="s">
        <v>19</v>
      </c>
      <c r="N419">
        <v>1</v>
      </c>
      <c r="O419" t="s">
        <v>367</v>
      </c>
      <c r="P419" t="s">
        <v>131</v>
      </c>
      <c r="Q419" t="s">
        <v>30</v>
      </c>
      <c r="R419" t="str">
        <f>VLOOKUP($O419,'Mapa Oficinas'!$A$7:$C$46,2,FALSE)</f>
        <v>Interior - Neuquén</v>
      </c>
      <c r="S419" t="str">
        <f>VLOOKUP($O419,'Mapa Oficinas'!$A$7:$C$46,3,FALSE)</f>
        <v>San Martín de los Andes</v>
      </c>
    </row>
    <row r="420" spans="1:19" x14ac:dyDescent="0.2">
      <c r="A420" s="1">
        <v>45755</v>
      </c>
      <c r="B420">
        <v>3</v>
      </c>
      <c r="D420" t="s">
        <v>7368</v>
      </c>
      <c r="E420" t="s">
        <v>16</v>
      </c>
      <c r="F420" t="s">
        <v>243</v>
      </c>
      <c r="G420" s="14">
        <v>170000</v>
      </c>
      <c r="H420" s="14">
        <v>170000</v>
      </c>
      <c r="I420" t="s">
        <v>22</v>
      </c>
      <c r="J420" t="s">
        <v>22</v>
      </c>
      <c r="K420" t="s">
        <v>7369</v>
      </c>
      <c r="L420" t="s">
        <v>107</v>
      </c>
      <c r="M420" t="s">
        <v>72</v>
      </c>
      <c r="N420">
        <v>1</v>
      </c>
      <c r="O420" t="s">
        <v>116</v>
      </c>
      <c r="P420" t="s">
        <v>146</v>
      </c>
      <c r="Q420" t="s">
        <v>30</v>
      </c>
      <c r="R420" t="str">
        <f>VLOOKUP($O420,'Mapa Oficinas'!$A$7:$C$46,2,FALSE)</f>
        <v>CABA</v>
      </c>
      <c r="S420" t="str">
        <f>VLOOKUP($O420,'Mapa Oficinas'!$A$7:$C$46,3,FALSE)</f>
        <v>Puerto Madero</v>
      </c>
    </row>
    <row r="421" spans="1:19" x14ac:dyDescent="0.2">
      <c r="A421" s="1">
        <v>45755</v>
      </c>
      <c r="B421" t="s">
        <v>7377</v>
      </c>
      <c r="D421" t="s">
        <v>7377</v>
      </c>
      <c r="E421" t="s">
        <v>16</v>
      </c>
      <c r="F421" t="s">
        <v>17</v>
      </c>
      <c r="G421" s="14">
        <v>192000</v>
      </c>
      <c r="H421" s="14">
        <v>192000</v>
      </c>
      <c r="I421" t="s">
        <v>22</v>
      </c>
      <c r="J421" t="s">
        <v>22</v>
      </c>
      <c r="K421" t="s">
        <v>7377</v>
      </c>
      <c r="L421" t="s">
        <v>237</v>
      </c>
      <c r="M421" t="s">
        <v>19</v>
      </c>
      <c r="N421">
        <v>2</v>
      </c>
      <c r="O421" t="s">
        <v>50</v>
      </c>
      <c r="P421" t="s">
        <v>21</v>
      </c>
      <c r="Q421" t="s">
        <v>30</v>
      </c>
      <c r="R421" t="str">
        <f>VLOOKUP($O421,'Mapa Oficinas'!$A$7:$C$46,2,FALSE)</f>
        <v>CABA</v>
      </c>
      <c r="S421" t="str">
        <f>VLOOKUP($O421,'Mapa Oficinas'!$A$7:$C$46,3,FALSE)</f>
        <v>Villa Urquiza</v>
      </c>
    </row>
    <row r="422" spans="1:19" x14ac:dyDescent="0.2">
      <c r="A422" s="1">
        <v>45755</v>
      </c>
      <c r="B422" t="s">
        <v>7366</v>
      </c>
      <c r="D422" t="s">
        <v>7367</v>
      </c>
      <c r="E422" t="s">
        <v>16</v>
      </c>
      <c r="F422" t="s">
        <v>17</v>
      </c>
      <c r="G422" s="14">
        <v>235000</v>
      </c>
      <c r="H422" s="14">
        <v>270000</v>
      </c>
      <c r="I422" t="s">
        <v>22</v>
      </c>
      <c r="J422" t="s">
        <v>22</v>
      </c>
      <c r="K422" t="s">
        <v>7367</v>
      </c>
      <c r="L422" t="s">
        <v>2132</v>
      </c>
      <c r="M422" t="s">
        <v>19</v>
      </c>
      <c r="N422">
        <v>2</v>
      </c>
      <c r="O422" t="s">
        <v>142</v>
      </c>
      <c r="P422" t="s">
        <v>41</v>
      </c>
      <c r="Q422" t="s">
        <v>30</v>
      </c>
      <c r="R422" t="str">
        <f>VLOOKUP($O422,'Mapa Oficinas'!$A$7:$C$46,2,FALSE)</f>
        <v>Zona Norte (GBA)</v>
      </c>
      <c r="S422" t="str">
        <f>VLOOKUP($O422,'Mapa Oficinas'!$A$7:$C$46,3,FALSE)</f>
        <v>Nordelta</v>
      </c>
    </row>
    <row r="423" spans="1:19" x14ac:dyDescent="0.2">
      <c r="A423" s="1">
        <v>45755</v>
      </c>
      <c r="B423" t="s">
        <v>7363</v>
      </c>
      <c r="D423" t="s">
        <v>7364</v>
      </c>
      <c r="E423" t="s">
        <v>16</v>
      </c>
      <c r="F423" t="s">
        <v>127</v>
      </c>
      <c r="G423" s="14">
        <v>459000</v>
      </c>
      <c r="H423" s="14">
        <v>395000</v>
      </c>
      <c r="I423" t="s">
        <v>22</v>
      </c>
      <c r="J423" t="s">
        <v>22</v>
      </c>
      <c r="K423" t="s">
        <v>7365</v>
      </c>
      <c r="L423" t="s">
        <v>205</v>
      </c>
      <c r="M423" t="s">
        <v>19</v>
      </c>
      <c r="N423">
        <v>2</v>
      </c>
      <c r="O423" t="s">
        <v>1956</v>
      </c>
      <c r="P423" t="s">
        <v>41</v>
      </c>
      <c r="Q423" t="s">
        <v>30</v>
      </c>
      <c r="R423" t="str">
        <f>VLOOKUP($O423,'Mapa Oficinas'!$A$7:$C$46,2,FALSE)</f>
        <v>CABA</v>
      </c>
      <c r="S423" t="str">
        <f>VLOOKUP($O423,'Mapa Oficinas'!$A$7:$C$46,3,FALSE)</f>
        <v>Núñez</v>
      </c>
    </row>
    <row r="424" spans="1:19" x14ac:dyDescent="0.2">
      <c r="A424" s="1">
        <v>45755</v>
      </c>
      <c r="B424" t="s">
        <v>7373</v>
      </c>
      <c r="D424" t="s">
        <v>7374</v>
      </c>
      <c r="E424" t="s">
        <v>16</v>
      </c>
      <c r="F424" t="s">
        <v>17</v>
      </c>
      <c r="G424" s="14">
        <v>560000</v>
      </c>
      <c r="H424" s="14">
        <v>550000</v>
      </c>
      <c r="I424" t="s">
        <v>22</v>
      </c>
      <c r="J424" t="s">
        <v>22</v>
      </c>
      <c r="K424" t="s">
        <v>1398</v>
      </c>
      <c r="L424" t="s">
        <v>1399</v>
      </c>
      <c r="M424" t="s">
        <v>28</v>
      </c>
      <c r="N424">
        <v>2</v>
      </c>
      <c r="O424" t="s">
        <v>40</v>
      </c>
      <c r="P424" t="s">
        <v>21</v>
      </c>
      <c r="Q424" t="s">
        <v>30</v>
      </c>
      <c r="R424" t="str">
        <f>VLOOKUP($O424,'Mapa Oficinas'!$A$7:$C$46,2,FALSE)</f>
        <v>Zona Norte (GBA)</v>
      </c>
      <c r="S424" t="str">
        <f>VLOOKUP($O424,'Mapa Oficinas'!$A$7:$C$46,3,FALSE)</f>
        <v>Pilar</v>
      </c>
    </row>
    <row r="425" spans="1:19" x14ac:dyDescent="0.2">
      <c r="A425" s="1">
        <v>45756</v>
      </c>
      <c r="B425" t="s">
        <v>7356</v>
      </c>
      <c r="D425" t="s">
        <v>7357</v>
      </c>
      <c r="E425" t="s">
        <v>16</v>
      </c>
      <c r="F425" t="s">
        <v>17</v>
      </c>
      <c r="G425" s="14">
        <v>65000</v>
      </c>
      <c r="H425" s="14">
        <v>61000</v>
      </c>
      <c r="I425" t="s">
        <v>22</v>
      </c>
      <c r="J425" t="s">
        <v>22</v>
      </c>
      <c r="K425" t="s">
        <v>7358</v>
      </c>
      <c r="L425" t="s">
        <v>164</v>
      </c>
      <c r="M425" t="s">
        <v>19</v>
      </c>
      <c r="N425">
        <v>2</v>
      </c>
      <c r="O425" t="s">
        <v>103</v>
      </c>
      <c r="P425" t="s">
        <v>21</v>
      </c>
      <c r="Q425" t="s">
        <v>30</v>
      </c>
      <c r="R425" t="str">
        <f>VLOOKUP($O425,'Mapa Oficinas'!$A$7:$C$46,2,FALSE)</f>
        <v>CABA</v>
      </c>
      <c r="S425" t="str">
        <f>VLOOKUP($O425,'Mapa Oficinas'!$A$7:$C$46,3,FALSE)</f>
        <v>Barrio Parque</v>
      </c>
    </row>
    <row r="426" spans="1:19" x14ac:dyDescent="0.2">
      <c r="A426" s="1">
        <v>45756</v>
      </c>
      <c r="D426" t="s">
        <v>420</v>
      </c>
      <c r="E426" t="s">
        <v>16</v>
      </c>
      <c r="F426" t="s">
        <v>17</v>
      </c>
      <c r="G426" s="14">
        <v>71000</v>
      </c>
      <c r="H426" s="14">
        <v>71000</v>
      </c>
      <c r="I426" t="s">
        <v>22</v>
      </c>
      <c r="J426" t="s">
        <v>22</v>
      </c>
      <c r="K426" t="s">
        <v>7355</v>
      </c>
      <c r="L426" t="s">
        <v>474</v>
      </c>
      <c r="M426" t="s">
        <v>19</v>
      </c>
      <c r="N426">
        <v>1</v>
      </c>
      <c r="O426" t="s">
        <v>252</v>
      </c>
      <c r="P426" t="s">
        <v>146</v>
      </c>
      <c r="Q426" t="s">
        <v>30</v>
      </c>
      <c r="R426" t="str">
        <f>VLOOKUP($O426,'Mapa Oficinas'!$A$7:$C$46,2,FALSE)</f>
        <v>CABA</v>
      </c>
      <c r="S426" t="str">
        <f>VLOOKUP($O426,'Mapa Oficinas'!$A$7:$C$46,3,FALSE)</f>
        <v>Belgrano</v>
      </c>
    </row>
    <row r="427" spans="1:19" x14ac:dyDescent="0.2">
      <c r="A427" s="1">
        <v>45756</v>
      </c>
      <c r="D427" t="s">
        <v>420</v>
      </c>
      <c r="E427" t="s">
        <v>16</v>
      </c>
      <c r="F427" t="s">
        <v>17</v>
      </c>
      <c r="G427" s="14">
        <v>71000</v>
      </c>
      <c r="H427" s="14">
        <v>71000</v>
      </c>
      <c r="I427" t="s">
        <v>22</v>
      </c>
      <c r="J427" t="s">
        <v>22</v>
      </c>
      <c r="K427" t="s">
        <v>7359</v>
      </c>
      <c r="L427" t="s">
        <v>474</v>
      </c>
      <c r="M427" t="s">
        <v>19</v>
      </c>
      <c r="N427">
        <v>1</v>
      </c>
      <c r="O427" t="s">
        <v>252</v>
      </c>
      <c r="P427" t="s">
        <v>146</v>
      </c>
      <c r="Q427" t="s">
        <v>30</v>
      </c>
      <c r="R427" t="str">
        <f>VLOOKUP($O427,'Mapa Oficinas'!$A$7:$C$46,2,FALSE)</f>
        <v>CABA</v>
      </c>
      <c r="S427" t="str">
        <f>VLOOKUP($O427,'Mapa Oficinas'!$A$7:$C$46,3,FALSE)</f>
        <v>Belgrano</v>
      </c>
    </row>
    <row r="428" spans="1:19" x14ac:dyDescent="0.2">
      <c r="A428" s="1">
        <v>45756</v>
      </c>
      <c r="B428" t="s">
        <v>7360</v>
      </c>
      <c r="D428" t="s">
        <v>7361</v>
      </c>
      <c r="E428" t="s">
        <v>16</v>
      </c>
      <c r="F428" t="s">
        <v>17</v>
      </c>
      <c r="G428" s="14">
        <v>200000</v>
      </c>
      <c r="H428" s="14">
        <v>190000</v>
      </c>
      <c r="I428" t="s">
        <v>22</v>
      </c>
      <c r="J428" t="s">
        <v>22</v>
      </c>
      <c r="K428" t="s">
        <v>7362</v>
      </c>
      <c r="L428" t="s">
        <v>195</v>
      </c>
      <c r="M428" t="s">
        <v>72</v>
      </c>
      <c r="N428">
        <v>2</v>
      </c>
      <c r="O428" t="s">
        <v>252</v>
      </c>
      <c r="P428" t="s">
        <v>21</v>
      </c>
      <c r="Q428" t="s">
        <v>30</v>
      </c>
      <c r="R428" t="str">
        <f>VLOOKUP($O428,'Mapa Oficinas'!$A$7:$C$46,2,FALSE)</f>
        <v>CABA</v>
      </c>
      <c r="S428" t="str">
        <f>VLOOKUP($O428,'Mapa Oficinas'!$A$7:$C$46,3,FALSE)</f>
        <v>Belgrano</v>
      </c>
    </row>
    <row r="429" spans="1:19" x14ac:dyDescent="0.2">
      <c r="A429" s="1">
        <v>45756</v>
      </c>
      <c r="B429">
        <v>10240</v>
      </c>
      <c r="D429" t="s">
        <v>7354</v>
      </c>
      <c r="E429" t="s">
        <v>16</v>
      </c>
      <c r="F429" t="s">
        <v>17</v>
      </c>
      <c r="G429" s="14">
        <v>0</v>
      </c>
      <c r="H429" s="14">
        <v>192500</v>
      </c>
      <c r="I429" t="s">
        <v>22</v>
      </c>
      <c r="J429" t="s">
        <v>22</v>
      </c>
      <c r="L429" t="s">
        <v>277</v>
      </c>
      <c r="M429" t="s">
        <v>19</v>
      </c>
      <c r="N429">
        <v>2</v>
      </c>
      <c r="O429" t="s">
        <v>103</v>
      </c>
      <c r="P429" t="s">
        <v>276</v>
      </c>
      <c r="Q429" t="s">
        <v>30</v>
      </c>
      <c r="R429" t="str">
        <f>VLOOKUP($O429,'Mapa Oficinas'!$A$7:$C$46,2,FALSE)</f>
        <v>CABA</v>
      </c>
      <c r="S429" t="str">
        <f>VLOOKUP($O429,'Mapa Oficinas'!$A$7:$C$46,3,FALSE)</f>
        <v>Barrio Parque</v>
      </c>
    </row>
    <row r="430" spans="1:19" x14ac:dyDescent="0.2">
      <c r="A430" s="1">
        <v>45756</v>
      </c>
      <c r="B430" t="s">
        <v>7350</v>
      </c>
      <c r="D430" t="s">
        <v>7351</v>
      </c>
      <c r="E430" t="s">
        <v>16</v>
      </c>
      <c r="F430" t="s">
        <v>17</v>
      </c>
      <c r="G430" s="14">
        <v>249500</v>
      </c>
      <c r="H430" s="14">
        <v>245000</v>
      </c>
      <c r="I430" t="s">
        <v>22</v>
      </c>
      <c r="J430" t="s">
        <v>22</v>
      </c>
      <c r="K430" t="s">
        <v>7352</v>
      </c>
      <c r="L430" t="s">
        <v>282</v>
      </c>
      <c r="M430" t="s">
        <v>19</v>
      </c>
      <c r="N430">
        <v>2</v>
      </c>
      <c r="O430" t="s">
        <v>103</v>
      </c>
      <c r="P430" t="s">
        <v>21</v>
      </c>
      <c r="Q430" t="s">
        <v>30</v>
      </c>
      <c r="R430" t="str">
        <f>VLOOKUP($O430,'Mapa Oficinas'!$A$7:$C$46,2,FALSE)</f>
        <v>CABA</v>
      </c>
      <c r="S430" t="str">
        <f>VLOOKUP($O430,'Mapa Oficinas'!$A$7:$C$46,3,FALSE)</f>
        <v>Barrio Parque</v>
      </c>
    </row>
    <row r="431" spans="1:19" x14ac:dyDescent="0.2">
      <c r="A431" s="1">
        <v>45756</v>
      </c>
      <c r="B431" t="s">
        <v>7353</v>
      </c>
      <c r="D431" t="s">
        <v>7353</v>
      </c>
      <c r="E431" t="s">
        <v>16</v>
      </c>
      <c r="F431" t="s">
        <v>17</v>
      </c>
      <c r="G431" s="14">
        <v>665000</v>
      </c>
      <c r="H431" s="14">
        <v>665000</v>
      </c>
      <c r="I431" t="s">
        <v>22</v>
      </c>
      <c r="J431" t="s">
        <v>22</v>
      </c>
      <c r="K431" t="s">
        <v>7353</v>
      </c>
      <c r="L431" t="s">
        <v>413</v>
      </c>
      <c r="M431" t="s">
        <v>97</v>
      </c>
      <c r="N431">
        <v>2</v>
      </c>
      <c r="O431" t="s">
        <v>35</v>
      </c>
      <c r="P431" t="s">
        <v>21</v>
      </c>
      <c r="Q431" t="s">
        <v>30</v>
      </c>
      <c r="R431" t="str">
        <f>VLOOKUP($O431,'Mapa Oficinas'!$A$7:$C$46,2,FALSE)</f>
        <v>Zona Norte (GBA)</v>
      </c>
      <c r="S431" t="str">
        <f>VLOOKUP($O431,'Mapa Oficinas'!$A$7:$C$46,3,FALSE)</f>
        <v>Vicente López</v>
      </c>
    </row>
    <row r="432" spans="1:19" x14ac:dyDescent="0.2">
      <c r="A432" s="1">
        <v>45757</v>
      </c>
      <c r="B432" t="s">
        <v>7341</v>
      </c>
      <c r="D432" t="s">
        <v>7342</v>
      </c>
      <c r="E432" t="s">
        <v>16</v>
      </c>
      <c r="F432" t="s">
        <v>17</v>
      </c>
      <c r="G432" s="14">
        <v>145000</v>
      </c>
      <c r="H432" s="14">
        <v>140000</v>
      </c>
      <c r="I432" t="s">
        <v>22</v>
      </c>
      <c r="J432" t="s">
        <v>22</v>
      </c>
      <c r="K432" t="s">
        <v>7343</v>
      </c>
      <c r="L432" t="s">
        <v>2517</v>
      </c>
      <c r="M432" t="s">
        <v>19</v>
      </c>
      <c r="N432">
        <v>2</v>
      </c>
      <c r="O432" t="s">
        <v>142</v>
      </c>
      <c r="P432" t="s">
        <v>41</v>
      </c>
      <c r="Q432" t="s">
        <v>30</v>
      </c>
      <c r="R432" t="str">
        <f>VLOOKUP($O432,'Mapa Oficinas'!$A$7:$C$46,2,FALSE)</f>
        <v>Zona Norte (GBA)</v>
      </c>
      <c r="S432" t="str">
        <f>VLOOKUP($O432,'Mapa Oficinas'!$A$7:$C$46,3,FALSE)</f>
        <v>Nordelta</v>
      </c>
    </row>
    <row r="433" spans="1:19" x14ac:dyDescent="0.2">
      <c r="A433" s="1">
        <v>45757</v>
      </c>
      <c r="B433" t="s">
        <v>7347</v>
      </c>
      <c r="D433" t="s">
        <v>7348</v>
      </c>
      <c r="E433" t="s">
        <v>16</v>
      </c>
      <c r="F433" t="s">
        <v>17</v>
      </c>
      <c r="G433" s="14">
        <v>170000</v>
      </c>
      <c r="H433" s="14">
        <v>160000</v>
      </c>
      <c r="I433" t="s">
        <v>22</v>
      </c>
      <c r="J433" t="s">
        <v>22</v>
      </c>
      <c r="K433" t="s">
        <v>7349</v>
      </c>
      <c r="L433" t="s">
        <v>277</v>
      </c>
      <c r="M433" t="s">
        <v>19</v>
      </c>
      <c r="N433">
        <v>2</v>
      </c>
      <c r="O433" t="s">
        <v>116</v>
      </c>
      <c r="P433" t="s">
        <v>21</v>
      </c>
      <c r="Q433" t="s">
        <v>30</v>
      </c>
      <c r="R433" t="str">
        <f>VLOOKUP($O433,'Mapa Oficinas'!$A$7:$C$46,2,FALSE)</f>
        <v>CABA</v>
      </c>
      <c r="S433" t="str">
        <f>VLOOKUP($O433,'Mapa Oficinas'!$A$7:$C$46,3,FALSE)</f>
        <v>Puerto Madero</v>
      </c>
    </row>
    <row r="434" spans="1:19" x14ac:dyDescent="0.2">
      <c r="A434" s="1">
        <v>45757</v>
      </c>
      <c r="B434" t="s">
        <v>7344</v>
      </c>
      <c r="D434" t="s">
        <v>7345</v>
      </c>
      <c r="E434" t="s">
        <v>16</v>
      </c>
      <c r="F434" t="s">
        <v>17</v>
      </c>
      <c r="G434" s="14">
        <v>165000</v>
      </c>
      <c r="H434" s="14">
        <v>160000</v>
      </c>
      <c r="I434" t="s">
        <v>22</v>
      </c>
      <c r="J434" t="s">
        <v>22</v>
      </c>
      <c r="K434" t="s">
        <v>7346</v>
      </c>
      <c r="L434" t="s">
        <v>318</v>
      </c>
      <c r="M434" t="s">
        <v>19</v>
      </c>
      <c r="N434">
        <v>2</v>
      </c>
      <c r="O434" t="s">
        <v>20</v>
      </c>
      <c r="P434" t="s">
        <v>21</v>
      </c>
      <c r="Q434" t="s">
        <v>30</v>
      </c>
      <c r="R434" t="str">
        <f>VLOOKUP($O434,'Mapa Oficinas'!$A$7:$C$46,2,FALSE)</f>
        <v>CABA</v>
      </c>
      <c r="S434" t="str">
        <f>VLOOKUP($O434,'Mapa Oficinas'!$A$7:$C$46,3,FALSE)</f>
        <v>Palermo</v>
      </c>
    </row>
    <row r="435" spans="1:19" x14ac:dyDescent="0.2">
      <c r="A435" s="1">
        <v>45758</v>
      </c>
      <c r="B435" t="s">
        <v>7331</v>
      </c>
      <c r="D435" t="s">
        <v>7332</v>
      </c>
      <c r="E435" t="s">
        <v>16</v>
      </c>
      <c r="F435" t="s">
        <v>17</v>
      </c>
      <c r="G435" s="14">
        <v>49000</v>
      </c>
      <c r="H435" s="14">
        <v>49000</v>
      </c>
      <c r="I435" t="s">
        <v>22</v>
      </c>
      <c r="J435" t="s">
        <v>22</v>
      </c>
      <c r="K435" t="s">
        <v>7333</v>
      </c>
      <c r="L435" t="s">
        <v>160</v>
      </c>
      <c r="M435" t="s">
        <v>28</v>
      </c>
      <c r="N435">
        <v>2</v>
      </c>
      <c r="O435" t="s">
        <v>151</v>
      </c>
      <c r="P435" t="s">
        <v>21</v>
      </c>
      <c r="Q435" t="s">
        <v>30</v>
      </c>
      <c r="R435" t="str">
        <f>VLOOKUP($O435,'Mapa Oficinas'!$A$7:$C$46,2,FALSE)</f>
        <v>Interior - Neuquén</v>
      </c>
      <c r="S435" t="str">
        <f>VLOOKUP($O435,'Mapa Oficinas'!$A$7:$C$46,3,FALSE)</f>
        <v>Capital Neuquén</v>
      </c>
    </row>
    <row r="436" spans="1:19" x14ac:dyDescent="0.2">
      <c r="A436" s="1">
        <v>45758</v>
      </c>
      <c r="B436" t="s">
        <v>7337</v>
      </c>
      <c r="D436" t="s">
        <v>7338</v>
      </c>
      <c r="E436" t="s">
        <v>16</v>
      </c>
      <c r="F436" t="s">
        <v>127</v>
      </c>
      <c r="G436" s="14">
        <v>59000</v>
      </c>
      <c r="H436" s="14">
        <v>53000</v>
      </c>
      <c r="I436" t="s">
        <v>22</v>
      </c>
      <c r="J436" t="s">
        <v>22</v>
      </c>
      <c r="K436" t="s">
        <v>7339</v>
      </c>
      <c r="L436" t="s">
        <v>1278</v>
      </c>
      <c r="M436" t="s">
        <v>97</v>
      </c>
      <c r="N436">
        <v>1</v>
      </c>
      <c r="O436" t="s">
        <v>55</v>
      </c>
      <c r="P436" t="s">
        <v>66</v>
      </c>
      <c r="Q436" t="s">
        <v>30</v>
      </c>
      <c r="R436" t="str">
        <f>VLOOKUP($O436,'Mapa Oficinas'!$A$7:$C$46,2,FALSE)</f>
        <v>Interior - Santa Fe</v>
      </c>
      <c r="S436" t="str">
        <f>VLOOKUP($O436,'Mapa Oficinas'!$A$7:$C$46,3,FALSE)</f>
        <v>Capital Santa Fe</v>
      </c>
    </row>
    <row r="437" spans="1:19" x14ac:dyDescent="0.2">
      <c r="A437" s="1">
        <v>45758</v>
      </c>
      <c r="B437" t="s">
        <v>7324</v>
      </c>
      <c r="D437" t="s">
        <v>7325</v>
      </c>
      <c r="E437" t="s">
        <v>16</v>
      </c>
      <c r="F437" t="s">
        <v>17</v>
      </c>
      <c r="G437" s="14">
        <v>92000</v>
      </c>
      <c r="H437" s="14">
        <v>88000</v>
      </c>
      <c r="I437" t="s">
        <v>22</v>
      </c>
      <c r="J437" t="s">
        <v>22</v>
      </c>
      <c r="K437" t="s">
        <v>7326</v>
      </c>
      <c r="L437" t="s">
        <v>191</v>
      </c>
      <c r="M437" t="s">
        <v>19</v>
      </c>
      <c r="N437">
        <v>2</v>
      </c>
      <c r="O437" t="s">
        <v>201</v>
      </c>
      <c r="P437" t="s">
        <v>21</v>
      </c>
      <c r="Q437" t="s">
        <v>30</v>
      </c>
      <c r="R437" t="str">
        <f>VLOOKUP($O437,'Mapa Oficinas'!$A$7:$C$46,2,FALSE)</f>
        <v>CABA</v>
      </c>
      <c r="S437" t="str">
        <f>VLOOKUP($O437,'Mapa Oficinas'!$A$7:$C$46,3,FALSE)</f>
        <v>Recoleta</v>
      </c>
    </row>
    <row r="438" spans="1:19" x14ac:dyDescent="0.2">
      <c r="A438" s="1">
        <v>45758</v>
      </c>
      <c r="B438" t="s">
        <v>7340</v>
      </c>
      <c r="D438" t="s">
        <v>7340</v>
      </c>
      <c r="E438" t="s">
        <v>16</v>
      </c>
      <c r="F438" t="s">
        <v>58</v>
      </c>
      <c r="G438" s="14">
        <v>115000</v>
      </c>
      <c r="H438" s="14">
        <v>115000</v>
      </c>
      <c r="I438" t="s">
        <v>22</v>
      </c>
      <c r="J438" t="s">
        <v>22</v>
      </c>
      <c r="K438" t="s">
        <v>7340</v>
      </c>
      <c r="L438" t="s">
        <v>523</v>
      </c>
      <c r="M438" t="s">
        <v>97</v>
      </c>
      <c r="N438">
        <v>2</v>
      </c>
      <c r="O438" t="s">
        <v>50</v>
      </c>
      <c r="P438" t="s">
        <v>21</v>
      </c>
      <c r="Q438" t="s">
        <v>30</v>
      </c>
      <c r="R438" t="str">
        <f>VLOOKUP($O438,'Mapa Oficinas'!$A$7:$C$46,2,FALSE)</f>
        <v>CABA</v>
      </c>
      <c r="S438" t="str">
        <f>VLOOKUP($O438,'Mapa Oficinas'!$A$7:$C$46,3,FALSE)</f>
        <v>Villa Urquiza</v>
      </c>
    </row>
    <row r="439" spans="1:19" x14ac:dyDescent="0.2">
      <c r="A439" s="1">
        <v>45758</v>
      </c>
      <c r="B439" t="s">
        <v>7310</v>
      </c>
      <c r="D439" t="s">
        <v>7311</v>
      </c>
      <c r="E439" t="s">
        <v>16</v>
      </c>
      <c r="F439" t="s">
        <v>58</v>
      </c>
      <c r="G439" s="14">
        <v>119900</v>
      </c>
      <c r="H439" s="14">
        <v>119000</v>
      </c>
      <c r="I439" t="s">
        <v>22</v>
      </c>
      <c r="J439" t="s">
        <v>22</v>
      </c>
      <c r="K439" t="s">
        <v>7312</v>
      </c>
      <c r="L439" t="s">
        <v>4622</v>
      </c>
      <c r="M439" t="s">
        <v>28</v>
      </c>
      <c r="N439">
        <v>2</v>
      </c>
      <c r="O439" t="s">
        <v>50</v>
      </c>
      <c r="P439" t="s">
        <v>21</v>
      </c>
      <c r="Q439" t="s">
        <v>30</v>
      </c>
      <c r="R439" t="str">
        <f>VLOOKUP($O439,'Mapa Oficinas'!$A$7:$C$46,2,FALSE)</f>
        <v>CABA</v>
      </c>
      <c r="S439" t="str">
        <f>VLOOKUP($O439,'Mapa Oficinas'!$A$7:$C$46,3,FALSE)</f>
        <v>Villa Urquiza</v>
      </c>
    </row>
    <row r="440" spans="1:19" x14ac:dyDescent="0.2">
      <c r="A440" s="1">
        <v>45758</v>
      </c>
      <c r="B440" t="s">
        <v>7317</v>
      </c>
      <c r="D440" t="s">
        <v>7318</v>
      </c>
      <c r="E440" t="s">
        <v>16</v>
      </c>
      <c r="F440" t="s">
        <v>17</v>
      </c>
      <c r="G440" s="14">
        <v>115000</v>
      </c>
      <c r="H440" s="14">
        <v>120000</v>
      </c>
      <c r="I440" t="s">
        <v>22</v>
      </c>
      <c r="J440" t="s">
        <v>22</v>
      </c>
      <c r="K440" t="s">
        <v>7319</v>
      </c>
      <c r="L440" t="s">
        <v>318</v>
      </c>
      <c r="M440" t="s">
        <v>19</v>
      </c>
      <c r="N440">
        <v>2</v>
      </c>
      <c r="O440" t="s">
        <v>50</v>
      </c>
      <c r="P440" t="s">
        <v>21</v>
      </c>
      <c r="Q440" t="s">
        <v>30</v>
      </c>
      <c r="R440" t="str">
        <f>VLOOKUP($O440,'Mapa Oficinas'!$A$7:$C$46,2,FALSE)</f>
        <v>CABA</v>
      </c>
      <c r="S440" t="str">
        <f>VLOOKUP($O440,'Mapa Oficinas'!$A$7:$C$46,3,FALSE)</f>
        <v>Villa Urquiza</v>
      </c>
    </row>
    <row r="441" spans="1:19" x14ac:dyDescent="0.2">
      <c r="A441" s="1">
        <v>45758</v>
      </c>
      <c r="B441" t="s">
        <v>7327</v>
      </c>
      <c r="D441" t="s">
        <v>7328</v>
      </c>
      <c r="E441" t="s">
        <v>16</v>
      </c>
      <c r="F441" t="s">
        <v>17</v>
      </c>
      <c r="G441" s="14">
        <v>140000</v>
      </c>
      <c r="H441" s="14">
        <v>130000</v>
      </c>
      <c r="I441" t="s">
        <v>22</v>
      </c>
      <c r="J441" t="s">
        <v>22</v>
      </c>
      <c r="K441" t="s">
        <v>7329</v>
      </c>
      <c r="L441" t="s">
        <v>1634</v>
      </c>
      <c r="M441" t="s">
        <v>19</v>
      </c>
      <c r="N441">
        <v>2</v>
      </c>
      <c r="O441" t="s">
        <v>103</v>
      </c>
      <c r="P441" t="s">
        <v>276</v>
      </c>
      <c r="Q441" t="s">
        <v>30</v>
      </c>
      <c r="R441" t="str">
        <f>VLOOKUP($O441,'Mapa Oficinas'!$A$7:$C$46,2,FALSE)</f>
        <v>CABA</v>
      </c>
      <c r="S441" t="str">
        <f>VLOOKUP($O441,'Mapa Oficinas'!$A$7:$C$46,3,FALSE)</f>
        <v>Barrio Parque</v>
      </c>
    </row>
    <row r="442" spans="1:19" x14ac:dyDescent="0.2">
      <c r="A442" s="1">
        <v>45758</v>
      </c>
      <c r="B442" t="s">
        <v>7334</v>
      </c>
      <c r="D442" t="s">
        <v>7335</v>
      </c>
      <c r="E442" t="s">
        <v>16</v>
      </c>
      <c r="F442" t="s">
        <v>17</v>
      </c>
      <c r="G442" s="14">
        <v>160000</v>
      </c>
      <c r="H442" s="14">
        <v>150000</v>
      </c>
      <c r="I442" t="s">
        <v>22</v>
      </c>
      <c r="J442" t="s">
        <v>22</v>
      </c>
      <c r="K442" t="s">
        <v>7336</v>
      </c>
      <c r="L442" t="s">
        <v>330</v>
      </c>
      <c r="M442" t="s">
        <v>72</v>
      </c>
      <c r="N442">
        <v>2</v>
      </c>
      <c r="O442" t="s">
        <v>35</v>
      </c>
      <c r="P442" t="s">
        <v>21</v>
      </c>
      <c r="Q442" t="s">
        <v>30</v>
      </c>
      <c r="R442" t="str">
        <f>VLOOKUP($O442,'Mapa Oficinas'!$A$7:$C$46,2,FALSE)</f>
        <v>Zona Norte (GBA)</v>
      </c>
      <c r="S442" t="str">
        <f>VLOOKUP($O442,'Mapa Oficinas'!$A$7:$C$46,3,FALSE)</f>
        <v>Vicente López</v>
      </c>
    </row>
    <row r="443" spans="1:19" x14ac:dyDescent="0.2">
      <c r="A443" s="1">
        <v>45758</v>
      </c>
      <c r="B443">
        <v>10340</v>
      </c>
      <c r="D443" t="s">
        <v>7330</v>
      </c>
      <c r="E443" t="s">
        <v>16</v>
      </c>
      <c r="F443" t="s">
        <v>82</v>
      </c>
      <c r="G443" s="14">
        <v>169000</v>
      </c>
      <c r="H443" s="14">
        <v>169000</v>
      </c>
      <c r="I443" t="s">
        <v>22</v>
      </c>
      <c r="J443" t="s">
        <v>22</v>
      </c>
      <c r="L443" t="s">
        <v>960</v>
      </c>
      <c r="M443" t="s">
        <v>28</v>
      </c>
      <c r="N443">
        <v>2</v>
      </c>
      <c r="O443" t="s">
        <v>103</v>
      </c>
      <c r="P443" t="s">
        <v>21</v>
      </c>
      <c r="Q443" t="s">
        <v>30</v>
      </c>
      <c r="R443" t="str">
        <f>VLOOKUP($O443,'Mapa Oficinas'!$A$7:$C$46,2,FALSE)</f>
        <v>CABA</v>
      </c>
      <c r="S443" t="str">
        <f>VLOOKUP($O443,'Mapa Oficinas'!$A$7:$C$46,3,FALSE)</f>
        <v>Barrio Parque</v>
      </c>
    </row>
    <row r="444" spans="1:19" x14ac:dyDescent="0.2">
      <c r="A444" s="1">
        <v>45758</v>
      </c>
      <c r="B444" t="s">
        <v>7313</v>
      </c>
      <c r="D444" t="s">
        <v>7314</v>
      </c>
      <c r="E444" t="s">
        <v>16</v>
      </c>
      <c r="F444" t="s">
        <v>134</v>
      </c>
      <c r="G444" s="14">
        <v>88600</v>
      </c>
      <c r="H444" s="14">
        <v>170000</v>
      </c>
      <c r="I444" t="s">
        <v>22</v>
      </c>
      <c r="J444" t="s">
        <v>22</v>
      </c>
      <c r="K444" t="s">
        <v>306</v>
      </c>
      <c r="L444" t="s">
        <v>307</v>
      </c>
      <c r="M444" t="s">
        <v>97</v>
      </c>
      <c r="N444">
        <v>1</v>
      </c>
      <c r="O444" t="s">
        <v>130</v>
      </c>
      <c r="P444" t="s">
        <v>131</v>
      </c>
      <c r="Q444" t="s">
        <v>30</v>
      </c>
      <c r="R444" t="str">
        <f>VLOOKUP($O444,'Mapa Oficinas'!$A$7:$C$46,2,FALSE)</f>
        <v>Interior - Río Negro</v>
      </c>
      <c r="S444" t="str">
        <f>VLOOKUP($O444,'Mapa Oficinas'!$A$7:$C$46,3,FALSE)</f>
        <v>Bariloche</v>
      </c>
    </row>
    <row r="445" spans="1:19" x14ac:dyDescent="0.2">
      <c r="A445" s="1">
        <v>45758</v>
      </c>
      <c r="D445" t="s">
        <v>7315</v>
      </c>
      <c r="E445" t="s">
        <v>16</v>
      </c>
      <c r="F445" t="s">
        <v>38</v>
      </c>
      <c r="G445" s="14">
        <v>260000</v>
      </c>
      <c r="H445" s="14">
        <v>260000</v>
      </c>
      <c r="I445" t="s">
        <v>22</v>
      </c>
      <c r="J445" t="s">
        <v>22</v>
      </c>
      <c r="K445" t="s">
        <v>7316</v>
      </c>
      <c r="L445" t="s">
        <v>79</v>
      </c>
      <c r="M445" t="s">
        <v>19</v>
      </c>
      <c r="N445">
        <v>2</v>
      </c>
      <c r="O445" t="s">
        <v>206</v>
      </c>
      <c r="P445" t="s">
        <v>41</v>
      </c>
      <c r="Q445" t="s">
        <v>30</v>
      </c>
      <c r="R445" t="str">
        <f>VLOOKUP($O445,'Mapa Oficinas'!$A$7:$C$46,2,FALSE)</f>
        <v>CABA</v>
      </c>
      <c r="S445" t="str">
        <f>VLOOKUP($O445,'Mapa Oficinas'!$A$7:$C$46,3,FALSE)</f>
        <v>Belgrano</v>
      </c>
    </row>
    <row r="446" spans="1:19" x14ac:dyDescent="0.2">
      <c r="A446" s="1">
        <v>45760</v>
      </c>
      <c r="B446">
        <v>500760</v>
      </c>
      <c r="D446" t="s">
        <v>7307</v>
      </c>
      <c r="E446" t="s">
        <v>16</v>
      </c>
      <c r="F446" t="s">
        <v>17</v>
      </c>
      <c r="G446" s="14">
        <v>370000</v>
      </c>
      <c r="H446" s="14">
        <v>362500</v>
      </c>
      <c r="I446" t="s">
        <v>22</v>
      </c>
      <c r="J446" t="s">
        <v>22</v>
      </c>
      <c r="K446" t="s">
        <v>7308</v>
      </c>
      <c r="L446" t="s">
        <v>1845</v>
      </c>
      <c r="M446" t="s">
        <v>28</v>
      </c>
      <c r="N446">
        <v>2</v>
      </c>
      <c r="O446" t="s">
        <v>142</v>
      </c>
      <c r="P446" t="s">
        <v>276</v>
      </c>
      <c r="Q446" t="s">
        <v>30</v>
      </c>
      <c r="R446" t="str">
        <f>VLOOKUP($O446,'Mapa Oficinas'!$A$7:$C$46,2,FALSE)</f>
        <v>Zona Norte (GBA)</v>
      </c>
      <c r="S446" t="str">
        <f>VLOOKUP($O446,'Mapa Oficinas'!$A$7:$C$46,3,FALSE)</f>
        <v>Nordelta</v>
      </c>
    </row>
    <row r="447" spans="1:19" x14ac:dyDescent="0.2">
      <c r="A447" s="1">
        <v>45761</v>
      </c>
      <c r="B447" t="s">
        <v>7277</v>
      </c>
      <c r="D447" t="s">
        <v>7278</v>
      </c>
      <c r="E447" t="s">
        <v>16</v>
      </c>
      <c r="F447" t="s">
        <v>53</v>
      </c>
      <c r="G447" s="14">
        <v>55000</v>
      </c>
      <c r="H447" s="14">
        <v>49000</v>
      </c>
      <c r="I447" t="s">
        <v>22</v>
      </c>
      <c r="J447" t="s">
        <v>22</v>
      </c>
      <c r="K447" t="s">
        <v>7279</v>
      </c>
      <c r="L447" t="s">
        <v>3393</v>
      </c>
      <c r="M447" t="s">
        <v>28</v>
      </c>
      <c r="N447">
        <v>2</v>
      </c>
      <c r="O447" t="s">
        <v>85</v>
      </c>
      <c r="P447" t="s">
        <v>21</v>
      </c>
      <c r="Q447" t="s">
        <v>30</v>
      </c>
      <c r="R447" t="str">
        <f>VLOOKUP($O447,'Mapa Oficinas'!$A$7:$C$46,2,FALSE)</f>
        <v>Interior - Jujuy</v>
      </c>
      <c r="S447" t="str">
        <f>VLOOKUP($O447,'Mapa Oficinas'!$A$7:$C$46,3,FALSE)</f>
        <v>Capital Jujuy</v>
      </c>
    </row>
    <row r="448" spans="1:19" x14ac:dyDescent="0.2">
      <c r="A448" s="1">
        <v>45761</v>
      </c>
      <c r="B448" t="s">
        <v>7286</v>
      </c>
      <c r="D448" t="s">
        <v>7287</v>
      </c>
      <c r="E448" t="s">
        <v>16</v>
      </c>
      <c r="F448" t="s">
        <v>53</v>
      </c>
      <c r="G448" s="14">
        <v>50000</v>
      </c>
      <c r="H448" s="14">
        <v>50000</v>
      </c>
      <c r="I448" t="s">
        <v>22</v>
      </c>
      <c r="J448" t="s">
        <v>22</v>
      </c>
      <c r="K448" t="s">
        <v>7288</v>
      </c>
      <c r="L448" t="s">
        <v>1662</v>
      </c>
      <c r="M448" t="s">
        <v>97</v>
      </c>
      <c r="N448">
        <v>2</v>
      </c>
      <c r="O448" t="s">
        <v>85</v>
      </c>
      <c r="P448" t="s">
        <v>21</v>
      </c>
      <c r="Q448" t="s">
        <v>30</v>
      </c>
      <c r="R448" t="str">
        <f>VLOOKUP($O448,'Mapa Oficinas'!$A$7:$C$46,2,FALSE)</f>
        <v>Interior - Jujuy</v>
      </c>
      <c r="S448" t="str">
        <f>VLOOKUP($O448,'Mapa Oficinas'!$A$7:$C$46,3,FALSE)</f>
        <v>Capital Jujuy</v>
      </c>
    </row>
    <row r="449" spans="1:19" x14ac:dyDescent="0.2">
      <c r="A449" s="1">
        <v>45761</v>
      </c>
      <c r="B449">
        <v>7</v>
      </c>
      <c r="D449" t="s">
        <v>7284</v>
      </c>
      <c r="E449" t="s">
        <v>16</v>
      </c>
      <c r="F449" t="s">
        <v>17</v>
      </c>
      <c r="G449" s="14">
        <v>78000</v>
      </c>
      <c r="H449" s="14">
        <v>79000</v>
      </c>
      <c r="I449" t="s">
        <v>22</v>
      </c>
      <c r="J449" t="s">
        <v>22</v>
      </c>
      <c r="K449" t="s">
        <v>7285</v>
      </c>
      <c r="L449" t="s">
        <v>545</v>
      </c>
      <c r="M449" t="s">
        <v>19</v>
      </c>
      <c r="N449">
        <v>1</v>
      </c>
      <c r="O449" t="s">
        <v>116</v>
      </c>
      <c r="P449" t="s">
        <v>146</v>
      </c>
      <c r="Q449" t="s">
        <v>30</v>
      </c>
      <c r="R449" t="str">
        <f>VLOOKUP($O449,'Mapa Oficinas'!$A$7:$C$46,2,FALSE)</f>
        <v>CABA</v>
      </c>
      <c r="S449" t="str">
        <f>VLOOKUP($O449,'Mapa Oficinas'!$A$7:$C$46,3,FALSE)</f>
        <v>Puerto Madero</v>
      </c>
    </row>
    <row r="450" spans="1:19" x14ac:dyDescent="0.2">
      <c r="A450" s="1">
        <v>45761</v>
      </c>
      <c r="B450" t="s">
        <v>7300</v>
      </c>
      <c r="D450" t="s">
        <v>7301</v>
      </c>
      <c r="E450" t="s">
        <v>16</v>
      </c>
      <c r="F450" t="s">
        <v>82</v>
      </c>
      <c r="G450" s="14">
        <v>115000</v>
      </c>
      <c r="H450" s="14">
        <v>100000</v>
      </c>
      <c r="I450" t="s">
        <v>22</v>
      </c>
      <c r="J450" t="s">
        <v>22</v>
      </c>
      <c r="L450" t="s">
        <v>337</v>
      </c>
      <c r="M450" t="s">
        <v>309</v>
      </c>
      <c r="N450">
        <v>1</v>
      </c>
      <c r="O450" t="s">
        <v>55</v>
      </c>
      <c r="P450" t="s">
        <v>131</v>
      </c>
      <c r="Q450" t="s">
        <v>30</v>
      </c>
      <c r="R450" t="str">
        <f>VLOOKUP($O450,'Mapa Oficinas'!$A$7:$C$46,2,FALSE)</f>
        <v>Interior - Santa Fe</v>
      </c>
      <c r="S450" t="str">
        <f>VLOOKUP($O450,'Mapa Oficinas'!$A$7:$C$46,3,FALSE)</f>
        <v>Capital Santa Fe</v>
      </c>
    </row>
    <row r="451" spans="1:19" x14ac:dyDescent="0.2">
      <c r="A451" s="1">
        <v>45761</v>
      </c>
      <c r="B451" t="s">
        <v>7297</v>
      </c>
      <c r="D451" t="s">
        <v>7298</v>
      </c>
      <c r="E451" t="s">
        <v>16</v>
      </c>
      <c r="F451" t="s">
        <v>17</v>
      </c>
      <c r="G451" s="14">
        <v>125000</v>
      </c>
      <c r="H451" s="14">
        <v>122000</v>
      </c>
      <c r="I451" t="s">
        <v>22</v>
      </c>
      <c r="J451" t="s">
        <v>22</v>
      </c>
      <c r="K451" t="s">
        <v>7299</v>
      </c>
      <c r="L451" t="s">
        <v>4114</v>
      </c>
      <c r="M451" t="s">
        <v>19</v>
      </c>
      <c r="N451">
        <v>2</v>
      </c>
      <c r="O451" t="s">
        <v>151</v>
      </c>
      <c r="P451" t="s">
        <v>21</v>
      </c>
      <c r="Q451" t="s">
        <v>30</v>
      </c>
      <c r="R451" t="str">
        <f>VLOOKUP($O451,'Mapa Oficinas'!$A$7:$C$46,2,FALSE)</f>
        <v>Interior - Neuquén</v>
      </c>
      <c r="S451" t="str">
        <f>VLOOKUP($O451,'Mapa Oficinas'!$A$7:$C$46,3,FALSE)</f>
        <v>Capital Neuquén</v>
      </c>
    </row>
    <row r="452" spans="1:19" x14ac:dyDescent="0.2">
      <c r="A452" s="1">
        <v>45761</v>
      </c>
      <c r="B452" t="s">
        <v>7289</v>
      </c>
      <c r="D452" t="s">
        <v>7290</v>
      </c>
      <c r="E452" t="s">
        <v>16</v>
      </c>
      <c r="F452" t="s">
        <v>17</v>
      </c>
      <c r="G452" s="14">
        <v>145000</v>
      </c>
      <c r="H452" s="14">
        <v>135000</v>
      </c>
      <c r="I452" t="s">
        <v>22</v>
      </c>
      <c r="J452" t="s">
        <v>22</v>
      </c>
      <c r="K452" t="s">
        <v>7291</v>
      </c>
      <c r="L452" t="s">
        <v>1995</v>
      </c>
      <c r="M452" t="s">
        <v>28</v>
      </c>
      <c r="N452">
        <v>2</v>
      </c>
      <c r="O452" t="s">
        <v>50</v>
      </c>
      <c r="P452" t="s">
        <v>21</v>
      </c>
      <c r="Q452" t="s">
        <v>30</v>
      </c>
      <c r="R452" t="str">
        <f>VLOOKUP($O452,'Mapa Oficinas'!$A$7:$C$46,2,FALSE)</f>
        <v>CABA</v>
      </c>
      <c r="S452" t="str">
        <f>VLOOKUP($O452,'Mapa Oficinas'!$A$7:$C$46,3,FALSE)</f>
        <v>Villa Urquiza</v>
      </c>
    </row>
    <row r="453" spans="1:19" x14ac:dyDescent="0.2">
      <c r="A453" s="1">
        <v>45761</v>
      </c>
      <c r="B453" t="s">
        <v>7304</v>
      </c>
      <c r="D453" t="s">
        <v>7305</v>
      </c>
      <c r="E453" t="s">
        <v>16</v>
      </c>
      <c r="F453" t="s">
        <v>134</v>
      </c>
      <c r="G453" s="14">
        <v>177000</v>
      </c>
      <c r="H453" s="14">
        <v>170000</v>
      </c>
      <c r="I453" t="s">
        <v>22</v>
      </c>
      <c r="J453" t="s">
        <v>22</v>
      </c>
      <c r="K453" t="s">
        <v>7306</v>
      </c>
      <c r="L453" t="s">
        <v>1672</v>
      </c>
      <c r="M453" t="s">
        <v>28</v>
      </c>
      <c r="N453">
        <v>2</v>
      </c>
      <c r="O453" t="s">
        <v>116</v>
      </c>
      <c r="P453" t="s">
        <v>276</v>
      </c>
      <c r="Q453" t="s">
        <v>30</v>
      </c>
      <c r="R453" t="str">
        <f>VLOOKUP($O453,'Mapa Oficinas'!$A$7:$C$46,2,FALSE)</f>
        <v>CABA</v>
      </c>
      <c r="S453" t="str">
        <f>VLOOKUP($O453,'Mapa Oficinas'!$A$7:$C$46,3,FALSE)</f>
        <v>Puerto Madero</v>
      </c>
    </row>
    <row r="454" spans="1:19" x14ac:dyDescent="0.2">
      <c r="A454" s="1">
        <v>45762</v>
      </c>
      <c r="D454" t="s">
        <v>7240</v>
      </c>
      <c r="E454" t="s">
        <v>16</v>
      </c>
      <c r="F454" t="s">
        <v>17</v>
      </c>
      <c r="G454" s="14">
        <v>45000</v>
      </c>
      <c r="H454" s="14">
        <v>45000</v>
      </c>
      <c r="I454" t="s">
        <v>22</v>
      </c>
      <c r="J454" t="s">
        <v>22</v>
      </c>
      <c r="K454" t="s">
        <v>7241</v>
      </c>
      <c r="L454" t="s">
        <v>226</v>
      </c>
      <c r="M454" t="s">
        <v>19</v>
      </c>
      <c r="N454">
        <v>1</v>
      </c>
      <c r="O454" t="s">
        <v>201</v>
      </c>
      <c r="P454" t="s">
        <v>146</v>
      </c>
      <c r="Q454" t="s">
        <v>30</v>
      </c>
      <c r="R454" t="str">
        <f>VLOOKUP($O454,'Mapa Oficinas'!$A$7:$C$46,2,FALSE)</f>
        <v>CABA</v>
      </c>
      <c r="S454" t="str">
        <f>VLOOKUP($O454,'Mapa Oficinas'!$A$7:$C$46,3,FALSE)</f>
        <v>Recoleta</v>
      </c>
    </row>
    <row r="455" spans="1:19" x14ac:dyDescent="0.2">
      <c r="A455" s="1">
        <v>45762</v>
      </c>
      <c r="B455" t="s">
        <v>7258</v>
      </c>
      <c r="D455" t="s">
        <v>7259</v>
      </c>
      <c r="E455" t="s">
        <v>16</v>
      </c>
      <c r="F455" t="s">
        <v>134</v>
      </c>
      <c r="G455" s="14">
        <v>49000</v>
      </c>
      <c r="H455" s="14">
        <v>48000</v>
      </c>
      <c r="I455" t="s">
        <v>22</v>
      </c>
      <c r="J455" t="s">
        <v>22</v>
      </c>
      <c r="K455" t="s">
        <v>7260</v>
      </c>
      <c r="L455" t="s">
        <v>2487</v>
      </c>
      <c r="M455" t="s">
        <v>97</v>
      </c>
      <c r="N455">
        <v>2</v>
      </c>
      <c r="O455" t="s">
        <v>130</v>
      </c>
      <c r="P455" t="s">
        <v>41</v>
      </c>
      <c r="Q455" t="s">
        <v>30</v>
      </c>
      <c r="R455" t="str">
        <f>VLOOKUP($O455,'Mapa Oficinas'!$A$7:$C$46,2,FALSE)</f>
        <v>Interior - Río Negro</v>
      </c>
      <c r="S455" t="str">
        <f>VLOOKUP($O455,'Mapa Oficinas'!$A$7:$C$46,3,FALSE)</f>
        <v>Bariloche</v>
      </c>
    </row>
    <row r="456" spans="1:19" x14ac:dyDescent="0.2">
      <c r="A456" s="1">
        <v>45762</v>
      </c>
      <c r="B456" t="s">
        <v>7246</v>
      </c>
      <c r="D456" t="s">
        <v>7247</v>
      </c>
      <c r="E456" t="s">
        <v>16</v>
      </c>
      <c r="F456" t="s">
        <v>17</v>
      </c>
      <c r="G456" s="14">
        <v>60000</v>
      </c>
      <c r="H456" s="14">
        <v>51500</v>
      </c>
      <c r="I456" t="s">
        <v>22</v>
      </c>
      <c r="J456" t="s">
        <v>22</v>
      </c>
      <c r="K456" t="s">
        <v>7248</v>
      </c>
      <c r="L456" t="s">
        <v>277</v>
      </c>
      <c r="M456" t="s">
        <v>19</v>
      </c>
      <c r="N456">
        <v>2</v>
      </c>
      <c r="O456" t="s">
        <v>35</v>
      </c>
      <c r="P456" t="s">
        <v>21</v>
      </c>
      <c r="Q456" t="s">
        <v>30</v>
      </c>
      <c r="R456" t="str">
        <f>VLOOKUP($O456,'Mapa Oficinas'!$A$7:$C$46,2,FALSE)</f>
        <v>Zona Norte (GBA)</v>
      </c>
      <c r="S456" t="str">
        <f>VLOOKUP($O456,'Mapa Oficinas'!$A$7:$C$46,3,FALSE)</f>
        <v>Vicente López</v>
      </c>
    </row>
    <row r="457" spans="1:19" x14ac:dyDescent="0.2">
      <c r="A457" s="1">
        <v>45762</v>
      </c>
      <c r="B457" t="s">
        <v>7237</v>
      </c>
      <c r="D457" t="s">
        <v>7238</v>
      </c>
      <c r="E457" t="s">
        <v>16</v>
      </c>
      <c r="F457" t="s">
        <v>17</v>
      </c>
      <c r="G457" s="14">
        <v>60000</v>
      </c>
      <c r="H457" s="14">
        <v>60000</v>
      </c>
      <c r="I457" t="s">
        <v>22</v>
      </c>
      <c r="J457" t="s">
        <v>22</v>
      </c>
      <c r="K457" t="s">
        <v>7239</v>
      </c>
      <c r="L457" t="s">
        <v>71</v>
      </c>
      <c r="M457" t="s">
        <v>19</v>
      </c>
      <c r="N457">
        <v>2</v>
      </c>
      <c r="O457" t="s">
        <v>206</v>
      </c>
      <c r="P457" t="s">
        <v>21</v>
      </c>
      <c r="Q457" t="s">
        <v>30</v>
      </c>
      <c r="R457" t="str">
        <f>VLOOKUP($O457,'Mapa Oficinas'!$A$7:$C$46,2,FALSE)</f>
        <v>CABA</v>
      </c>
      <c r="S457" t="str">
        <f>VLOOKUP($O457,'Mapa Oficinas'!$A$7:$C$46,3,FALSE)</f>
        <v>Belgrano</v>
      </c>
    </row>
    <row r="458" spans="1:19" x14ac:dyDescent="0.2">
      <c r="A458" s="1">
        <v>45762</v>
      </c>
      <c r="B458" t="s">
        <v>7261</v>
      </c>
      <c r="D458" t="s">
        <v>7262</v>
      </c>
      <c r="E458" t="s">
        <v>16</v>
      </c>
      <c r="F458" t="s">
        <v>17</v>
      </c>
      <c r="G458" s="14">
        <v>152000</v>
      </c>
      <c r="H458" s="14">
        <v>147000</v>
      </c>
      <c r="I458" t="s">
        <v>22</v>
      </c>
      <c r="J458" t="s">
        <v>22</v>
      </c>
      <c r="K458" t="s">
        <v>7263</v>
      </c>
      <c r="L458" t="s">
        <v>258</v>
      </c>
      <c r="M458" t="s">
        <v>28</v>
      </c>
      <c r="N458">
        <v>2</v>
      </c>
      <c r="O458" t="s">
        <v>29</v>
      </c>
      <c r="P458" t="s">
        <v>21</v>
      </c>
      <c r="Q458" t="s">
        <v>30</v>
      </c>
      <c r="R458" t="str">
        <f>VLOOKUP($O458,'Mapa Oficinas'!$A$7:$C$46,2,FALSE)</f>
        <v>CABA</v>
      </c>
      <c r="S458" t="str">
        <f>VLOOKUP($O458,'Mapa Oficinas'!$A$7:$C$46,3,FALSE)</f>
        <v>Núñez</v>
      </c>
    </row>
    <row r="459" spans="1:19" x14ac:dyDescent="0.2">
      <c r="A459" s="1">
        <v>45762</v>
      </c>
      <c r="B459" t="s">
        <v>7255</v>
      </c>
      <c r="D459" t="s">
        <v>7256</v>
      </c>
      <c r="E459" t="s">
        <v>16</v>
      </c>
      <c r="F459" t="s">
        <v>17</v>
      </c>
      <c r="G459" s="14">
        <v>185000</v>
      </c>
      <c r="H459" s="14">
        <v>180000</v>
      </c>
      <c r="I459" t="s">
        <v>22</v>
      </c>
      <c r="J459" t="s">
        <v>22</v>
      </c>
      <c r="K459" t="s">
        <v>7257</v>
      </c>
      <c r="L459" t="s">
        <v>1246</v>
      </c>
      <c r="M459" t="s">
        <v>72</v>
      </c>
      <c r="N459">
        <v>2</v>
      </c>
      <c r="O459" t="s">
        <v>29</v>
      </c>
      <c r="P459" t="s">
        <v>276</v>
      </c>
      <c r="Q459" t="s">
        <v>30</v>
      </c>
      <c r="R459" t="str">
        <f>VLOOKUP($O459,'Mapa Oficinas'!$A$7:$C$46,2,FALSE)</f>
        <v>CABA</v>
      </c>
      <c r="S459" t="str">
        <f>VLOOKUP($O459,'Mapa Oficinas'!$A$7:$C$46,3,FALSE)</f>
        <v>Núñez</v>
      </c>
    </row>
    <row r="460" spans="1:19" x14ac:dyDescent="0.2">
      <c r="A460" s="1">
        <v>45762</v>
      </c>
      <c r="B460" t="s">
        <v>7249</v>
      </c>
      <c r="D460" t="s">
        <v>7250</v>
      </c>
      <c r="E460" t="s">
        <v>16</v>
      </c>
      <c r="F460" t="s">
        <v>38</v>
      </c>
      <c r="G460" s="14">
        <v>950</v>
      </c>
      <c r="H460" s="14">
        <v>210000</v>
      </c>
      <c r="I460" t="s">
        <v>22</v>
      </c>
      <c r="J460" t="s">
        <v>22</v>
      </c>
      <c r="K460" t="s">
        <v>7251</v>
      </c>
      <c r="L460" t="s">
        <v>607</v>
      </c>
      <c r="M460" t="s">
        <v>19</v>
      </c>
      <c r="N460">
        <v>2</v>
      </c>
      <c r="O460" t="s">
        <v>40</v>
      </c>
      <c r="P460" t="s">
        <v>21</v>
      </c>
      <c r="Q460" t="s">
        <v>30</v>
      </c>
      <c r="R460" t="str">
        <f>VLOOKUP($O460,'Mapa Oficinas'!$A$7:$C$46,2,FALSE)</f>
        <v>Zona Norte (GBA)</v>
      </c>
      <c r="S460" t="str">
        <f>VLOOKUP($O460,'Mapa Oficinas'!$A$7:$C$46,3,FALSE)</f>
        <v>Pilar</v>
      </c>
    </row>
    <row r="461" spans="1:19" x14ac:dyDescent="0.2">
      <c r="A461" s="1">
        <v>45762</v>
      </c>
      <c r="B461" t="s">
        <v>7242</v>
      </c>
      <c r="D461" t="s">
        <v>7243</v>
      </c>
      <c r="E461" t="s">
        <v>16</v>
      </c>
      <c r="F461" t="s">
        <v>17</v>
      </c>
      <c r="G461" s="14">
        <v>229900</v>
      </c>
      <c r="H461" s="14">
        <v>229000</v>
      </c>
      <c r="I461" t="s">
        <v>22</v>
      </c>
      <c r="J461" t="s">
        <v>22</v>
      </c>
      <c r="K461" t="s">
        <v>7244</v>
      </c>
      <c r="L461" t="s">
        <v>7245</v>
      </c>
      <c r="N461">
        <v>2</v>
      </c>
      <c r="O461" t="s">
        <v>50</v>
      </c>
      <c r="P461" t="s">
        <v>21</v>
      </c>
      <c r="Q461" t="s">
        <v>30</v>
      </c>
      <c r="R461" t="str">
        <f>VLOOKUP($O461,'Mapa Oficinas'!$A$7:$C$46,2,FALSE)</f>
        <v>CABA</v>
      </c>
      <c r="S461" t="str">
        <f>VLOOKUP($O461,'Mapa Oficinas'!$A$7:$C$46,3,FALSE)</f>
        <v>Villa Urquiza</v>
      </c>
    </row>
    <row r="462" spans="1:19" x14ac:dyDescent="0.2">
      <c r="A462" s="1">
        <v>45762</v>
      </c>
      <c r="B462" t="s">
        <v>7252</v>
      </c>
      <c r="D462" t="s">
        <v>7253</v>
      </c>
      <c r="E462" t="s">
        <v>16</v>
      </c>
      <c r="F462" t="s">
        <v>17</v>
      </c>
      <c r="G462" s="14">
        <v>395000</v>
      </c>
      <c r="H462" s="14">
        <v>330000</v>
      </c>
      <c r="I462" t="s">
        <v>22</v>
      </c>
      <c r="J462" t="s">
        <v>22</v>
      </c>
      <c r="K462" t="s">
        <v>7254</v>
      </c>
      <c r="L462" t="s">
        <v>1019</v>
      </c>
      <c r="M462" t="s">
        <v>28</v>
      </c>
      <c r="N462">
        <v>2</v>
      </c>
      <c r="O462" t="s">
        <v>29</v>
      </c>
      <c r="P462" t="s">
        <v>21</v>
      </c>
      <c r="Q462" t="s">
        <v>30</v>
      </c>
      <c r="R462" t="str">
        <f>VLOOKUP($O462,'Mapa Oficinas'!$A$7:$C$46,2,FALSE)</f>
        <v>CABA</v>
      </c>
      <c r="S462" t="str">
        <f>VLOOKUP($O462,'Mapa Oficinas'!$A$7:$C$46,3,FALSE)</f>
        <v>Núñez</v>
      </c>
    </row>
    <row r="463" spans="1:19" x14ac:dyDescent="0.2">
      <c r="A463" s="1">
        <v>45762</v>
      </c>
      <c r="B463" t="s">
        <v>7270</v>
      </c>
      <c r="D463" t="s">
        <v>7271</v>
      </c>
      <c r="E463" t="s">
        <v>16</v>
      </c>
      <c r="F463" t="s">
        <v>17</v>
      </c>
      <c r="G463" s="14">
        <v>350000</v>
      </c>
      <c r="H463" s="14">
        <v>335000</v>
      </c>
      <c r="I463" t="s">
        <v>22</v>
      </c>
      <c r="J463" t="s">
        <v>22</v>
      </c>
      <c r="K463" t="s">
        <v>7272</v>
      </c>
      <c r="L463" t="s">
        <v>569</v>
      </c>
      <c r="M463" t="s">
        <v>28</v>
      </c>
      <c r="N463">
        <v>2</v>
      </c>
      <c r="O463" t="s">
        <v>116</v>
      </c>
      <c r="P463" t="s">
        <v>21</v>
      </c>
      <c r="Q463" t="s">
        <v>30</v>
      </c>
      <c r="R463" t="str">
        <f>VLOOKUP($O463,'Mapa Oficinas'!$A$7:$C$46,2,FALSE)</f>
        <v>CABA</v>
      </c>
      <c r="S463" t="str">
        <f>VLOOKUP($O463,'Mapa Oficinas'!$A$7:$C$46,3,FALSE)</f>
        <v>Puerto Madero</v>
      </c>
    </row>
    <row r="464" spans="1:19" x14ac:dyDescent="0.2">
      <c r="A464" s="1">
        <v>45762</v>
      </c>
      <c r="B464" t="s">
        <v>7264</v>
      </c>
      <c r="D464" t="s">
        <v>7265</v>
      </c>
      <c r="E464" t="s">
        <v>16</v>
      </c>
      <c r="F464" t="s">
        <v>17</v>
      </c>
      <c r="G464" s="14">
        <v>60000</v>
      </c>
      <c r="H464" s="14">
        <v>375000</v>
      </c>
      <c r="I464" t="s">
        <v>22</v>
      </c>
      <c r="J464" t="s">
        <v>22</v>
      </c>
      <c r="K464" t="s">
        <v>7266</v>
      </c>
      <c r="L464" t="s">
        <v>330</v>
      </c>
      <c r="M464" t="s">
        <v>19</v>
      </c>
      <c r="N464">
        <v>2</v>
      </c>
      <c r="O464" t="s">
        <v>142</v>
      </c>
      <c r="P464" t="s">
        <v>276</v>
      </c>
      <c r="Q464" t="s">
        <v>30</v>
      </c>
      <c r="R464" t="str">
        <f>VLOOKUP($O464,'Mapa Oficinas'!$A$7:$C$46,2,FALSE)</f>
        <v>Zona Norte (GBA)</v>
      </c>
      <c r="S464" t="str">
        <f>VLOOKUP($O464,'Mapa Oficinas'!$A$7:$C$46,3,FALSE)</f>
        <v>Nordelta</v>
      </c>
    </row>
    <row r="465" spans="1:19" x14ac:dyDescent="0.2">
      <c r="A465" s="1">
        <v>45763</v>
      </c>
      <c r="B465" t="s">
        <v>7227</v>
      </c>
      <c r="D465" t="s">
        <v>7228</v>
      </c>
      <c r="E465" t="s">
        <v>16</v>
      </c>
      <c r="F465" t="s">
        <v>82</v>
      </c>
      <c r="G465" s="14">
        <v>45000</v>
      </c>
      <c r="H465" s="14">
        <v>41500</v>
      </c>
      <c r="I465" t="s">
        <v>22</v>
      </c>
      <c r="J465" t="s">
        <v>22</v>
      </c>
      <c r="K465" t="s">
        <v>7229</v>
      </c>
      <c r="L465" t="s">
        <v>124</v>
      </c>
      <c r="M465" t="s">
        <v>19</v>
      </c>
      <c r="N465">
        <v>2</v>
      </c>
      <c r="O465" t="s">
        <v>55</v>
      </c>
      <c r="P465" t="s">
        <v>41</v>
      </c>
      <c r="Q465" t="s">
        <v>30</v>
      </c>
      <c r="R465" t="str">
        <f>VLOOKUP($O465,'Mapa Oficinas'!$A$7:$C$46,2,FALSE)</f>
        <v>Interior - Santa Fe</v>
      </c>
      <c r="S465" t="str">
        <f>VLOOKUP($O465,'Mapa Oficinas'!$A$7:$C$46,3,FALSE)</f>
        <v>Capital Santa Fe</v>
      </c>
    </row>
    <row r="466" spans="1:19" x14ac:dyDescent="0.2">
      <c r="A466" s="1">
        <v>45763</v>
      </c>
      <c r="B466" t="s">
        <v>4221</v>
      </c>
      <c r="D466" t="s">
        <v>4222</v>
      </c>
      <c r="E466" t="s">
        <v>16</v>
      </c>
      <c r="F466" t="s">
        <v>17</v>
      </c>
      <c r="G466" s="14">
        <v>49990</v>
      </c>
      <c r="H466" s="14">
        <v>47000</v>
      </c>
      <c r="I466" t="s">
        <v>22</v>
      </c>
      <c r="J466" t="s">
        <v>22</v>
      </c>
      <c r="K466" t="s">
        <v>4223</v>
      </c>
      <c r="L466" t="s">
        <v>1995</v>
      </c>
      <c r="M466" t="s">
        <v>72</v>
      </c>
      <c r="N466">
        <v>2</v>
      </c>
      <c r="O466" t="s">
        <v>50</v>
      </c>
      <c r="P466" t="s">
        <v>21</v>
      </c>
      <c r="Q466" t="s">
        <v>30</v>
      </c>
      <c r="R466" t="str">
        <f>VLOOKUP($O466,'Mapa Oficinas'!$A$7:$C$46,2,FALSE)</f>
        <v>CABA</v>
      </c>
      <c r="S466" t="str">
        <f>VLOOKUP($O466,'Mapa Oficinas'!$A$7:$C$46,3,FALSE)</f>
        <v>Villa Urquiza</v>
      </c>
    </row>
    <row r="467" spans="1:19" x14ac:dyDescent="0.2">
      <c r="A467" s="1">
        <v>45763</v>
      </c>
      <c r="B467" t="s">
        <v>7222</v>
      </c>
      <c r="D467" t="s">
        <v>7223</v>
      </c>
      <c r="E467" t="s">
        <v>16</v>
      </c>
      <c r="F467" t="s">
        <v>47</v>
      </c>
      <c r="G467" s="14">
        <v>48500</v>
      </c>
      <c r="H467" s="14">
        <v>48500</v>
      </c>
      <c r="I467" t="s">
        <v>22</v>
      </c>
      <c r="J467" t="s">
        <v>22</v>
      </c>
      <c r="K467" t="s">
        <v>7224</v>
      </c>
      <c r="L467" t="s">
        <v>358</v>
      </c>
      <c r="M467" t="s">
        <v>97</v>
      </c>
      <c r="N467">
        <v>2</v>
      </c>
      <c r="O467" t="s">
        <v>359</v>
      </c>
      <c r="P467" t="s">
        <v>41</v>
      </c>
      <c r="Q467" t="s">
        <v>30</v>
      </c>
      <c r="R467" t="str">
        <f>VLOOKUP($O467,'Mapa Oficinas'!$A$7:$C$46,2,FALSE)</f>
        <v>CABA</v>
      </c>
      <c r="S467" t="str">
        <f>VLOOKUP($O467,'Mapa Oficinas'!$A$7:$C$46,3,FALSE)</f>
        <v>Palermo</v>
      </c>
    </row>
    <row r="468" spans="1:19" x14ac:dyDescent="0.2">
      <c r="A468" s="1">
        <v>45763</v>
      </c>
      <c r="B468" t="s">
        <v>4939</v>
      </c>
      <c r="D468" t="s">
        <v>4940</v>
      </c>
      <c r="E468" t="s">
        <v>16</v>
      </c>
      <c r="F468" t="s">
        <v>134</v>
      </c>
      <c r="G468" s="14">
        <v>60000</v>
      </c>
      <c r="H468" s="14">
        <v>50000</v>
      </c>
      <c r="I468" t="s">
        <v>22</v>
      </c>
      <c r="J468" t="s">
        <v>22</v>
      </c>
      <c r="K468" t="s">
        <v>4941</v>
      </c>
      <c r="L468" t="s">
        <v>4942</v>
      </c>
      <c r="M468" t="s">
        <v>97</v>
      </c>
      <c r="N468">
        <v>2</v>
      </c>
      <c r="O468" t="s">
        <v>130</v>
      </c>
      <c r="P468" t="s">
        <v>1578</v>
      </c>
      <c r="Q468" t="s">
        <v>30</v>
      </c>
      <c r="R468" t="str">
        <f>VLOOKUP($O468,'Mapa Oficinas'!$A$7:$C$46,2,FALSE)</f>
        <v>Interior - Río Negro</v>
      </c>
      <c r="S468" t="str">
        <f>VLOOKUP($O468,'Mapa Oficinas'!$A$7:$C$46,3,FALSE)</f>
        <v>Bariloche</v>
      </c>
    </row>
    <row r="469" spans="1:19" x14ac:dyDescent="0.2">
      <c r="A469" s="1">
        <v>45763</v>
      </c>
      <c r="B469" t="s">
        <v>7215</v>
      </c>
      <c r="D469" t="s">
        <v>7216</v>
      </c>
      <c r="E469" t="s">
        <v>16</v>
      </c>
      <c r="F469" t="s">
        <v>82</v>
      </c>
      <c r="G469" s="14">
        <v>55500</v>
      </c>
      <c r="H469" s="14">
        <v>53500</v>
      </c>
      <c r="I469" t="s">
        <v>22</v>
      </c>
      <c r="J469" t="s">
        <v>22</v>
      </c>
      <c r="K469" t="s">
        <v>7217</v>
      </c>
      <c r="L469" t="s">
        <v>503</v>
      </c>
      <c r="M469" t="s">
        <v>19</v>
      </c>
      <c r="N469">
        <v>2</v>
      </c>
      <c r="O469" t="s">
        <v>103</v>
      </c>
      <c r="P469" t="s">
        <v>41</v>
      </c>
      <c r="Q469" t="s">
        <v>30</v>
      </c>
      <c r="R469" t="str">
        <f>VLOOKUP($O469,'Mapa Oficinas'!$A$7:$C$46,2,FALSE)</f>
        <v>CABA</v>
      </c>
      <c r="S469" t="str">
        <f>VLOOKUP($O469,'Mapa Oficinas'!$A$7:$C$46,3,FALSE)</f>
        <v>Barrio Parque</v>
      </c>
    </row>
    <row r="470" spans="1:19" x14ac:dyDescent="0.2">
      <c r="A470" s="1">
        <v>45763</v>
      </c>
      <c r="B470" t="s">
        <v>7233</v>
      </c>
      <c r="D470" t="s">
        <v>7234</v>
      </c>
      <c r="E470" t="s">
        <v>16</v>
      </c>
      <c r="F470" t="s">
        <v>17</v>
      </c>
      <c r="G470" s="14">
        <v>65000</v>
      </c>
      <c r="H470" s="14">
        <v>63000</v>
      </c>
      <c r="I470" t="s">
        <v>22</v>
      </c>
      <c r="J470" t="s">
        <v>22</v>
      </c>
      <c r="K470" t="s">
        <v>7235</v>
      </c>
      <c r="L470" t="s">
        <v>37</v>
      </c>
      <c r="M470" t="s">
        <v>19</v>
      </c>
      <c r="N470">
        <v>2</v>
      </c>
      <c r="O470" t="s">
        <v>20</v>
      </c>
      <c r="P470" t="s">
        <v>21</v>
      </c>
      <c r="Q470" t="s">
        <v>30</v>
      </c>
      <c r="R470" t="str">
        <f>VLOOKUP($O470,'Mapa Oficinas'!$A$7:$C$46,2,FALSE)</f>
        <v>CABA</v>
      </c>
      <c r="S470" t="str">
        <f>VLOOKUP($O470,'Mapa Oficinas'!$A$7:$C$46,3,FALSE)</f>
        <v>Palermo</v>
      </c>
    </row>
    <row r="471" spans="1:19" x14ac:dyDescent="0.2">
      <c r="A471" s="1">
        <v>45763</v>
      </c>
      <c r="D471" t="s">
        <v>7236</v>
      </c>
      <c r="E471" t="s">
        <v>16</v>
      </c>
      <c r="F471" t="s">
        <v>47</v>
      </c>
      <c r="G471" s="14">
        <v>72000</v>
      </c>
      <c r="H471" s="14">
        <v>72000</v>
      </c>
      <c r="I471" t="s">
        <v>22</v>
      </c>
      <c r="J471" t="s">
        <v>22</v>
      </c>
      <c r="L471" t="s">
        <v>449</v>
      </c>
      <c r="M471" t="s">
        <v>97</v>
      </c>
      <c r="N471">
        <v>2</v>
      </c>
      <c r="O471" t="s">
        <v>367</v>
      </c>
      <c r="P471" t="s">
        <v>21</v>
      </c>
      <c r="Q471" t="s">
        <v>30</v>
      </c>
      <c r="R471" t="str">
        <f>VLOOKUP($O471,'Mapa Oficinas'!$A$7:$C$46,2,FALSE)</f>
        <v>Interior - Neuquén</v>
      </c>
      <c r="S471" t="str">
        <f>VLOOKUP($O471,'Mapa Oficinas'!$A$7:$C$46,3,FALSE)</f>
        <v>San Martín de los Andes</v>
      </c>
    </row>
    <row r="472" spans="1:19" x14ac:dyDescent="0.2">
      <c r="A472" s="1">
        <v>45763</v>
      </c>
      <c r="B472" t="s">
        <v>1893</v>
      </c>
      <c r="D472" t="s">
        <v>1894</v>
      </c>
      <c r="E472" t="s">
        <v>16</v>
      </c>
      <c r="F472" t="s">
        <v>184</v>
      </c>
      <c r="G472" s="14">
        <v>89856</v>
      </c>
      <c r="H472" s="14">
        <v>86400</v>
      </c>
      <c r="I472" t="s">
        <v>22</v>
      </c>
      <c r="J472" t="s">
        <v>22</v>
      </c>
      <c r="K472" t="s">
        <v>1477</v>
      </c>
      <c r="L472" t="s">
        <v>1895</v>
      </c>
      <c r="M472" t="s">
        <v>19</v>
      </c>
      <c r="N472">
        <v>2</v>
      </c>
      <c r="O472" t="s">
        <v>130</v>
      </c>
      <c r="P472" t="s">
        <v>41</v>
      </c>
      <c r="Q472" t="s">
        <v>30</v>
      </c>
      <c r="R472" t="str">
        <f>VLOOKUP($O472,'Mapa Oficinas'!$A$7:$C$46,2,FALSE)</f>
        <v>Interior - Río Negro</v>
      </c>
      <c r="S472" t="str">
        <f>VLOOKUP($O472,'Mapa Oficinas'!$A$7:$C$46,3,FALSE)</f>
        <v>Bariloche</v>
      </c>
    </row>
    <row r="473" spans="1:19" x14ac:dyDescent="0.2">
      <c r="A473" s="1">
        <v>45763</v>
      </c>
      <c r="B473" t="s">
        <v>7219</v>
      </c>
      <c r="D473" t="s">
        <v>7219</v>
      </c>
      <c r="E473" t="s">
        <v>16</v>
      </c>
      <c r="F473" t="s">
        <v>17</v>
      </c>
      <c r="G473" s="14">
        <v>89900</v>
      </c>
      <c r="H473" s="14">
        <v>89900</v>
      </c>
      <c r="I473" t="s">
        <v>22</v>
      </c>
      <c r="J473" t="s">
        <v>22</v>
      </c>
      <c r="K473" t="s">
        <v>7219</v>
      </c>
      <c r="L473" t="s">
        <v>604</v>
      </c>
      <c r="M473" t="s">
        <v>28</v>
      </c>
      <c r="N473">
        <v>2</v>
      </c>
      <c r="O473" t="s">
        <v>35</v>
      </c>
      <c r="P473" t="s">
        <v>21</v>
      </c>
      <c r="Q473" t="s">
        <v>30</v>
      </c>
      <c r="R473" t="str">
        <f>VLOOKUP($O473,'Mapa Oficinas'!$A$7:$C$46,2,FALSE)</f>
        <v>Zona Norte (GBA)</v>
      </c>
      <c r="S473" t="str">
        <f>VLOOKUP($O473,'Mapa Oficinas'!$A$7:$C$46,3,FALSE)</f>
        <v>Vicente López</v>
      </c>
    </row>
    <row r="474" spans="1:19" x14ac:dyDescent="0.2">
      <c r="A474" s="1">
        <v>45763</v>
      </c>
      <c r="B474" t="s">
        <v>7218</v>
      </c>
      <c r="D474" t="s">
        <v>7218</v>
      </c>
      <c r="E474" t="s">
        <v>16</v>
      </c>
      <c r="F474" t="s">
        <v>17</v>
      </c>
      <c r="G474" s="14">
        <v>133000</v>
      </c>
      <c r="H474" s="14">
        <v>133000</v>
      </c>
      <c r="I474" t="s">
        <v>22</v>
      </c>
      <c r="J474" t="s">
        <v>22</v>
      </c>
      <c r="K474" t="s">
        <v>7218</v>
      </c>
      <c r="L474" t="s">
        <v>164</v>
      </c>
      <c r="M474" t="s">
        <v>19</v>
      </c>
      <c r="N474">
        <v>2</v>
      </c>
      <c r="O474" t="s">
        <v>35</v>
      </c>
      <c r="P474" t="s">
        <v>21</v>
      </c>
      <c r="Q474" t="s">
        <v>30</v>
      </c>
      <c r="R474" t="str">
        <f>VLOOKUP($O474,'Mapa Oficinas'!$A$7:$C$46,2,FALSE)</f>
        <v>Zona Norte (GBA)</v>
      </c>
      <c r="S474" t="str">
        <f>VLOOKUP($O474,'Mapa Oficinas'!$A$7:$C$46,3,FALSE)</f>
        <v>Vicente López</v>
      </c>
    </row>
    <row r="475" spans="1:19" x14ac:dyDescent="0.2">
      <c r="A475" s="1">
        <v>45763</v>
      </c>
      <c r="B475" t="s">
        <v>7220</v>
      </c>
      <c r="D475" t="s">
        <v>7221</v>
      </c>
      <c r="E475" t="s">
        <v>16</v>
      </c>
      <c r="F475" t="s">
        <v>47</v>
      </c>
      <c r="G475" s="14">
        <v>174000</v>
      </c>
      <c r="H475" s="14">
        <v>170000</v>
      </c>
      <c r="I475" t="s">
        <v>22</v>
      </c>
      <c r="J475" t="s">
        <v>22</v>
      </c>
      <c r="L475" t="s">
        <v>358</v>
      </c>
      <c r="M475" t="s">
        <v>97</v>
      </c>
      <c r="N475">
        <v>2</v>
      </c>
      <c r="O475" t="s">
        <v>359</v>
      </c>
      <c r="P475" t="s">
        <v>21</v>
      </c>
      <c r="Q475" t="s">
        <v>30</v>
      </c>
      <c r="R475" t="str">
        <f>VLOOKUP($O475,'Mapa Oficinas'!$A$7:$C$46,2,FALSE)</f>
        <v>CABA</v>
      </c>
      <c r="S475" t="str">
        <f>VLOOKUP($O475,'Mapa Oficinas'!$A$7:$C$46,3,FALSE)</f>
        <v>Palermo</v>
      </c>
    </row>
    <row r="476" spans="1:19" x14ac:dyDescent="0.2">
      <c r="A476" s="1">
        <v>45763</v>
      </c>
      <c r="B476" t="s">
        <v>7213</v>
      </c>
      <c r="D476" t="s">
        <v>7214</v>
      </c>
      <c r="E476" t="s">
        <v>16</v>
      </c>
      <c r="F476" t="s">
        <v>134</v>
      </c>
      <c r="G476" s="14">
        <v>238023</v>
      </c>
      <c r="H476" s="14">
        <v>253435</v>
      </c>
      <c r="I476" t="s">
        <v>22</v>
      </c>
      <c r="J476" t="s">
        <v>22</v>
      </c>
      <c r="K476" t="s">
        <v>6441</v>
      </c>
      <c r="L476" t="s">
        <v>136</v>
      </c>
      <c r="M476" t="s">
        <v>19</v>
      </c>
      <c r="N476">
        <v>2</v>
      </c>
      <c r="O476" t="s">
        <v>130</v>
      </c>
      <c r="P476" t="s">
        <v>21</v>
      </c>
      <c r="Q476" t="s">
        <v>30</v>
      </c>
      <c r="R476" t="str">
        <f>VLOOKUP($O476,'Mapa Oficinas'!$A$7:$C$46,2,FALSE)</f>
        <v>Interior - Río Negro</v>
      </c>
      <c r="S476" t="str">
        <f>VLOOKUP($O476,'Mapa Oficinas'!$A$7:$C$46,3,FALSE)</f>
        <v>Bariloche</v>
      </c>
    </row>
    <row r="477" spans="1:19" x14ac:dyDescent="0.2">
      <c r="A477" s="1">
        <v>45763</v>
      </c>
      <c r="B477" t="s">
        <v>7230</v>
      </c>
      <c r="D477" t="s">
        <v>7231</v>
      </c>
      <c r="E477" t="s">
        <v>16</v>
      </c>
      <c r="F477" t="s">
        <v>17</v>
      </c>
      <c r="G477" s="14">
        <v>282900</v>
      </c>
      <c r="H477" s="14">
        <v>275000</v>
      </c>
      <c r="I477" t="s">
        <v>22</v>
      </c>
      <c r="J477" t="s">
        <v>22</v>
      </c>
      <c r="K477" t="s">
        <v>7232</v>
      </c>
      <c r="L477" t="s">
        <v>117</v>
      </c>
      <c r="M477" t="s">
        <v>19</v>
      </c>
      <c r="N477">
        <v>2</v>
      </c>
      <c r="O477" t="s">
        <v>20</v>
      </c>
      <c r="P477" t="s">
        <v>21</v>
      </c>
      <c r="Q477" t="s">
        <v>30</v>
      </c>
      <c r="R477" t="str">
        <f>VLOOKUP($O477,'Mapa Oficinas'!$A$7:$C$46,2,FALSE)</f>
        <v>CABA</v>
      </c>
      <c r="S477" t="str">
        <f>VLOOKUP($O477,'Mapa Oficinas'!$A$7:$C$46,3,FALSE)</f>
        <v>Palermo</v>
      </c>
    </row>
    <row r="478" spans="1:19" x14ac:dyDescent="0.2">
      <c r="A478" s="1">
        <v>45767</v>
      </c>
      <c r="B478" t="s">
        <v>7194</v>
      </c>
      <c r="D478" t="s">
        <v>7195</v>
      </c>
      <c r="E478" t="s">
        <v>16</v>
      </c>
      <c r="F478" t="s">
        <v>17</v>
      </c>
      <c r="G478" s="14">
        <v>140000</v>
      </c>
      <c r="H478" s="14">
        <v>130000</v>
      </c>
      <c r="I478" t="s">
        <v>22</v>
      </c>
      <c r="J478" t="s">
        <v>22</v>
      </c>
      <c r="K478" t="s">
        <v>7196</v>
      </c>
      <c r="L478" t="s">
        <v>7197</v>
      </c>
      <c r="M478" t="s">
        <v>19</v>
      </c>
      <c r="N478">
        <v>2</v>
      </c>
      <c r="O478" t="s">
        <v>142</v>
      </c>
      <c r="P478" t="s">
        <v>41</v>
      </c>
      <c r="Q478" t="s">
        <v>30</v>
      </c>
      <c r="R478" t="str">
        <f>VLOOKUP($O478,'Mapa Oficinas'!$A$7:$C$46,2,FALSE)</f>
        <v>Zona Norte (GBA)</v>
      </c>
      <c r="S478" t="str">
        <f>VLOOKUP($O478,'Mapa Oficinas'!$A$7:$C$46,3,FALSE)</f>
        <v>Nordelta</v>
      </c>
    </row>
    <row r="479" spans="1:19" x14ac:dyDescent="0.2">
      <c r="A479" s="1">
        <v>45768</v>
      </c>
      <c r="B479" t="s">
        <v>7207</v>
      </c>
      <c r="D479" t="s">
        <v>7208</v>
      </c>
      <c r="E479" t="s">
        <v>16</v>
      </c>
      <c r="F479" t="s">
        <v>1708</v>
      </c>
      <c r="G479" s="14">
        <v>36000</v>
      </c>
      <c r="H479" s="14">
        <v>37000</v>
      </c>
      <c r="I479" t="s">
        <v>22</v>
      </c>
      <c r="J479" t="s">
        <v>22</v>
      </c>
      <c r="K479" t="s">
        <v>7209</v>
      </c>
      <c r="L479" t="s">
        <v>915</v>
      </c>
      <c r="M479" t="s">
        <v>97</v>
      </c>
      <c r="N479">
        <v>2</v>
      </c>
      <c r="O479" t="s">
        <v>98</v>
      </c>
      <c r="P479" t="s">
        <v>41</v>
      </c>
      <c r="Q479" t="s">
        <v>30</v>
      </c>
      <c r="R479" t="str">
        <f>VLOOKUP($O479,'Mapa Oficinas'!$A$7:$C$46,2,FALSE)</f>
        <v>Interior - Neuquén</v>
      </c>
      <c r="S479" t="str">
        <f>VLOOKUP($O479,'Mapa Oficinas'!$A$7:$C$46,3,FALSE)</f>
        <v>Villa La Angostura</v>
      </c>
    </row>
    <row r="480" spans="1:19" x14ac:dyDescent="0.2">
      <c r="A480" s="1">
        <v>45768</v>
      </c>
      <c r="B480" t="s">
        <v>7212</v>
      </c>
      <c r="D480" t="s">
        <v>7212</v>
      </c>
      <c r="E480" t="s">
        <v>16</v>
      </c>
      <c r="F480" t="s">
        <v>17</v>
      </c>
      <c r="G480" s="14">
        <v>42000</v>
      </c>
      <c r="H480" s="14">
        <v>42000</v>
      </c>
      <c r="I480" t="s">
        <v>22</v>
      </c>
      <c r="J480" t="s">
        <v>22</v>
      </c>
      <c r="K480" t="s">
        <v>7212</v>
      </c>
      <c r="L480" t="s">
        <v>330</v>
      </c>
      <c r="M480" t="s">
        <v>19</v>
      </c>
      <c r="N480">
        <v>2</v>
      </c>
      <c r="O480" t="s">
        <v>35</v>
      </c>
      <c r="P480" t="s">
        <v>21</v>
      </c>
      <c r="Q480" t="s">
        <v>30</v>
      </c>
      <c r="R480" t="str">
        <f>VLOOKUP($O480,'Mapa Oficinas'!$A$7:$C$46,2,FALSE)</f>
        <v>Zona Norte (GBA)</v>
      </c>
      <c r="S480" t="str">
        <f>VLOOKUP($O480,'Mapa Oficinas'!$A$7:$C$46,3,FALSE)</f>
        <v>Vicente López</v>
      </c>
    </row>
    <row r="481" spans="1:19" x14ac:dyDescent="0.2">
      <c r="A481" s="1">
        <v>45768</v>
      </c>
      <c r="B481" t="s">
        <v>7201</v>
      </c>
      <c r="D481" t="s">
        <v>7202</v>
      </c>
      <c r="E481" t="s">
        <v>16</v>
      </c>
      <c r="F481" t="s">
        <v>17</v>
      </c>
      <c r="G481" s="14">
        <v>68000</v>
      </c>
      <c r="H481" s="14">
        <v>68000</v>
      </c>
      <c r="I481" t="s">
        <v>22</v>
      </c>
      <c r="J481" t="s">
        <v>22</v>
      </c>
      <c r="K481" t="s">
        <v>7203</v>
      </c>
      <c r="L481" t="s">
        <v>1827</v>
      </c>
      <c r="M481" t="s">
        <v>28</v>
      </c>
      <c r="N481">
        <v>2</v>
      </c>
      <c r="O481" t="s">
        <v>151</v>
      </c>
      <c r="P481" t="s">
        <v>21</v>
      </c>
      <c r="Q481" t="s">
        <v>30</v>
      </c>
      <c r="R481" t="str">
        <f>VLOOKUP($O481,'Mapa Oficinas'!$A$7:$C$46,2,FALSE)</f>
        <v>Interior - Neuquén</v>
      </c>
      <c r="S481" t="str">
        <f>VLOOKUP($O481,'Mapa Oficinas'!$A$7:$C$46,3,FALSE)</f>
        <v>Capital Neuquén</v>
      </c>
    </row>
    <row r="482" spans="1:19" x14ac:dyDescent="0.2">
      <c r="A482" s="1">
        <v>45768</v>
      </c>
      <c r="B482" t="s">
        <v>7198</v>
      </c>
      <c r="D482" t="s">
        <v>7199</v>
      </c>
      <c r="E482" t="s">
        <v>16</v>
      </c>
      <c r="F482" t="s">
        <v>17</v>
      </c>
      <c r="G482" s="14">
        <v>97500</v>
      </c>
      <c r="H482" s="14">
        <v>95000</v>
      </c>
      <c r="I482" t="s">
        <v>22</v>
      </c>
      <c r="J482" t="s">
        <v>22</v>
      </c>
      <c r="K482" t="s">
        <v>7200</v>
      </c>
      <c r="L482" t="s">
        <v>503</v>
      </c>
      <c r="M482" t="s">
        <v>19</v>
      </c>
      <c r="N482">
        <v>2</v>
      </c>
      <c r="O482" t="s">
        <v>20</v>
      </c>
      <c r="P482" t="s">
        <v>21</v>
      </c>
      <c r="Q482" t="s">
        <v>30</v>
      </c>
      <c r="R482" t="str">
        <f>VLOOKUP($O482,'Mapa Oficinas'!$A$7:$C$46,2,FALSE)</f>
        <v>CABA</v>
      </c>
      <c r="S482" t="str">
        <f>VLOOKUP($O482,'Mapa Oficinas'!$A$7:$C$46,3,FALSE)</f>
        <v>Palermo</v>
      </c>
    </row>
    <row r="483" spans="1:19" x14ac:dyDescent="0.2">
      <c r="A483" s="1">
        <v>45768</v>
      </c>
      <c r="D483" t="s">
        <v>7210</v>
      </c>
      <c r="E483" t="s">
        <v>16</v>
      </c>
      <c r="F483" t="s">
        <v>82</v>
      </c>
      <c r="G483" s="14">
        <v>104000</v>
      </c>
      <c r="H483" s="14">
        <v>104000</v>
      </c>
      <c r="I483" t="s">
        <v>22</v>
      </c>
      <c r="J483" t="s">
        <v>22</v>
      </c>
      <c r="K483" t="s">
        <v>7211</v>
      </c>
      <c r="L483" t="s">
        <v>1927</v>
      </c>
      <c r="M483" t="s">
        <v>19</v>
      </c>
      <c r="N483">
        <v>2</v>
      </c>
      <c r="O483" t="s">
        <v>98</v>
      </c>
      <c r="P483" t="s">
        <v>41</v>
      </c>
      <c r="Q483" t="s">
        <v>30</v>
      </c>
      <c r="R483" t="str">
        <f>VLOOKUP($O483,'Mapa Oficinas'!$A$7:$C$46,2,FALSE)</f>
        <v>Interior - Neuquén</v>
      </c>
      <c r="S483" t="str">
        <f>VLOOKUP($O483,'Mapa Oficinas'!$A$7:$C$46,3,FALSE)</f>
        <v>Villa La Angostura</v>
      </c>
    </row>
    <row r="484" spans="1:19" x14ac:dyDescent="0.2">
      <c r="A484" s="1">
        <v>45768</v>
      </c>
      <c r="B484" t="s">
        <v>3092</v>
      </c>
      <c r="D484" t="s">
        <v>3093</v>
      </c>
      <c r="E484" t="s">
        <v>16</v>
      </c>
      <c r="F484" t="s">
        <v>17</v>
      </c>
      <c r="G484" s="14">
        <v>122000</v>
      </c>
      <c r="H484" s="14">
        <v>117000</v>
      </c>
      <c r="I484" t="s">
        <v>22</v>
      </c>
      <c r="J484" t="s">
        <v>22</v>
      </c>
      <c r="K484" t="s">
        <v>3094</v>
      </c>
      <c r="L484" t="s">
        <v>1228</v>
      </c>
      <c r="M484" t="s">
        <v>28</v>
      </c>
      <c r="N484">
        <v>2</v>
      </c>
      <c r="O484" t="s">
        <v>142</v>
      </c>
      <c r="P484" t="s">
        <v>41</v>
      </c>
      <c r="Q484" t="s">
        <v>30</v>
      </c>
      <c r="R484" t="str">
        <f>VLOOKUP($O484,'Mapa Oficinas'!$A$7:$C$46,2,FALSE)</f>
        <v>Zona Norte (GBA)</v>
      </c>
      <c r="S484" t="str">
        <f>VLOOKUP($O484,'Mapa Oficinas'!$A$7:$C$46,3,FALSE)</f>
        <v>Nordelta</v>
      </c>
    </row>
    <row r="485" spans="1:19" x14ac:dyDescent="0.2">
      <c r="A485" s="1">
        <v>45768</v>
      </c>
      <c r="B485" t="s">
        <v>7194</v>
      </c>
      <c r="D485" t="s">
        <v>7195</v>
      </c>
      <c r="E485" t="s">
        <v>16</v>
      </c>
      <c r="F485" t="s">
        <v>17</v>
      </c>
      <c r="G485" s="14">
        <v>140000</v>
      </c>
      <c r="H485" s="14">
        <v>135000</v>
      </c>
      <c r="I485" t="s">
        <v>22</v>
      </c>
      <c r="J485" t="s">
        <v>22</v>
      </c>
      <c r="K485" t="s">
        <v>7196</v>
      </c>
      <c r="L485" t="s">
        <v>7197</v>
      </c>
      <c r="M485" t="s">
        <v>19</v>
      </c>
      <c r="N485">
        <v>2</v>
      </c>
      <c r="O485" t="s">
        <v>142</v>
      </c>
      <c r="P485" t="s">
        <v>41</v>
      </c>
      <c r="Q485" t="s">
        <v>30</v>
      </c>
      <c r="R485" t="str">
        <f>VLOOKUP($O485,'Mapa Oficinas'!$A$7:$C$46,2,FALSE)</f>
        <v>Zona Norte (GBA)</v>
      </c>
      <c r="S485" t="str">
        <f>VLOOKUP($O485,'Mapa Oficinas'!$A$7:$C$46,3,FALSE)</f>
        <v>Nordelta</v>
      </c>
    </row>
    <row r="486" spans="1:19" x14ac:dyDescent="0.2">
      <c r="A486" s="1">
        <v>45768</v>
      </c>
      <c r="B486" t="s">
        <v>7204</v>
      </c>
      <c r="D486" t="s">
        <v>7205</v>
      </c>
      <c r="E486" t="s">
        <v>16</v>
      </c>
      <c r="F486" t="s">
        <v>38</v>
      </c>
      <c r="G486" s="14">
        <v>180000</v>
      </c>
      <c r="H486" s="14">
        <v>175000</v>
      </c>
      <c r="I486" t="s">
        <v>22</v>
      </c>
      <c r="J486" t="s">
        <v>22</v>
      </c>
      <c r="K486" t="s">
        <v>7206</v>
      </c>
      <c r="L486" t="s">
        <v>1090</v>
      </c>
      <c r="M486" t="s">
        <v>28</v>
      </c>
      <c r="N486">
        <v>2</v>
      </c>
      <c r="O486" t="s">
        <v>98</v>
      </c>
      <c r="P486" t="s">
        <v>41</v>
      </c>
      <c r="Q486" t="s">
        <v>30</v>
      </c>
      <c r="R486" t="str">
        <f>VLOOKUP($O486,'Mapa Oficinas'!$A$7:$C$46,2,FALSE)</f>
        <v>Interior - Neuquén</v>
      </c>
      <c r="S486" t="str">
        <f>VLOOKUP($O486,'Mapa Oficinas'!$A$7:$C$46,3,FALSE)</f>
        <v>Villa La Angostura</v>
      </c>
    </row>
    <row r="487" spans="1:19" x14ac:dyDescent="0.2">
      <c r="A487" s="1">
        <v>45769</v>
      </c>
      <c r="B487" t="s">
        <v>7164</v>
      </c>
      <c r="D487" t="s">
        <v>7165</v>
      </c>
      <c r="E487" t="s">
        <v>16</v>
      </c>
      <c r="F487" t="s">
        <v>47</v>
      </c>
      <c r="G487" s="14">
        <v>76000</v>
      </c>
      <c r="H487" s="14">
        <v>73000</v>
      </c>
      <c r="I487" t="s">
        <v>22</v>
      </c>
      <c r="J487" t="s">
        <v>22</v>
      </c>
      <c r="K487" t="s">
        <v>7166</v>
      </c>
      <c r="L487" t="s">
        <v>7167</v>
      </c>
      <c r="M487" t="s">
        <v>28</v>
      </c>
      <c r="N487">
        <v>2</v>
      </c>
      <c r="O487" t="s">
        <v>50</v>
      </c>
      <c r="P487" t="s">
        <v>21</v>
      </c>
      <c r="Q487" t="s">
        <v>30</v>
      </c>
      <c r="R487" t="str">
        <f>VLOOKUP($O487,'Mapa Oficinas'!$A$7:$C$46,2,FALSE)</f>
        <v>CABA</v>
      </c>
      <c r="S487" t="str">
        <f>VLOOKUP($O487,'Mapa Oficinas'!$A$7:$C$46,3,FALSE)</f>
        <v>Villa Urquiza</v>
      </c>
    </row>
    <row r="488" spans="1:19" x14ac:dyDescent="0.2">
      <c r="A488" s="1">
        <v>45769</v>
      </c>
      <c r="B488" t="s">
        <v>7161</v>
      </c>
      <c r="D488" t="s">
        <v>7162</v>
      </c>
      <c r="E488" t="s">
        <v>16</v>
      </c>
      <c r="F488" t="s">
        <v>58</v>
      </c>
      <c r="G488" s="14">
        <v>84900</v>
      </c>
      <c r="H488" s="14">
        <v>80000</v>
      </c>
      <c r="I488" t="s">
        <v>22</v>
      </c>
      <c r="J488" t="s">
        <v>22</v>
      </c>
      <c r="K488" t="s">
        <v>7163</v>
      </c>
      <c r="L488" t="s">
        <v>4813</v>
      </c>
      <c r="M488" t="s">
        <v>72</v>
      </c>
      <c r="N488">
        <v>2</v>
      </c>
      <c r="O488" t="s">
        <v>50</v>
      </c>
      <c r="P488" t="s">
        <v>21</v>
      </c>
      <c r="Q488" t="s">
        <v>30</v>
      </c>
      <c r="R488" t="str">
        <f>VLOOKUP($O488,'Mapa Oficinas'!$A$7:$C$46,2,FALSE)</f>
        <v>CABA</v>
      </c>
      <c r="S488" t="str">
        <f>VLOOKUP($O488,'Mapa Oficinas'!$A$7:$C$46,3,FALSE)</f>
        <v>Villa Urquiza</v>
      </c>
    </row>
    <row r="489" spans="1:19" x14ac:dyDescent="0.2">
      <c r="A489" s="1">
        <v>45769</v>
      </c>
      <c r="D489" t="s">
        <v>7155</v>
      </c>
      <c r="E489" t="s">
        <v>16</v>
      </c>
      <c r="F489" t="s">
        <v>7156</v>
      </c>
      <c r="G489" s="14">
        <v>87000</v>
      </c>
      <c r="H489" s="14">
        <v>87000</v>
      </c>
      <c r="I489" t="s">
        <v>22</v>
      </c>
      <c r="J489" t="s">
        <v>22</v>
      </c>
      <c r="K489" t="s">
        <v>7157</v>
      </c>
      <c r="L489" t="s">
        <v>318</v>
      </c>
      <c r="M489" t="s">
        <v>19</v>
      </c>
      <c r="N489">
        <v>1</v>
      </c>
      <c r="O489" t="s">
        <v>206</v>
      </c>
      <c r="P489" t="s">
        <v>146</v>
      </c>
      <c r="Q489" t="s">
        <v>30</v>
      </c>
      <c r="R489" t="str">
        <f>VLOOKUP($O489,'Mapa Oficinas'!$A$7:$C$46,2,FALSE)</f>
        <v>CABA</v>
      </c>
      <c r="S489" t="str">
        <f>VLOOKUP($O489,'Mapa Oficinas'!$A$7:$C$46,3,FALSE)</f>
        <v>Belgrano</v>
      </c>
    </row>
    <row r="490" spans="1:19" x14ac:dyDescent="0.2">
      <c r="A490" s="1">
        <v>45769</v>
      </c>
      <c r="B490" t="s">
        <v>7191</v>
      </c>
      <c r="D490" t="s">
        <v>7192</v>
      </c>
      <c r="E490" t="s">
        <v>16</v>
      </c>
      <c r="F490" t="s">
        <v>243</v>
      </c>
      <c r="G490" s="14">
        <v>105000</v>
      </c>
      <c r="H490" s="14">
        <v>100000</v>
      </c>
      <c r="I490" t="s">
        <v>22</v>
      </c>
      <c r="J490" t="s">
        <v>22</v>
      </c>
      <c r="K490" t="s">
        <v>7193</v>
      </c>
      <c r="L490" t="s">
        <v>658</v>
      </c>
      <c r="M490" t="s">
        <v>28</v>
      </c>
      <c r="N490">
        <v>2</v>
      </c>
      <c r="O490" t="s">
        <v>246</v>
      </c>
      <c r="P490" t="s">
        <v>21</v>
      </c>
      <c r="Q490" t="s">
        <v>30</v>
      </c>
      <c r="R490" t="str">
        <f>VLOOKUP($O490,'Mapa Oficinas'!$A$7:$C$46,2,FALSE)</f>
        <v>Interior - Salta</v>
      </c>
      <c r="S490" t="str">
        <f>VLOOKUP($O490,'Mapa Oficinas'!$A$7:$C$46,3,FALSE)</f>
        <v>San Lorenzo Chico</v>
      </c>
    </row>
    <row r="491" spans="1:19" x14ac:dyDescent="0.2">
      <c r="A491" s="1">
        <v>45769</v>
      </c>
      <c r="B491" t="s">
        <v>7168</v>
      </c>
      <c r="D491" t="s">
        <v>7169</v>
      </c>
      <c r="E491" t="s">
        <v>16</v>
      </c>
      <c r="F491" t="s">
        <v>17</v>
      </c>
      <c r="G491" s="14">
        <v>180000</v>
      </c>
      <c r="H491" s="14">
        <v>100000</v>
      </c>
      <c r="I491" t="s">
        <v>22</v>
      </c>
      <c r="J491" t="s">
        <v>22</v>
      </c>
      <c r="K491" t="s">
        <v>7170</v>
      </c>
      <c r="L491" t="s">
        <v>5213</v>
      </c>
      <c r="M491" t="s">
        <v>97</v>
      </c>
      <c r="N491">
        <v>2</v>
      </c>
      <c r="O491" t="s">
        <v>50</v>
      </c>
      <c r="P491" t="s">
        <v>21</v>
      </c>
      <c r="Q491" t="s">
        <v>30</v>
      </c>
      <c r="R491" t="str">
        <f>VLOOKUP($O491,'Mapa Oficinas'!$A$7:$C$46,2,FALSE)</f>
        <v>CABA</v>
      </c>
      <c r="S491" t="str">
        <f>VLOOKUP($O491,'Mapa Oficinas'!$A$7:$C$46,3,FALSE)</f>
        <v>Villa Urquiza</v>
      </c>
    </row>
    <row r="492" spans="1:19" x14ac:dyDescent="0.2">
      <c r="A492" s="1">
        <v>45769</v>
      </c>
      <c r="B492" t="s">
        <v>7158</v>
      </c>
      <c r="D492" t="s">
        <v>7159</v>
      </c>
      <c r="E492" t="s">
        <v>16</v>
      </c>
      <c r="F492" t="s">
        <v>17</v>
      </c>
      <c r="G492" s="14">
        <v>110000</v>
      </c>
      <c r="H492" s="14">
        <v>105000</v>
      </c>
      <c r="I492" t="s">
        <v>22</v>
      </c>
      <c r="J492" t="s">
        <v>22</v>
      </c>
      <c r="K492" t="s">
        <v>7160</v>
      </c>
      <c r="L492" t="s">
        <v>102</v>
      </c>
      <c r="M492" t="s">
        <v>19</v>
      </c>
      <c r="N492">
        <v>2</v>
      </c>
      <c r="O492" t="s">
        <v>29</v>
      </c>
      <c r="P492" t="s">
        <v>276</v>
      </c>
      <c r="Q492" t="s">
        <v>30</v>
      </c>
      <c r="R492" t="str">
        <f>VLOOKUP($O492,'Mapa Oficinas'!$A$7:$C$46,2,FALSE)</f>
        <v>CABA</v>
      </c>
      <c r="S492" t="str">
        <f>VLOOKUP($O492,'Mapa Oficinas'!$A$7:$C$46,3,FALSE)</f>
        <v>Núñez</v>
      </c>
    </row>
    <row r="493" spans="1:19" x14ac:dyDescent="0.2">
      <c r="A493" s="1">
        <v>45769</v>
      </c>
      <c r="B493" t="s">
        <v>7173</v>
      </c>
      <c r="D493" t="s">
        <v>7174</v>
      </c>
      <c r="E493" t="s">
        <v>16</v>
      </c>
      <c r="F493" t="s">
        <v>17</v>
      </c>
      <c r="G493" s="14">
        <v>115000</v>
      </c>
      <c r="H493" s="14">
        <v>110000</v>
      </c>
      <c r="I493" t="s">
        <v>22</v>
      </c>
      <c r="J493" t="s">
        <v>22</v>
      </c>
      <c r="K493" t="s">
        <v>7175</v>
      </c>
      <c r="L493" t="s">
        <v>318</v>
      </c>
      <c r="M493" t="s">
        <v>19</v>
      </c>
      <c r="N493">
        <v>2</v>
      </c>
      <c r="O493" t="s">
        <v>29</v>
      </c>
      <c r="P493" t="s">
        <v>276</v>
      </c>
      <c r="Q493" t="s">
        <v>30</v>
      </c>
      <c r="R493" t="str">
        <f>VLOOKUP($O493,'Mapa Oficinas'!$A$7:$C$46,2,FALSE)</f>
        <v>CABA</v>
      </c>
      <c r="S493" t="str">
        <f>VLOOKUP($O493,'Mapa Oficinas'!$A$7:$C$46,3,FALSE)</f>
        <v>Núñez</v>
      </c>
    </row>
    <row r="494" spans="1:19" x14ac:dyDescent="0.2">
      <c r="A494" s="1">
        <v>45769</v>
      </c>
      <c r="B494" t="s">
        <v>7171</v>
      </c>
      <c r="D494" t="s">
        <v>7172</v>
      </c>
      <c r="E494" t="s">
        <v>16</v>
      </c>
      <c r="F494" t="s">
        <v>134</v>
      </c>
      <c r="G494" s="14">
        <v>175000</v>
      </c>
      <c r="H494" s="14">
        <v>165000</v>
      </c>
      <c r="I494" t="s">
        <v>22</v>
      </c>
      <c r="J494" t="s">
        <v>22</v>
      </c>
      <c r="K494" t="s">
        <v>594</v>
      </c>
      <c r="L494" t="s">
        <v>136</v>
      </c>
      <c r="M494" t="s">
        <v>19</v>
      </c>
      <c r="N494">
        <v>1</v>
      </c>
      <c r="O494" t="s">
        <v>130</v>
      </c>
      <c r="P494" t="s">
        <v>66</v>
      </c>
      <c r="Q494" t="s">
        <v>30</v>
      </c>
      <c r="R494" t="str">
        <f>VLOOKUP($O494,'Mapa Oficinas'!$A$7:$C$46,2,FALSE)</f>
        <v>Interior - Río Negro</v>
      </c>
      <c r="S494" t="str">
        <f>VLOOKUP($O494,'Mapa Oficinas'!$A$7:$C$46,3,FALSE)</f>
        <v>Bariloche</v>
      </c>
    </row>
    <row r="495" spans="1:19" x14ac:dyDescent="0.2">
      <c r="A495" s="1">
        <v>45769</v>
      </c>
      <c r="B495" t="s">
        <v>7185</v>
      </c>
      <c r="D495" t="s">
        <v>7186</v>
      </c>
      <c r="E495" t="s">
        <v>16</v>
      </c>
      <c r="F495" t="s">
        <v>17</v>
      </c>
      <c r="G495" s="14">
        <v>185000</v>
      </c>
      <c r="H495" s="14">
        <v>180000</v>
      </c>
      <c r="I495" t="s">
        <v>22</v>
      </c>
      <c r="J495" t="s">
        <v>22</v>
      </c>
      <c r="K495" t="s">
        <v>7187</v>
      </c>
      <c r="L495" t="s">
        <v>282</v>
      </c>
      <c r="M495" t="s">
        <v>19</v>
      </c>
      <c r="N495">
        <v>2</v>
      </c>
      <c r="O495" t="s">
        <v>103</v>
      </c>
      <c r="P495" t="s">
        <v>276</v>
      </c>
      <c r="Q495" t="s">
        <v>30</v>
      </c>
      <c r="R495" t="str">
        <f>VLOOKUP($O495,'Mapa Oficinas'!$A$7:$C$46,2,FALSE)</f>
        <v>CABA</v>
      </c>
      <c r="S495" t="str">
        <f>VLOOKUP($O495,'Mapa Oficinas'!$A$7:$C$46,3,FALSE)</f>
        <v>Barrio Parque</v>
      </c>
    </row>
    <row r="496" spans="1:19" x14ac:dyDescent="0.2">
      <c r="A496" s="1">
        <v>45769</v>
      </c>
      <c r="B496" t="s">
        <v>7179</v>
      </c>
      <c r="D496" t="s">
        <v>7180</v>
      </c>
      <c r="E496" t="s">
        <v>16</v>
      </c>
      <c r="F496" t="s">
        <v>17</v>
      </c>
      <c r="G496" s="14">
        <v>180000</v>
      </c>
      <c r="H496" s="14">
        <v>190000</v>
      </c>
      <c r="I496" t="s">
        <v>22</v>
      </c>
      <c r="J496" t="s">
        <v>22</v>
      </c>
      <c r="K496" t="s">
        <v>5313</v>
      </c>
      <c r="L496" t="s">
        <v>1765</v>
      </c>
      <c r="M496" t="s">
        <v>28</v>
      </c>
      <c r="N496">
        <v>2</v>
      </c>
      <c r="O496" t="s">
        <v>142</v>
      </c>
      <c r="P496" t="s">
        <v>276</v>
      </c>
      <c r="Q496" t="s">
        <v>30</v>
      </c>
      <c r="R496" t="str">
        <f>VLOOKUP($O496,'Mapa Oficinas'!$A$7:$C$46,2,FALSE)</f>
        <v>Zona Norte (GBA)</v>
      </c>
      <c r="S496" t="str">
        <f>VLOOKUP($O496,'Mapa Oficinas'!$A$7:$C$46,3,FALSE)</f>
        <v>Nordelta</v>
      </c>
    </row>
    <row r="497" spans="1:19" x14ac:dyDescent="0.2">
      <c r="A497" s="1">
        <v>45769</v>
      </c>
      <c r="B497" t="s">
        <v>7176</v>
      </c>
      <c r="D497" t="s">
        <v>7177</v>
      </c>
      <c r="E497" t="s">
        <v>16</v>
      </c>
      <c r="F497" t="s">
        <v>17</v>
      </c>
      <c r="G497" s="14">
        <v>299000</v>
      </c>
      <c r="H497" s="14">
        <v>280000</v>
      </c>
      <c r="I497" t="s">
        <v>22</v>
      </c>
      <c r="J497" t="s">
        <v>22</v>
      </c>
      <c r="K497" t="s">
        <v>7178</v>
      </c>
      <c r="L497" t="s">
        <v>191</v>
      </c>
      <c r="M497" t="s">
        <v>19</v>
      </c>
      <c r="N497">
        <v>2</v>
      </c>
      <c r="O497" t="s">
        <v>142</v>
      </c>
      <c r="P497" t="s">
        <v>21</v>
      </c>
      <c r="Q497" t="s">
        <v>30</v>
      </c>
      <c r="R497" t="str">
        <f>VLOOKUP($O497,'Mapa Oficinas'!$A$7:$C$46,2,FALSE)</f>
        <v>Zona Norte (GBA)</v>
      </c>
      <c r="S497" t="str">
        <f>VLOOKUP($O497,'Mapa Oficinas'!$A$7:$C$46,3,FALSE)</f>
        <v>Nordelta</v>
      </c>
    </row>
    <row r="498" spans="1:19" x14ac:dyDescent="0.2">
      <c r="A498" s="1">
        <v>45769</v>
      </c>
      <c r="B498" t="s">
        <v>7181</v>
      </c>
      <c r="D498" t="s">
        <v>7182</v>
      </c>
      <c r="E498" t="s">
        <v>16</v>
      </c>
      <c r="F498" t="s">
        <v>17</v>
      </c>
      <c r="G498" s="14">
        <v>340000</v>
      </c>
      <c r="H498" s="14">
        <v>325000</v>
      </c>
      <c r="I498" t="s">
        <v>22</v>
      </c>
      <c r="J498" t="s">
        <v>22</v>
      </c>
      <c r="K498" t="s">
        <v>7183</v>
      </c>
      <c r="L498" t="s">
        <v>7184</v>
      </c>
      <c r="M498" t="s">
        <v>19</v>
      </c>
      <c r="N498">
        <v>2</v>
      </c>
      <c r="O498" t="s">
        <v>103</v>
      </c>
      <c r="P498" t="s">
        <v>41</v>
      </c>
      <c r="Q498" t="s">
        <v>30</v>
      </c>
      <c r="R498" t="str">
        <f>VLOOKUP($O498,'Mapa Oficinas'!$A$7:$C$46,2,FALSE)</f>
        <v>CABA</v>
      </c>
      <c r="S498" t="str">
        <f>VLOOKUP($O498,'Mapa Oficinas'!$A$7:$C$46,3,FALSE)</f>
        <v>Barrio Parque</v>
      </c>
    </row>
    <row r="499" spans="1:19" x14ac:dyDescent="0.2">
      <c r="A499" s="1">
        <v>45769</v>
      </c>
      <c r="B499" t="s">
        <v>7188</v>
      </c>
      <c r="D499" t="s">
        <v>7189</v>
      </c>
      <c r="E499" t="s">
        <v>16</v>
      </c>
      <c r="F499" t="s">
        <v>17</v>
      </c>
      <c r="G499" s="14">
        <v>320000</v>
      </c>
      <c r="H499" s="14">
        <v>335000</v>
      </c>
      <c r="I499" t="s">
        <v>22</v>
      </c>
      <c r="J499" t="s">
        <v>22</v>
      </c>
      <c r="K499" t="s">
        <v>7190</v>
      </c>
      <c r="L499" t="s">
        <v>1253</v>
      </c>
      <c r="M499" t="s">
        <v>19</v>
      </c>
      <c r="N499">
        <v>2</v>
      </c>
      <c r="O499" t="s">
        <v>142</v>
      </c>
      <c r="P499" t="s">
        <v>276</v>
      </c>
      <c r="Q499" t="s">
        <v>30</v>
      </c>
      <c r="R499" t="str">
        <f>VLOOKUP($O499,'Mapa Oficinas'!$A$7:$C$46,2,FALSE)</f>
        <v>Zona Norte (GBA)</v>
      </c>
      <c r="S499" t="str">
        <f>VLOOKUP($O499,'Mapa Oficinas'!$A$7:$C$46,3,FALSE)</f>
        <v>Nordelta</v>
      </c>
    </row>
    <row r="500" spans="1:19" x14ac:dyDescent="0.2">
      <c r="A500" s="1">
        <v>45770</v>
      </c>
      <c r="B500" t="s">
        <v>7141</v>
      </c>
      <c r="D500" t="s">
        <v>7142</v>
      </c>
      <c r="E500" t="s">
        <v>16</v>
      </c>
      <c r="F500" t="s">
        <v>243</v>
      </c>
      <c r="G500" s="14">
        <v>40000</v>
      </c>
      <c r="H500" s="14">
        <v>38000</v>
      </c>
      <c r="I500" t="s">
        <v>22</v>
      </c>
      <c r="J500" t="s">
        <v>22</v>
      </c>
      <c r="K500" t="s">
        <v>7143</v>
      </c>
      <c r="L500" t="s">
        <v>7144</v>
      </c>
      <c r="M500" t="s">
        <v>28</v>
      </c>
      <c r="N500">
        <v>2</v>
      </c>
      <c r="O500" t="s">
        <v>246</v>
      </c>
      <c r="P500" t="s">
        <v>41</v>
      </c>
      <c r="Q500" t="s">
        <v>30</v>
      </c>
      <c r="R500" t="str">
        <f>VLOOKUP($O500,'Mapa Oficinas'!$A$7:$C$46,2,FALSE)</f>
        <v>Interior - Salta</v>
      </c>
      <c r="S500" t="str">
        <f>VLOOKUP($O500,'Mapa Oficinas'!$A$7:$C$46,3,FALSE)</f>
        <v>San Lorenzo Chico</v>
      </c>
    </row>
    <row r="501" spans="1:19" x14ac:dyDescent="0.2">
      <c r="A501" s="1">
        <v>45770</v>
      </c>
      <c r="B501" t="s">
        <v>7114</v>
      </c>
      <c r="D501" t="s">
        <v>7115</v>
      </c>
      <c r="E501" t="s">
        <v>16</v>
      </c>
      <c r="F501" t="s">
        <v>82</v>
      </c>
      <c r="G501" s="14">
        <v>39900</v>
      </c>
      <c r="H501" s="14">
        <v>39900</v>
      </c>
      <c r="I501" t="s">
        <v>22</v>
      </c>
      <c r="J501" t="s">
        <v>22</v>
      </c>
      <c r="K501" t="s">
        <v>7116</v>
      </c>
      <c r="L501" t="s">
        <v>2617</v>
      </c>
      <c r="M501" t="s">
        <v>19</v>
      </c>
      <c r="N501">
        <v>2</v>
      </c>
      <c r="O501" t="s">
        <v>85</v>
      </c>
      <c r="P501" t="s">
        <v>21</v>
      </c>
      <c r="Q501" t="s">
        <v>30</v>
      </c>
      <c r="R501" t="str">
        <f>VLOOKUP($O501,'Mapa Oficinas'!$A$7:$C$46,2,FALSE)</f>
        <v>Interior - Jujuy</v>
      </c>
      <c r="S501" t="str">
        <f>VLOOKUP($O501,'Mapa Oficinas'!$A$7:$C$46,3,FALSE)</f>
        <v>Capital Jujuy</v>
      </c>
    </row>
    <row r="502" spans="1:19" x14ac:dyDescent="0.2">
      <c r="A502" s="1">
        <v>45770</v>
      </c>
      <c r="B502" t="s">
        <v>7117</v>
      </c>
      <c r="D502" t="s">
        <v>7118</v>
      </c>
      <c r="E502" t="s">
        <v>16</v>
      </c>
      <c r="F502" t="s">
        <v>17</v>
      </c>
      <c r="G502" s="14">
        <v>43000</v>
      </c>
      <c r="H502" s="14">
        <v>40500</v>
      </c>
      <c r="I502" t="s">
        <v>22</v>
      </c>
      <c r="J502" t="s">
        <v>22</v>
      </c>
      <c r="K502" t="s">
        <v>7119</v>
      </c>
      <c r="L502" t="s">
        <v>71</v>
      </c>
      <c r="M502" t="s">
        <v>19</v>
      </c>
      <c r="N502">
        <v>2</v>
      </c>
      <c r="O502" t="s">
        <v>50</v>
      </c>
      <c r="P502" t="s">
        <v>41</v>
      </c>
      <c r="Q502" t="s">
        <v>30</v>
      </c>
      <c r="R502" t="str">
        <f>VLOOKUP($O502,'Mapa Oficinas'!$A$7:$C$46,2,FALSE)</f>
        <v>CABA</v>
      </c>
      <c r="S502" t="str">
        <f>VLOOKUP($O502,'Mapa Oficinas'!$A$7:$C$46,3,FALSE)</f>
        <v>Villa Urquiza</v>
      </c>
    </row>
    <row r="503" spans="1:19" x14ac:dyDescent="0.2">
      <c r="A503" s="1">
        <v>45770</v>
      </c>
      <c r="B503" t="s">
        <v>7120</v>
      </c>
      <c r="D503" t="s">
        <v>7121</v>
      </c>
      <c r="E503" t="s">
        <v>16</v>
      </c>
      <c r="F503" t="s">
        <v>17</v>
      </c>
      <c r="G503" s="14">
        <v>89000</v>
      </c>
      <c r="H503" s="14">
        <v>82000</v>
      </c>
      <c r="I503" t="s">
        <v>22</v>
      </c>
      <c r="J503" t="s">
        <v>22</v>
      </c>
      <c r="K503" t="s">
        <v>4755</v>
      </c>
      <c r="L503" t="s">
        <v>217</v>
      </c>
      <c r="M503" t="s">
        <v>19</v>
      </c>
      <c r="N503">
        <v>2</v>
      </c>
      <c r="O503" t="s">
        <v>50</v>
      </c>
      <c r="P503" t="s">
        <v>21</v>
      </c>
      <c r="Q503" t="s">
        <v>30</v>
      </c>
      <c r="R503" t="str">
        <f>VLOOKUP($O503,'Mapa Oficinas'!$A$7:$C$46,2,FALSE)</f>
        <v>CABA</v>
      </c>
      <c r="S503" t="str">
        <f>VLOOKUP($O503,'Mapa Oficinas'!$A$7:$C$46,3,FALSE)</f>
        <v>Villa Urquiza</v>
      </c>
    </row>
    <row r="504" spans="1:19" x14ac:dyDescent="0.2">
      <c r="A504" s="1">
        <v>45770</v>
      </c>
      <c r="B504" t="s">
        <v>7148</v>
      </c>
      <c r="D504" t="s">
        <v>7149</v>
      </c>
      <c r="E504" t="s">
        <v>16</v>
      </c>
      <c r="F504" t="s">
        <v>82</v>
      </c>
      <c r="G504" s="14">
        <v>85000</v>
      </c>
      <c r="H504" s="14">
        <v>83000</v>
      </c>
      <c r="I504" t="s">
        <v>22</v>
      </c>
      <c r="J504" t="s">
        <v>22</v>
      </c>
      <c r="K504" t="s">
        <v>7150</v>
      </c>
      <c r="L504" t="s">
        <v>7151</v>
      </c>
      <c r="M504" t="s">
        <v>19</v>
      </c>
      <c r="N504">
        <v>1</v>
      </c>
      <c r="O504" t="s">
        <v>367</v>
      </c>
      <c r="P504" t="s">
        <v>66</v>
      </c>
      <c r="Q504" t="s">
        <v>30</v>
      </c>
      <c r="R504" t="str">
        <f>VLOOKUP($O504,'Mapa Oficinas'!$A$7:$C$46,2,FALSE)</f>
        <v>Interior - Neuquén</v>
      </c>
      <c r="S504" t="str">
        <f>VLOOKUP($O504,'Mapa Oficinas'!$A$7:$C$46,3,FALSE)</f>
        <v>San Martín de los Andes</v>
      </c>
    </row>
    <row r="505" spans="1:19" x14ac:dyDescent="0.2">
      <c r="A505" s="1">
        <v>45770</v>
      </c>
      <c r="B505" t="s">
        <v>7125</v>
      </c>
      <c r="D505" t="s">
        <v>7126</v>
      </c>
      <c r="E505" t="s">
        <v>16</v>
      </c>
      <c r="F505" t="s">
        <v>17</v>
      </c>
      <c r="G505" s="14">
        <v>95000</v>
      </c>
      <c r="H505" s="14">
        <v>92500</v>
      </c>
      <c r="I505" t="s">
        <v>22</v>
      </c>
      <c r="J505" t="s">
        <v>22</v>
      </c>
      <c r="K505" t="s">
        <v>7127</v>
      </c>
      <c r="L505" t="s">
        <v>226</v>
      </c>
      <c r="M505" t="s">
        <v>19</v>
      </c>
      <c r="N505">
        <v>2</v>
      </c>
      <c r="O505" t="s">
        <v>103</v>
      </c>
      <c r="P505" t="s">
        <v>21</v>
      </c>
      <c r="Q505" t="s">
        <v>30</v>
      </c>
      <c r="R505" t="str">
        <f>VLOOKUP($O505,'Mapa Oficinas'!$A$7:$C$46,2,FALSE)</f>
        <v>CABA</v>
      </c>
      <c r="S505" t="str">
        <f>VLOOKUP($O505,'Mapa Oficinas'!$A$7:$C$46,3,FALSE)</f>
        <v>Barrio Parque</v>
      </c>
    </row>
    <row r="506" spans="1:19" x14ac:dyDescent="0.2">
      <c r="A506" s="1">
        <v>45770</v>
      </c>
      <c r="B506" t="s">
        <v>7122</v>
      </c>
      <c r="D506" t="s">
        <v>7123</v>
      </c>
      <c r="E506" t="s">
        <v>16</v>
      </c>
      <c r="F506" t="s">
        <v>58</v>
      </c>
      <c r="G506" s="14">
        <v>124000</v>
      </c>
      <c r="H506" s="14">
        <v>120000</v>
      </c>
      <c r="I506" t="s">
        <v>22</v>
      </c>
      <c r="J506" t="s">
        <v>22</v>
      </c>
      <c r="K506" t="s">
        <v>7124</v>
      </c>
      <c r="L506" t="s">
        <v>569</v>
      </c>
      <c r="M506" t="s">
        <v>72</v>
      </c>
      <c r="N506">
        <v>2</v>
      </c>
      <c r="O506" t="s">
        <v>50</v>
      </c>
      <c r="P506" t="s">
        <v>21</v>
      </c>
      <c r="Q506" t="s">
        <v>30</v>
      </c>
      <c r="R506" t="str">
        <f>VLOOKUP($O506,'Mapa Oficinas'!$A$7:$C$46,2,FALSE)</f>
        <v>CABA</v>
      </c>
      <c r="S506" t="str">
        <f>VLOOKUP($O506,'Mapa Oficinas'!$A$7:$C$46,3,FALSE)</f>
        <v>Villa Urquiza</v>
      </c>
    </row>
    <row r="507" spans="1:19" x14ac:dyDescent="0.2">
      <c r="A507" s="1">
        <v>45770</v>
      </c>
      <c r="B507" t="s">
        <v>7145</v>
      </c>
      <c r="D507" t="s">
        <v>7146</v>
      </c>
      <c r="E507" t="s">
        <v>16</v>
      </c>
      <c r="F507" t="s">
        <v>17</v>
      </c>
      <c r="G507" s="14">
        <v>199000</v>
      </c>
      <c r="H507" s="14">
        <v>190000</v>
      </c>
      <c r="I507" t="s">
        <v>22</v>
      </c>
      <c r="J507" t="s">
        <v>22</v>
      </c>
      <c r="K507" t="s">
        <v>7147</v>
      </c>
      <c r="L507" t="s">
        <v>277</v>
      </c>
      <c r="M507" t="s">
        <v>19</v>
      </c>
      <c r="N507">
        <v>2</v>
      </c>
      <c r="O507" t="s">
        <v>20</v>
      </c>
      <c r="P507" t="s">
        <v>276</v>
      </c>
      <c r="Q507" t="s">
        <v>30</v>
      </c>
      <c r="R507" t="str">
        <f>VLOOKUP($O507,'Mapa Oficinas'!$A$7:$C$46,2,FALSE)</f>
        <v>CABA</v>
      </c>
      <c r="S507" t="str">
        <f>VLOOKUP($O507,'Mapa Oficinas'!$A$7:$C$46,3,FALSE)</f>
        <v>Palermo</v>
      </c>
    </row>
    <row r="508" spans="1:19" x14ac:dyDescent="0.2">
      <c r="A508" s="1">
        <v>45770</v>
      </c>
      <c r="B508" t="s">
        <v>7152</v>
      </c>
      <c r="D508" t="s">
        <v>7153</v>
      </c>
      <c r="E508" t="s">
        <v>16</v>
      </c>
      <c r="F508" t="s">
        <v>17</v>
      </c>
      <c r="G508" s="14">
        <v>210000</v>
      </c>
      <c r="H508" s="14">
        <v>197000</v>
      </c>
      <c r="I508" t="s">
        <v>22</v>
      </c>
      <c r="J508" t="s">
        <v>22</v>
      </c>
      <c r="K508" t="s">
        <v>7154</v>
      </c>
      <c r="L508" t="s">
        <v>1633</v>
      </c>
      <c r="M508" t="s">
        <v>19</v>
      </c>
      <c r="N508">
        <v>2</v>
      </c>
      <c r="O508" t="s">
        <v>206</v>
      </c>
      <c r="P508" t="s">
        <v>21</v>
      </c>
      <c r="Q508" t="s">
        <v>30</v>
      </c>
      <c r="R508" t="str">
        <f>VLOOKUP($O508,'Mapa Oficinas'!$A$7:$C$46,2,FALSE)</f>
        <v>CABA</v>
      </c>
      <c r="S508" t="str">
        <f>VLOOKUP($O508,'Mapa Oficinas'!$A$7:$C$46,3,FALSE)</f>
        <v>Belgrano</v>
      </c>
    </row>
    <row r="509" spans="1:19" x14ac:dyDescent="0.2">
      <c r="A509" s="1">
        <v>45770</v>
      </c>
      <c r="B509" t="s">
        <v>7128</v>
      </c>
      <c r="D509" t="s">
        <v>7129</v>
      </c>
      <c r="E509" t="s">
        <v>16</v>
      </c>
      <c r="F509" t="s">
        <v>17</v>
      </c>
      <c r="G509" s="14">
        <v>229000</v>
      </c>
      <c r="H509" s="14">
        <v>202000</v>
      </c>
      <c r="I509" t="s">
        <v>22</v>
      </c>
      <c r="J509" t="s">
        <v>22</v>
      </c>
      <c r="K509" t="s">
        <v>7130</v>
      </c>
      <c r="L509" t="s">
        <v>258</v>
      </c>
      <c r="M509" t="s">
        <v>28</v>
      </c>
      <c r="N509">
        <v>2</v>
      </c>
      <c r="O509" t="s">
        <v>142</v>
      </c>
      <c r="P509" t="s">
        <v>276</v>
      </c>
      <c r="Q509" t="s">
        <v>30</v>
      </c>
      <c r="R509" t="str">
        <f>VLOOKUP($O509,'Mapa Oficinas'!$A$7:$C$46,2,FALSE)</f>
        <v>Zona Norte (GBA)</v>
      </c>
      <c r="S509" t="str">
        <f>VLOOKUP($O509,'Mapa Oficinas'!$A$7:$C$46,3,FALSE)</f>
        <v>Nordelta</v>
      </c>
    </row>
    <row r="510" spans="1:19" x14ac:dyDescent="0.2">
      <c r="A510" s="1">
        <v>45770</v>
      </c>
      <c r="B510" t="s">
        <v>7134</v>
      </c>
      <c r="D510" t="s">
        <v>7135</v>
      </c>
      <c r="E510" t="s">
        <v>16</v>
      </c>
      <c r="F510" t="s">
        <v>17</v>
      </c>
      <c r="G510" s="14">
        <v>290000</v>
      </c>
      <c r="H510" s="14">
        <v>270000</v>
      </c>
      <c r="I510" t="s">
        <v>22</v>
      </c>
      <c r="J510" t="s">
        <v>22</v>
      </c>
      <c r="K510" t="s">
        <v>7136</v>
      </c>
      <c r="L510" t="s">
        <v>2132</v>
      </c>
      <c r="M510" t="s">
        <v>19</v>
      </c>
      <c r="N510">
        <v>2</v>
      </c>
      <c r="O510" t="s">
        <v>142</v>
      </c>
      <c r="P510" t="s">
        <v>41</v>
      </c>
      <c r="Q510" t="s">
        <v>30</v>
      </c>
      <c r="R510" t="str">
        <f>VLOOKUP($O510,'Mapa Oficinas'!$A$7:$C$46,2,FALSE)</f>
        <v>Zona Norte (GBA)</v>
      </c>
      <c r="S510" t="str">
        <f>VLOOKUP($O510,'Mapa Oficinas'!$A$7:$C$46,3,FALSE)</f>
        <v>Nordelta</v>
      </c>
    </row>
    <row r="511" spans="1:19" x14ac:dyDescent="0.2">
      <c r="A511" s="1">
        <v>45771</v>
      </c>
      <c r="B511" t="s">
        <v>7108</v>
      </c>
      <c r="D511" t="s">
        <v>7109</v>
      </c>
      <c r="E511" t="s">
        <v>16</v>
      </c>
      <c r="F511" t="s">
        <v>82</v>
      </c>
      <c r="G511" s="14">
        <v>40000</v>
      </c>
      <c r="H511" s="14">
        <v>40000</v>
      </c>
      <c r="I511" t="s">
        <v>22</v>
      </c>
      <c r="J511" t="s">
        <v>22</v>
      </c>
      <c r="K511" t="s">
        <v>7110</v>
      </c>
      <c r="L511" t="s">
        <v>3153</v>
      </c>
      <c r="M511" t="s">
        <v>19</v>
      </c>
      <c r="N511">
        <v>2</v>
      </c>
      <c r="O511" t="s">
        <v>55</v>
      </c>
      <c r="P511" t="s">
        <v>41</v>
      </c>
      <c r="Q511" t="s">
        <v>30</v>
      </c>
      <c r="R511" t="str">
        <f>VLOOKUP($O511,'Mapa Oficinas'!$A$7:$C$46,2,FALSE)</f>
        <v>Interior - Santa Fe</v>
      </c>
      <c r="S511" t="str">
        <f>VLOOKUP($O511,'Mapa Oficinas'!$A$7:$C$46,3,FALSE)</f>
        <v>Capital Santa Fe</v>
      </c>
    </row>
    <row r="512" spans="1:19" x14ac:dyDescent="0.2">
      <c r="A512" s="1">
        <v>45771</v>
      </c>
      <c r="B512" t="s">
        <v>7103</v>
      </c>
      <c r="D512" t="s">
        <v>7104</v>
      </c>
      <c r="E512" t="s">
        <v>16</v>
      </c>
      <c r="F512" t="s">
        <v>17</v>
      </c>
      <c r="G512" s="14">
        <v>35000</v>
      </c>
      <c r="H512" s="14">
        <v>50000</v>
      </c>
      <c r="I512" t="s">
        <v>22</v>
      </c>
      <c r="J512" t="s">
        <v>22</v>
      </c>
      <c r="K512" t="s">
        <v>7104</v>
      </c>
      <c r="L512" t="s">
        <v>1468</v>
      </c>
      <c r="M512" t="s">
        <v>97</v>
      </c>
      <c r="N512">
        <v>2</v>
      </c>
      <c r="O512" t="s">
        <v>142</v>
      </c>
      <c r="P512" t="s">
        <v>21</v>
      </c>
      <c r="Q512" t="s">
        <v>30</v>
      </c>
      <c r="R512" t="str">
        <f>VLOOKUP($O512,'Mapa Oficinas'!$A$7:$C$46,2,FALSE)</f>
        <v>Zona Norte (GBA)</v>
      </c>
      <c r="S512" t="str">
        <f>VLOOKUP($O512,'Mapa Oficinas'!$A$7:$C$46,3,FALSE)</f>
        <v>Nordelta</v>
      </c>
    </row>
    <row r="513" spans="1:19" x14ac:dyDescent="0.2">
      <c r="A513" s="1">
        <v>45771</v>
      </c>
      <c r="B513" t="s">
        <v>7111</v>
      </c>
      <c r="D513" t="s">
        <v>7112</v>
      </c>
      <c r="E513" t="s">
        <v>16</v>
      </c>
      <c r="F513" t="s">
        <v>17</v>
      </c>
      <c r="G513" s="14">
        <v>70000</v>
      </c>
      <c r="H513" s="14">
        <v>70000</v>
      </c>
      <c r="I513" t="s">
        <v>22</v>
      </c>
      <c r="J513" t="s">
        <v>22</v>
      </c>
      <c r="K513" t="s">
        <v>7113</v>
      </c>
      <c r="L513" t="s">
        <v>512</v>
      </c>
      <c r="M513" t="s">
        <v>19</v>
      </c>
      <c r="N513">
        <v>2</v>
      </c>
      <c r="O513" t="s">
        <v>206</v>
      </c>
      <c r="P513" t="s">
        <v>21</v>
      </c>
      <c r="Q513" t="s">
        <v>30</v>
      </c>
      <c r="R513" t="str">
        <f>VLOOKUP($O513,'Mapa Oficinas'!$A$7:$C$46,2,FALSE)</f>
        <v>CABA</v>
      </c>
      <c r="S513" t="str">
        <f>VLOOKUP($O513,'Mapa Oficinas'!$A$7:$C$46,3,FALSE)</f>
        <v>Belgrano</v>
      </c>
    </row>
    <row r="514" spans="1:19" x14ac:dyDescent="0.2">
      <c r="A514" s="1">
        <v>45771</v>
      </c>
      <c r="B514" t="s">
        <v>7087</v>
      </c>
      <c r="D514" t="s">
        <v>7088</v>
      </c>
      <c r="E514" t="s">
        <v>16</v>
      </c>
      <c r="F514" t="s">
        <v>17</v>
      </c>
      <c r="G514" s="14">
        <v>79000</v>
      </c>
      <c r="H514" s="14">
        <v>77500</v>
      </c>
      <c r="I514" t="s">
        <v>22</v>
      </c>
      <c r="J514" t="s">
        <v>22</v>
      </c>
      <c r="K514" t="s">
        <v>6400</v>
      </c>
      <c r="L514" t="s">
        <v>318</v>
      </c>
      <c r="M514" t="s">
        <v>19</v>
      </c>
      <c r="N514">
        <v>2</v>
      </c>
      <c r="O514" t="s">
        <v>50</v>
      </c>
      <c r="P514" t="s">
        <v>21</v>
      </c>
      <c r="Q514" t="s">
        <v>30</v>
      </c>
      <c r="R514" t="str">
        <f>VLOOKUP($O514,'Mapa Oficinas'!$A$7:$C$46,2,FALSE)</f>
        <v>CABA</v>
      </c>
      <c r="S514" t="str">
        <f>VLOOKUP($O514,'Mapa Oficinas'!$A$7:$C$46,3,FALSE)</f>
        <v>Villa Urquiza</v>
      </c>
    </row>
    <row r="515" spans="1:19" x14ac:dyDescent="0.2">
      <c r="A515" s="1">
        <v>45771</v>
      </c>
      <c r="B515" t="s">
        <v>7095</v>
      </c>
      <c r="D515" t="s">
        <v>7096</v>
      </c>
      <c r="E515" t="s">
        <v>16</v>
      </c>
      <c r="F515" t="s">
        <v>17</v>
      </c>
      <c r="G515" s="14">
        <v>115000</v>
      </c>
      <c r="H515" s="14">
        <v>110000</v>
      </c>
      <c r="I515" t="s">
        <v>22</v>
      </c>
      <c r="J515" t="s">
        <v>22</v>
      </c>
      <c r="K515" t="s">
        <v>7097</v>
      </c>
      <c r="L515" t="s">
        <v>1017</v>
      </c>
      <c r="M515" t="s">
        <v>19</v>
      </c>
      <c r="N515">
        <v>2</v>
      </c>
      <c r="O515" t="s">
        <v>547</v>
      </c>
      <c r="P515" t="s">
        <v>21</v>
      </c>
      <c r="Q515" t="s">
        <v>30</v>
      </c>
      <c r="R515" t="str">
        <f>VLOOKUP($O515,'Mapa Oficinas'!$A$7:$C$46,2,FALSE)</f>
        <v>CABA</v>
      </c>
      <c r="S515" t="str">
        <f>VLOOKUP($O515,'Mapa Oficinas'!$A$7:$C$46,3,FALSE)</f>
        <v>Núñez</v>
      </c>
    </row>
    <row r="516" spans="1:19" x14ac:dyDescent="0.2">
      <c r="A516" s="1">
        <v>45771</v>
      </c>
      <c r="B516" t="s">
        <v>7092</v>
      </c>
      <c r="D516" t="s">
        <v>7093</v>
      </c>
      <c r="E516" t="s">
        <v>16</v>
      </c>
      <c r="F516" t="s">
        <v>17</v>
      </c>
      <c r="G516" s="14">
        <v>116800</v>
      </c>
      <c r="H516" s="14">
        <v>112000</v>
      </c>
      <c r="I516" t="s">
        <v>22</v>
      </c>
      <c r="J516" t="s">
        <v>22</v>
      </c>
      <c r="K516" t="s">
        <v>7094</v>
      </c>
      <c r="L516" t="s">
        <v>4383</v>
      </c>
      <c r="M516" t="s">
        <v>28</v>
      </c>
      <c r="N516">
        <v>2</v>
      </c>
      <c r="O516" t="s">
        <v>389</v>
      </c>
      <c r="P516" t="s">
        <v>21</v>
      </c>
      <c r="Q516" t="s">
        <v>30</v>
      </c>
      <c r="R516" t="str">
        <f>VLOOKUP($O516,'Mapa Oficinas'!$A$7:$C$46,2,FALSE)</f>
        <v>Zona Norte (GBA)</v>
      </c>
      <c r="S516" t="str">
        <f>VLOOKUP($O516,'Mapa Oficinas'!$A$7:$C$46,3,FALSE)</f>
        <v>Escobar</v>
      </c>
    </row>
    <row r="517" spans="1:19" x14ac:dyDescent="0.2">
      <c r="A517" s="1">
        <v>45771</v>
      </c>
      <c r="B517" t="s">
        <v>7098</v>
      </c>
      <c r="D517" t="s">
        <v>7099</v>
      </c>
      <c r="E517" t="s">
        <v>16</v>
      </c>
      <c r="F517" t="s">
        <v>82</v>
      </c>
      <c r="G517" s="14">
        <v>195000</v>
      </c>
      <c r="H517" s="14">
        <v>195000</v>
      </c>
      <c r="I517" t="s">
        <v>22</v>
      </c>
      <c r="J517" t="s">
        <v>22</v>
      </c>
      <c r="K517" t="s">
        <v>7100</v>
      </c>
      <c r="M517" t="s">
        <v>28</v>
      </c>
      <c r="N517">
        <v>1</v>
      </c>
      <c r="O517" t="s">
        <v>171</v>
      </c>
      <c r="P517" t="s">
        <v>146</v>
      </c>
      <c r="Q517" t="s">
        <v>30</v>
      </c>
      <c r="R517" t="str">
        <f>VLOOKUP($O517,'Mapa Oficinas'!$A$7:$C$46,2,FALSE)</f>
        <v>Zona Sur (GBA)</v>
      </c>
      <c r="S517" t="str">
        <f>VLOOKUP($O517,'Mapa Oficinas'!$A$7:$C$46,3,FALSE)</f>
        <v>La Plata</v>
      </c>
    </row>
    <row r="518" spans="1:19" x14ac:dyDescent="0.2">
      <c r="A518" s="1">
        <v>45771</v>
      </c>
      <c r="B518" t="s">
        <v>7105</v>
      </c>
      <c r="D518" t="s">
        <v>7106</v>
      </c>
      <c r="E518" t="s">
        <v>16</v>
      </c>
      <c r="F518" t="s">
        <v>17</v>
      </c>
      <c r="G518" s="14">
        <v>220000</v>
      </c>
      <c r="H518" s="14">
        <v>205000</v>
      </c>
      <c r="I518" t="s">
        <v>22</v>
      </c>
      <c r="J518" t="s">
        <v>22</v>
      </c>
      <c r="K518" t="s">
        <v>7107</v>
      </c>
      <c r="L518" t="s">
        <v>277</v>
      </c>
      <c r="M518" t="s">
        <v>19</v>
      </c>
      <c r="N518">
        <v>2</v>
      </c>
      <c r="O518" t="s">
        <v>142</v>
      </c>
      <c r="P518" t="s">
        <v>36</v>
      </c>
      <c r="Q518" t="s">
        <v>30</v>
      </c>
      <c r="R518" t="str">
        <f>VLOOKUP($O518,'Mapa Oficinas'!$A$7:$C$46,2,FALSE)</f>
        <v>Zona Norte (GBA)</v>
      </c>
      <c r="S518" t="str">
        <f>VLOOKUP($O518,'Mapa Oficinas'!$A$7:$C$46,3,FALSE)</f>
        <v>Nordelta</v>
      </c>
    </row>
    <row r="519" spans="1:19" x14ac:dyDescent="0.2">
      <c r="A519" s="1">
        <v>45771</v>
      </c>
      <c r="B519" t="s">
        <v>7089</v>
      </c>
      <c r="D519" t="s">
        <v>7090</v>
      </c>
      <c r="E519" t="s">
        <v>16</v>
      </c>
      <c r="F519" t="s">
        <v>17</v>
      </c>
      <c r="G519" s="14">
        <v>355000</v>
      </c>
      <c r="H519" s="14">
        <v>348000</v>
      </c>
      <c r="I519" t="s">
        <v>22</v>
      </c>
      <c r="J519" t="s">
        <v>22</v>
      </c>
      <c r="K519" t="s">
        <v>7091</v>
      </c>
      <c r="L519" t="s">
        <v>330</v>
      </c>
      <c r="M519" t="s">
        <v>19</v>
      </c>
      <c r="N519">
        <v>2</v>
      </c>
      <c r="O519" t="s">
        <v>29</v>
      </c>
      <c r="P519" t="s">
        <v>21</v>
      </c>
      <c r="Q519" t="s">
        <v>30</v>
      </c>
      <c r="R519" t="str">
        <f>VLOOKUP($O519,'Mapa Oficinas'!$A$7:$C$46,2,FALSE)</f>
        <v>CABA</v>
      </c>
      <c r="S519" t="str">
        <f>VLOOKUP($O519,'Mapa Oficinas'!$A$7:$C$46,3,FALSE)</f>
        <v>Núñez</v>
      </c>
    </row>
    <row r="520" spans="1:19" x14ac:dyDescent="0.2">
      <c r="A520" s="1">
        <v>45772</v>
      </c>
      <c r="D520" t="s">
        <v>7083</v>
      </c>
      <c r="E520" t="s">
        <v>16</v>
      </c>
      <c r="F520" t="s">
        <v>82</v>
      </c>
      <c r="G520" s="14">
        <v>40000</v>
      </c>
      <c r="H520" s="14">
        <v>40000</v>
      </c>
      <c r="I520" t="s">
        <v>22</v>
      </c>
      <c r="J520" t="s">
        <v>22</v>
      </c>
      <c r="L520" t="s">
        <v>449</v>
      </c>
      <c r="M520" t="s">
        <v>97</v>
      </c>
      <c r="N520">
        <v>1</v>
      </c>
      <c r="O520" t="s">
        <v>367</v>
      </c>
      <c r="P520" t="s">
        <v>131</v>
      </c>
      <c r="Q520" t="s">
        <v>30</v>
      </c>
      <c r="R520" t="str">
        <f>VLOOKUP($O520,'Mapa Oficinas'!$A$7:$C$46,2,FALSE)</f>
        <v>Interior - Neuquén</v>
      </c>
      <c r="S520" t="str">
        <f>VLOOKUP($O520,'Mapa Oficinas'!$A$7:$C$46,3,FALSE)</f>
        <v>San Martín de los Andes</v>
      </c>
    </row>
    <row r="521" spans="1:19" x14ac:dyDescent="0.2">
      <c r="A521" s="1">
        <v>45772</v>
      </c>
      <c r="D521" t="s">
        <v>7082</v>
      </c>
      <c r="E521" t="s">
        <v>16</v>
      </c>
      <c r="F521" t="s">
        <v>243</v>
      </c>
      <c r="G521" s="14">
        <v>58000</v>
      </c>
      <c r="H521" s="14">
        <v>58000</v>
      </c>
      <c r="I521" t="s">
        <v>22</v>
      </c>
      <c r="J521" t="s">
        <v>22</v>
      </c>
      <c r="K521" t="s">
        <v>1193</v>
      </c>
      <c r="L521" t="s">
        <v>4851</v>
      </c>
      <c r="M521" t="s">
        <v>97</v>
      </c>
      <c r="N521">
        <v>2</v>
      </c>
      <c r="O521" t="s">
        <v>98</v>
      </c>
      <c r="P521" t="s">
        <v>41</v>
      </c>
      <c r="Q521" t="s">
        <v>30</v>
      </c>
      <c r="R521" t="str">
        <f>VLOOKUP($O521,'Mapa Oficinas'!$A$7:$C$46,2,FALSE)</f>
        <v>Interior - Neuquén</v>
      </c>
      <c r="S521" t="str">
        <f>VLOOKUP($O521,'Mapa Oficinas'!$A$7:$C$46,3,FALSE)</f>
        <v>Villa La Angostura</v>
      </c>
    </row>
    <row r="522" spans="1:19" x14ac:dyDescent="0.2">
      <c r="A522" s="1">
        <v>45772</v>
      </c>
      <c r="B522" t="s">
        <v>7064</v>
      </c>
      <c r="D522" t="s">
        <v>7065</v>
      </c>
      <c r="E522" t="s">
        <v>16</v>
      </c>
      <c r="F522" t="s">
        <v>17</v>
      </c>
      <c r="G522" s="14">
        <v>22000</v>
      </c>
      <c r="H522" s="14">
        <v>90000</v>
      </c>
      <c r="I522" t="s">
        <v>22</v>
      </c>
      <c r="J522" t="s">
        <v>22</v>
      </c>
      <c r="K522" t="s">
        <v>7066</v>
      </c>
      <c r="L522" t="s">
        <v>79</v>
      </c>
      <c r="M522" t="s">
        <v>188</v>
      </c>
      <c r="N522">
        <v>2</v>
      </c>
      <c r="O522" t="s">
        <v>201</v>
      </c>
      <c r="P522" t="s">
        <v>21</v>
      </c>
      <c r="Q522" t="s">
        <v>30</v>
      </c>
      <c r="R522" t="str">
        <f>VLOOKUP($O522,'Mapa Oficinas'!$A$7:$C$46,2,FALSE)</f>
        <v>CABA</v>
      </c>
      <c r="S522" t="str">
        <f>VLOOKUP($O522,'Mapa Oficinas'!$A$7:$C$46,3,FALSE)</f>
        <v>Recoleta</v>
      </c>
    </row>
    <row r="523" spans="1:19" x14ac:dyDescent="0.2">
      <c r="A523" s="1">
        <v>45772</v>
      </c>
      <c r="B523" t="s">
        <v>7076</v>
      </c>
      <c r="D523" t="s">
        <v>7077</v>
      </c>
      <c r="E523" t="s">
        <v>16</v>
      </c>
      <c r="F523" t="s">
        <v>58</v>
      </c>
      <c r="G523" s="14">
        <v>105000</v>
      </c>
      <c r="H523" s="14">
        <v>100000</v>
      </c>
      <c r="I523" t="s">
        <v>22</v>
      </c>
      <c r="J523" t="s">
        <v>22</v>
      </c>
      <c r="K523" t="s">
        <v>7078</v>
      </c>
      <c r="L523" t="s">
        <v>84</v>
      </c>
      <c r="M523" t="s">
        <v>28</v>
      </c>
      <c r="N523">
        <v>2</v>
      </c>
      <c r="O523" t="s">
        <v>85</v>
      </c>
      <c r="P523" t="s">
        <v>21</v>
      </c>
      <c r="Q523" t="s">
        <v>30</v>
      </c>
      <c r="R523" t="str">
        <f>VLOOKUP($O523,'Mapa Oficinas'!$A$7:$C$46,2,FALSE)</f>
        <v>Interior - Jujuy</v>
      </c>
      <c r="S523" t="str">
        <f>VLOOKUP($O523,'Mapa Oficinas'!$A$7:$C$46,3,FALSE)</f>
        <v>Capital Jujuy</v>
      </c>
    </row>
    <row r="524" spans="1:19" x14ac:dyDescent="0.2">
      <c r="A524" s="1">
        <v>45772</v>
      </c>
      <c r="B524" t="s">
        <v>7067</v>
      </c>
      <c r="D524" t="s">
        <v>7068</v>
      </c>
      <c r="E524" t="s">
        <v>16</v>
      </c>
      <c r="F524" t="s">
        <v>38</v>
      </c>
      <c r="G524" s="14">
        <v>110000</v>
      </c>
      <c r="H524" s="14">
        <v>120000</v>
      </c>
      <c r="I524" t="s">
        <v>22</v>
      </c>
      <c r="J524" t="s">
        <v>22</v>
      </c>
      <c r="K524" t="s">
        <v>7069</v>
      </c>
      <c r="L524" t="s">
        <v>318</v>
      </c>
      <c r="M524" t="s">
        <v>19</v>
      </c>
      <c r="N524">
        <v>2</v>
      </c>
      <c r="O524" t="s">
        <v>40</v>
      </c>
      <c r="P524" t="s">
        <v>36</v>
      </c>
      <c r="Q524" t="s">
        <v>30</v>
      </c>
      <c r="R524" t="str">
        <f>VLOOKUP($O524,'Mapa Oficinas'!$A$7:$C$46,2,FALSE)</f>
        <v>Zona Norte (GBA)</v>
      </c>
      <c r="S524" t="str">
        <f>VLOOKUP($O524,'Mapa Oficinas'!$A$7:$C$46,3,FALSE)</f>
        <v>Pilar</v>
      </c>
    </row>
    <row r="525" spans="1:19" x14ac:dyDescent="0.2">
      <c r="A525" s="1">
        <v>45772</v>
      </c>
      <c r="B525" t="s">
        <v>7084</v>
      </c>
      <c r="D525" t="s">
        <v>7085</v>
      </c>
      <c r="E525" t="s">
        <v>16</v>
      </c>
      <c r="F525" t="s">
        <v>17</v>
      </c>
      <c r="G525" s="14">
        <v>145000</v>
      </c>
      <c r="H525" s="14">
        <v>167000</v>
      </c>
      <c r="I525" t="s">
        <v>22</v>
      </c>
      <c r="J525" t="s">
        <v>22</v>
      </c>
      <c r="K525" t="s">
        <v>7086</v>
      </c>
      <c r="L525" t="s">
        <v>205</v>
      </c>
      <c r="M525" t="s">
        <v>19</v>
      </c>
      <c r="N525">
        <v>2</v>
      </c>
      <c r="O525" t="s">
        <v>35</v>
      </c>
      <c r="P525" t="s">
        <v>21</v>
      </c>
      <c r="Q525" t="s">
        <v>30</v>
      </c>
      <c r="R525" t="str">
        <f>VLOOKUP($O525,'Mapa Oficinas'!$A$7:$C$46,2,FALSE)</f>
        <v>Zona Norte (GBA)</v>
      </c>
      <c r="S525" t="str">
        <f>VLOOKUP($O525,'Mapa Oficinas'!$A$7:$C$46,3,FALSE)</f>
        <v>Vicente López</v>
      </c>
    </row>
    <row r="526" spans="1:19" x14ac:dyDescent="0.2">
      <c r="A526" s="1">
        <v>45772</v>
      </c>
      <c r="D526" t="s">
        <v>7062</v>
      </c>
      <c r="E526" t="s">
        <v>16</v>
      </c>
      <c r="F526" t="s">
        <v>17</v>
      </c>
      <c r="G526" s="14">
        <v>220000</v>
      </c>
      <c r="H526" s="14">
        <v>220000</v>
      </c>
      <c r="I526" t="s">
        <v>22</v>
      </c>
      <c r="J526" t="s">
        <v>22</v>
      </c>
      <c r="K526" t="s">
        <v>7063</v>
      </c>
      <c r="L526" t="s">
        <v>1564</v>
      </c>
      <c r="M526" t="s">
        <v>19</v>
      </c>
      <c r="N526">
        <v>2</v>
      </c>
      <c r="O526" t="s">
        <v>201</v>
      </c>
      <c r="P526" t="s">
        <v>21</v>
      </c>
      <c r="Q526" t="s">
        <v>30</v>
      </c>
      <c r="R526" t="str">
        <f>VLOOKUP($O526,'Mapa Oficinas'!$A$7:$C$46,2,FALSE)</f>
        <v>CABA</v>
      </c>
      <c r="S526" t="str">
        <f>VLOOKUP($O526,'Mapa Oficinas'!$A$7:$C$46,3,FALSE)</f>
        <v>Recoleta</v>
      </c>
    </row>
    <row r="527" spans="1:19" x14ac:dyDescent="0.2">
      <c r="A527" s="1">
        <v>45772</v>
      </c>
      <c r="B527" t="s">
        <v>7070</v>
      </c>
      <c r="D527" t="s">
        <v>7071</v>
      </c>
      <c r="E527" t="s">
        <v>16</v>
      </c>
      <c r="F527" t="s">
        <v>17</v>
      </c>
      <c r="G527" s="14">
        <v>250000</v>
      </c>
      <c r="H527" s="14">
        <v>236000</v>
      </c>
      <c r="I527" t="s">
        <v>22</v>
      </c>
      <c r="J527" t="s">
        <v>22</v>
      </c>
      <c r="K527" t="s">
        <v>7072</v>
      </c>
      <c r="L527" t="s">
        <v>821</v>
      </c>
      <c r="M527" t="s">
        <v>97</v>
      </c>
      <c r="N527">
        <v>2</v>
      </c>
      <c r="O527" t="s">
        <v>151</v>
      </c>
      <c r="P527" t="s">
        <v>21</v>
      </c>
      <c r="Q527" t="s">
        <v>30</v>
      </c>
      <c r="R527" t="str">
        <f>VLOOKUP($O527,'Mapa Oficinas'!$A$7:$C$46,2,FALSE)</f>
        <v>Interior - Neuquén</v>
      </c>
      <c r="S527" t="str">
        <f>VLOOKUP($O527,'Mapa Oficinas'!$A$7:$C$46,3,FALSE)</f>
        <v>Capital Neuquén</v>
      </c>
    </row>
    <row r="528" spans="1:19" x14ac:dyDescent="0.2">
      <c r="A528" s="1">
        <v>45772</v>
      </c>
      <c r="B528" t="s">
        <v>7060</v>
      </c>
      <c r="D528" t="s">
        <v>6602</v>
      </c>
      <c r="E528" t="s">
        <v>16</v>
      </c>
      <c r="F528" t="s">
        <v>17</v>
      </c>
      <c r="G528" s="14">
        <v>310000</v>
      </c>
      <c r="H528" s="14">
        <v>293000</v>
      </c>
      <c r="I528" t="s">
        <v>22</v>
      </c>
      <c r="J528" t="s">
        <v>22</v>
      </c>
      <c r="K528" t="s">
        <v>7061</v>
      </c>
      <c r="L528" t="s">
        <v>205</v>
      </c>
      <c r="M528" t="s">
        <v>19</v>
      </c>
      <c r="N528">
        <v>2</v>
      </c>
      <c r="O528" t="s">
        <v>50</v>
      </c>
      <c r="P528" t="s">
        <v>21</v>
      </c>
      <c r="Q528" t="s">
        <v>30</v>
      </c>
      <c r="R528" t="str">
        <f>VLOOKUP($O528,'Mapa Oficinas'!$A$7:$C$46,2,FALSE)</f>
        <v>CABA</v>
      </c>
      <c r="S528" t="str">
        <f>VLOOKUP($O528,'Mapa Oficinas'!$A$7:$C$46,3,FALSE)</f>
        <v>Villa Urquiza</v>
      </c>
    </row>
    <row r="529" spans="1:19" x14ac:dyDescent="0.2">
      <c r="A529" s="1">
        <v>45775</v>
      </c>
      <c r="B529" t="s">
        <v>7050</v>
      </c>
      <c r="D529" t="s">
        <v>7051</v>
      </c>
      <c r="E529" t="s">
        <v>16</v>
      </c>
      <c r="F529" t="s">
        <v>82</v>
      </c>
      <c r="G529" s="14">
        <v>44000</v>
      </c>
      <c r="H529" s="14">
        <v>44000</v>
      </c>
      <c r="I529" t="s">
        <v>22</v>
      </c>
      <c r="J529" t="s">
        <v>22</v>
      </c>
      <c r="L529" t="s">
        <v>355</v>
      </c>
      <c r="M529" t="s">
        <v>97</v>
      </c>
      <c r="N529">
        <v>1</v>
      </c>
      <c r="O529" t="s">
        <v>65</v>
      </c>
      <c r="P529" t="s">
        <v>146</v>
      </c>
      <c r="Q529" t="s">
        <v>30</v>
      </c>
      <c r="R529" t="str">
        <f>VLOOKUP($O529,'Mapa Oficinas'!$A$7:$C$46,2,FALSE)</f>
        <v>Interior - Mendoza</v>
      </c>
      <c r="S529" t="str">
        <f>VLOOKUP($O529,'Mapa Oficinas'!$A$7:$C$46,3,FALSE)</f>
        <v>Capital Mendoza</v>
      </c>
    </row>
    <row r="530" spans="1:19" x14ac:dyDescent="0.2">
      <c r="A530" s="1">
        <v>45775</v>
      </c>
      <c r="B530" t="s">
        <v>7052</v>
      </c>
      <c r="D530" t="s">
        <v>7053</v>
      </c>
      <c r="E530" t="s">
        <v>16</v>
      </c>
      <c r="F530" t="s">
        <v>47</v>
      </c>
      <c r="G530" s="14">
        <v>44900</v>
      </c>
      <c r="H530" s="14">
        <v>44900</v>
      </c>
      <c r="I530" t="s">
        <v>22</v>
      </c>
      <c r="J530" t="s">
        <v>22</v>
      </c>
      <c r="K530" t="s">
        <v>7054</v>
      </c>
      <c r="L530" t="s">
        <v>2752</v>
      </c>
      <c r="M530" t="s">
        <v>28</v>
      </c>
      <c r="N530">
        <v>2</v>
      </c>
      <c r="O530" t="s">
        <v>65</v>
      </c>
      <c r="P530" t="s">
        <v>21</v>
      </c>
      <c r="Q530" t="s">
        <v>30</v>
      </c>
      <c r="R530" t="str">
        <f>VLOOKUP($O530,'Mapa Oficinas'!$A$7:$C$46,2,FALSE)</f>
        <v>Interior - Mendoza</v>
      </c>
      <c r="S530" t="str">
        <f>VLOOKUP($O530,'Mapa Oficinas'!$A$7:$C$46,3,FALSE)</f>
        <v>Capital Mendoza</v>
      </c>
    </row>
    <row r="531" spans="1:19" x14ac:dyDescent="0.2">
      <c r="A531" s="1">
        <v>45775</v>
      </c>
      <c r="B531" t="s">
        <v>7055</v>
      </c>
      <c r="D531" t="s">
        <v>7056</v>
      </c>
      <c r="E531" t="s">
        <v>16</v>
      </c>
      <c r="F531" t="s">
        <v>17</v>
      </c>
      <c r="G531" s="14">
        <v>75000</v>
      </c>
      <c r="H531" s="14">
        <v>67000</v>
      </c>
      <c r="I531" t="s">
        <v>22</v>
      </c>
      <c r="J531" t="s">
        <v>22</v>
      </c>
      <c r="K531" t="s">
        <v>69</v>
      </c>
      <c r="L531" t="s">
        <v>70</v>
      </c>
      <c r="M531" t="s">
        <v>19</v>
      </c>
      <c r="N531">
        <v>2</v>
      </c>
      <c r="O531" t="s">
        <v>65</v>
      </c>
      <c r="P531" t="s">
        <v>21</v>
      </c>
      <c r="Q531" t="s">
        <v>30</v>
      </c>
      <c r="R531" t="str">
        <f>VLOOKUP($O531,'Mapa Oficinas'!$A$7:$C$46,2,FALSE)</f>
        <v>Interior - Mendoza</v>
      </c>
      <c r="S531" t="str">
        <f>VLOOKUP($O531,'Mapa Oficinas'!$A$7:$C$46,3,FALSE)</f>
        <v>Capital Mendoza</v>
      </c>
    </row>
    <row r="532" spans="1:19" x14ac:dyDescent="0.2">
      <c r="A532" s="1">
        <v>45775</v>
      </c>
      <c r="B532" t="s">
        <v>7034</v>
      </c>
      <c r="D532" t="s">
        <v>7035</v>
      </c>
      <c r="E532" t="s">
        <v>16</v>
      </c>
      <c r="F532" t="s">
        <v>82</v>
      </c>
      <c r="G532" s="14">
        <v>95000</v>
      </c>
      <c r="H532" s="14">
        <v>90000</v>
      </c>
      <c r="I532" t="s">
        <v>22</v>
      </c>
      <c r="J532" t="s">
        <v>22</v>
      </c>
      <c r="K532" t="s">
        <v>7036</v>
      </c>
      <c r="L532" t="s">
        <v>630</v>
      </c>
      <c r="M532" t="s">
        <v>28</v>
      </c>
      <c r="N532">
        <v>2</v>
      </c>
      <c r="O532" t="s">
        <v>246</v>
      </c>
      <c r="P532" t="s">
        <v>21</v>
      </c>
      <c r="Q532" t="s">
        <v>30</v>
      </c>
      <c r="R532" t="str">
        <f>VLOOKUP($O532,'Mapa Oficinas'!$A$7:$C$46,2,FALSE)</f>
        <v>Interior - Salta</v>
      </c>
      <c r="S532" t="str">
        <f>VLOOKUP($O532,'Mapa Oficinas'!$A$7:$C$46,3,FALSE)</f>
        <v>San Lorenzo Chico</v>
      </c>
    </row>
    <row r="533" spans="1:19" x14ac:dyDescent="0.2">
      <c r="A533" s="1">
        <v>45775</v>
      </c>
      <c r="B533" t="s">
        <v>7037</v>
      </c>
      <c r="D533" t="s">
        <v>7038</v>
      </c>
      <c r="E533" t="s">
        <v>16</v>
      </c>
      <c r="F533" t="s">
        <v>58</v>
      </c>
      <c r="G533" s="14">
        <v>130000</v>
      </c>
      <c r="H533" s="14">
        <v>146000</v>
      </c>
      <c r="I533" t="s">
        <v>22</v>
      </c>
      <c r="J533" t="s">
        <v>22</v>
      </c>
      <c r="K533" t="s">
        <v>7039</v>
      </c>
      <c r="L533" t="s">
        <v>318</v>
      </c>
      <c r="M533" t="s">
        <v>19</v>
      </c>
      <c r="N533">
        <v>2</v>
      </c>
      <c r="O533" t="s">
        <v>50</v>
      </c>
      <c r="P533" t="s">
        <v>21</v>
      </c>
      <c r="Q533" t="s">
        <v>30</v>
      </c>
      <c r="R533" t="str">
        <f>VLOOKUP($O533,'Mapa Oficinas'!$A$7:$C$46,2,FALSE)</f>
        <v>CABA</v>
      </c>
      <c r="S533" t="str">
        <f>VLOOKUP($O533,'Mapa Oficinas'!$A$7:$C$46,3,FALSE)</f>
        <v>Villa Urquiza</v>
      </c>
    </row>
    <row r="534" spans="1:19" x14ac:dyDescent="0.2">
      <c r="A534" s="1">
        <v>45775</v>
      </c>
      <c r="B534" t="s">
        <v>7041</v>
      </c>
      <c r="D534" t="s">
        <v>7042</v>
      </c>
      <c r="E534" t="s">
        <v>16</v>
      </c>
      <c r="F534" t="s">
        <v>47</v>
      </c>
      <c r="G534" s="14">
        <v>165000</v>
      </c>
      <c r="H534" s="14">
        <v>155000</v>
      </c>
      <c r="I534" t="s">
        <v>22</v>
      </c>
      <c r="J534" t="s">
        <v>22</v>
      </c>
      <c r="K534" t="s">
        <v>7042</v>
      </c>
      <c r="L534" t="s">
        <v>7043</v>
      </c>
      <c r="M534" t="s">
        <v>19</v>
      </c>
      <c r="N534">
        <v>2</v>
      </c>
      <c r="O534" t="s">
        <v>40</v>
      </c>
      <c r="P534" t="s">
        <v>21</v>
      </c>
      <c r="Q534" t="s">
        <v>30</v>
      </c>
      <c r="R534" t="str">
        <f>VLOOKUP($O534,'Mapa Oficinas'!$A$7:$C$46,2,FALSE)</f>
        <v>Zona Norte (GBA)</v>
      </c>
      <c r="S534" t="str">
        <f>VLOOKUP($O534,'Mapa Oficinas'!$A$7:$C$46,3,FALSE)</f>
        <v>Pilar</v>
      </c>
    </row>
    <row r="535" spans="1:19" x14ac:dyDescent="0.2">
      <c r="A535" s="1">
        <v>45775</v>
      </c>
      <c r="B535" t="s">
        <v>7057</v>
      </c>
      <c r="D535" t="s">
        <v>7058</v>
      </c>
      <c r="E535" t="s">
        <v>16</v>
      </c>
      <c r="F535" t="s">
        <v>82</v>
      </c>
      <c r="G535" s="14">
        <v>180000</v>
      </c>
      <c r="H535" s="14">
        <v>175000</v>
      </c>
      <c r="I535" t="s">
        <v>22</v>
      </c>
      <c r="J535" t="s">
        <v>22</v>
      </c>
      <c r="K535" t="s">
        <v>7059</v>
      </c>
      <c r="L535" t="s">
        <v>2072</v>
      </c>
      <c r="M535" t="s">
        <v>28</v>
      </c>
      <c r="N535">
        <v>2</v>
      </c>
      <c r="O535" t="s">
        <v>65</v>
      </c>
      <c r="P535" t="s">
        <v>276</v>
      </c>
      <c r="Q535" t="s">
        <v>30</v>
      </c>
      <c r="R535" t="str">
        <f>VLOOKUP($O535,'Mapa Oficinas'!$A$7:$C$46,2,FALSE)</f>
        <v>Interior - Mendoza</v>
      </c>
      <c r="S535" t="str">
        <f>VLOOKUP($O535,'Mapa Oficinas'!$A$7:$C$46,3,FALSE)</f>
        <v>Capital Mendoza</v>
      </c>
    </row>
    <row r="536" spans="1:19" x14ac:dyDescent="0.2">
      <c r="A536" s="1">
        <v>45776</v>
      </c>
      <c r="B536" t="s">
        <v>7017</v>
      </c>
      <c r="D536" t="s">
        <v>7018</v>
      </c>
      <c r="E536" t="s">
        <v>16</v>
      </c>
      <c r="F536" t="s">
        <v>243</v>
      </c>
      <c r="G536" s="14">
        <v>40000</v>
      </c>
      <c r="H536" s="14">
        <v>37000</v>
      </c>
      <c r="I536" t="s">
        <v>22</v>
      </c>
      <c r="J536" t="s">
        <v>22</v>
      </c>
      <c r="K536" t="s">
        <v>7019</v>
      </c>
      <c r="L536" t="s">
        <v>247</v>
      </c>
      <c r="M536" t="s">
        <v>19</v>
      </c>
      <c r="N536">
        <v>2</v>
      </c>
      <c r="O536" t="s">
        <v>246</v>
      </c>
      <c r="P536" t="s">
        <v>21</v>
      </c>
      <c r="Q536" t="s">
        <v>30</v>
      </c>
      <c r="R536" t="str">
        <f>VLOOKUP($O536,'Mapa Oficinas'!$A$7:$C$46,2,FALSE)</f>
        <v>Interior - Salta</v>
      </c>
      <c r="S536" t="str">
        <f>VLOOKUP($O536,'Mapa Oficinas'!$A$7:$C$46,3,FALSE)</f>
        <v>San Lorenzo Chico</v>
      </c>
    </row>
    <row r="537" spans="1:19" x14ac:dyDescent="0.2">
      <c r="A537" s="1">
        <v>45776</v>
      </c>
      <c r="D537" t="s">
        <v>7020</v>
      </c>
      <c r="E537" t="s">
        <v>16</v>
      </c>
      <c r="F537" t="s">
        <v>82</v>
      </c>
      <c r="G537" s="14">
        <v>39000</v>
      </c>
      <c r="H537" s="14">
        <v>39000</v>
      </c>
      <c r="I537" t="s">
        <v>22</v>
      </c>
      <c r="J537" t="s">
        <v>22</v>
      </c>
      <c r="K537" t="s">
        <v>1193</v>
      </c>
      <c r="L537" t="s">
        <v>4851</v>
      </c>
      <c r="M537" t="s">
        <v>97</v>
      </c>
      <c r="N537">
        <v>2</v>
      </c>
      <c r="O537" t="s">
        <v>98</v>
      </c>
      <c r="P537" t="s">
        <v>41</v>
      </c>
      <c r="Q537" t="s">
        <v>30</v>
      </c>
      <c r="R537" t="str">
        <f>VLOOKUP($O537,'Mapa Oficinas'!$A$7:$C$46,2,FALSE)</f>
        <v>Interior - Neuquén</v>
      </c>
      <c r="S537" t="str">
        <f>VLOOKUP($O537,'Mapa Oficinas'!$A$7:$C$46,3,FALSE)</f>
        <v>Villa La Angostura</v>
      </c>
    </row>
    <row r="538" spans="1:19" x14ac:dyDescent="0.2">
      <c r="A538" s="1">
        <v>45776</v>
      </c>
      <c r="D538" t="s">
        <v>7021</v>
      </c>
      <c r="E538" t="s">
        <v>16</v>
      </c>
      <c r="F538" t="s">
        <v>184</v>
      </c>
      <c r="G538" s="14">
        <v>40000</v>
      </c>
      <c r="H538" s="14">
        <v>40000</v>
      </c>
      <c r="I538" t="s">
        <v>22</v>
      </c>
      <c r="J538" t="s">
        <v>22</v>
      </c>
      <c r="K538" t="s">
        <v>1193</v>
      </c>
      <c r="L538" t="s">
        <v>1927</v>
      </c>
      <c r="M538" t="s">
        <v>97</v>
      </c>
      <c r="N538">
        <v>2</v>
      </c>
      <c r="O538" t="s">
        <v>98</v>
      </c>
      <c r="P538" t="s">
        <v>41</v>
      </c>
      <c r="Q538" t="s">
        <v>30</v>
      </c>
      <c r="R538" t="str">
        <f>VLOOKUP($O538,'Mapa Oficinas'!$A$7:$C$46,2,FALSE)</f>
        <v>Interior - Neuquén</v>
      </c>
      <c r="S538" t="str">
        <f>VLOOKUP($O538,'Mapa Oficinas'!$A$7:$C$46,3,FALSE)</f>
        <v>Villa La Angostura</v>
      </c>
    </row>
    <row r="539" spans="1:19" x14ac:dyDescent="0.2">
      <c r="A539" s="1">
        <v>45776</v>
      </c>
      <c r="B539" t="s">
        <v>7028</v>
      </c>
      <c r="D539" t="s">
        <v>7029</v>
      </c>
      <c r="E539" t="s">
        <v>16</v>
      </c>
      <c r="F539" t="s">
        <v>17</v>
      </c>
      <c r="G539" s="14">
        <v>65000</v>
      </c>
      <c r="H539" s="14">
        <v>60000</v>
      </c>
      <c r="I539" t="s">
        <v>22</v>
      </c>
      <c r="J539" t="s">
        <v>22</v>
      </c>
      <c r="K539" t="s">
        <v>7030</v>
      </c>
      <c r="L539" t="s">
        <v>37</v>
      </c>
      <c r="M539" t="s">
        <v>19</v>
      </c>
      <c r="N539">
        <v>2</v>
      </c>
      <c r="O539" t="s">
        <v>20</v>
      </c>
      <c r="P539" t="s">
        <v>21</v>
      </c>
      <c r="Q539" t="s">
        <v>30</v>
      </c>
      <c r="R539" t="str">
        <f>VLOOKUP($O539,'Mapa Oficinas'!$A$7:$C$46,2,FALSE)</f>
        <v>CABA</v>
      </c>
      <c r="S539" t="str">
        <f>VLOOKUP($O539,'Mapa Oficinas'!$A$7:$C$46,3,FALSE)</f>
        <v>Palermo</v>
      </c>
    </row>
    <row r="540" spans="1:19" x14ac:dyDescent="0.2">
      <c r="A540" s="1">
        <v>45776</v>
      </c>
      <c r="B540" t="s">
        <v>7002</v>
      </c>
      <c r="D540" t="s">
        <v>7003</v>
      </c>
      <c r="E540" t="s">
        <v>16</v>
      </c>
      <c r="F540" t="s">
        <v>17</v>
      </c>
      <c r="G540" s="14">
        <v>77900</v>
      </c>
      <c r="H540" s="14">
        <v>70000</v>
      </c>
      <c r="I540" t="s">
        <v>22</v>
      </c>
      <c r="J540" t="s">
        <v>22</v>
      </c>
      <c r="K540" t="s">
        <v>7004</v>
      </c>
      <c r="L540" t="s">
        <v>2361</v>
      </c>
      <c r="M540" t="s">
        <v>19</v>
      </c>
      <c r="N540">
        <v>2</v>
      </c>
      <c r="O540" t="s">
        <v>35</v>
      </c>
      <c r="P540" t="s">
        <v>21</v>
      </c>
      <c r="Q540" t="s">
        <v>30</v>
      </c>
      <c r="R540" t="str">
        <f>VLOOKUP($O540,'Mapa Oficinas'!$A$7:$C$46,2,FALSE)</f>
        <v>Zona Norte (GBA)</v>
      </c>
      <c r="S540" t="str">
        <f>VLOOKUP($O540,'Mapa Oficinas'!$A$7:$C$46,3,FALSE)</f>
        <v>Vicente López</v>
      </c>
    </row>
    <row r="541" spans="1:19" x14ac:dyDescent="0.2">
      <c r="A541" s="1">
        <v>45776</v>
      </c>
      <c r="B541" t="s">
        <v>7005</v>
      </c>
      <c r="D541" t="s">
        <v>7006</v>
      </c>
      <c r="E541" t="s">
        <v>16</v>
      </c>
      <c r="F541" t="s">
        <v>134</v>
      </c>
      <c r="G541" s="14">
        <v>0</v>
      </c>
      <c r="H541" s="14">
        <v>82000</v>
      </c>
      <c r="I541" t="s">
        <v>22</v>
      </c>
      <c r="J541" t="s">
        <v>22</v>
      </c>
      <c r="L541" t="s">
        <v>217</v>
      </c>
      <c r="M541" t="s">
        <v>19</v>
      </c>
      <c r="N541">
        <v>2</v>
      </c>
      <c r="O541" t="s">
        <v>130</v>
      </c>
      <c r="P541" t="s">
        <v>256</v>
      </c>
      <c r="Q541" t="s">
        <v>30</v>
      </c>
      <c r="R541" t="str">
        <f>VLOOKUP($O541,'Mapa Oficinas'!$A$7:$C$46,2,FALSE)</f>
        <v>Interior - Río Negro</v>
      </c>
      <c r="S541" t="str">
        <f>VLOOKUP($O541,'Mapa Oficinas'!$A$7:$C$46,3,FALSE)</f>
        <v>Bariloche</v>
      </c>
    </row>
    <row r="542" spans="1:19" x14ac:dyDescent="0.2">
      <c r="A542" s="1">
        <v>45776</v>
      </c>
      <c r="B542" t="s">
        <v>7007</v>
      </c>
      <c r="D542" t="s">
        <v>7008</v>
      </c>
      <c r="E542" t="s">
        <v>16</v>
      </c>
      <c r="F542" t="s">
        <v>134</v>
      </c>
      <c r="G542" s="14">
        <v>82000</v>
      </c>
      <c r="H542" s="14">
        <v>85000</v>
      </c>
      <c r="I542" t="s">
        <v>22</v>
      </c>
      <c r="J542" t="s">
        <v>22</v>
      </c>
      <c r="K542" t="s">
        <v>2467</v>
      </c>
      <c r="L542" t="s">
        <v>129</v>
      </c>
      <c r="M542" t="s">
        <v>19</v>
      </c>
      <c r="N542">
        <v>1</v>
      </c>
      <c r="O542" t="s">
        <v>130</v>
      </c>
      <c r="P542" t="s">
        <v>131</v>
      </c>
      <c r="Q542" t="s">
        <v>30</v>
      </c>
      <c r="R542" t="str">
        <f>VLOOKUP($O542,'Mapa Oficinas'!$A$7:$C$46,2,FALSE)</f>
        <v>Interior - Río Negro</v>
      </c>
      <c r="S542" t="str">
        <f>VLOOKUP($O542,'Mapa Oficinas'!$A$7:$C$46,3,FALSE)</f>
        <v>Bariloche</v>
      </c>
    </row>
    <row r="543" spans="1:19" x14ac:dyDescent="0.2">
      <c r="A543" s="1">
        <v>45776</v>
      </c>
      <c r="B543" t="s">
        <v>7026</v>
      </c>
      <c r="D543" t="s">
        <v>7027</v>
      </c>
      <c r="E543" t="s">
        <v>16</v>
      </c>
      <c r="F543" t="s">
        <v>184</v>
      </c>
      <c r="G543" s="14">
        <v>123310</v>
      </c>
      <c r="H543" s="14">
        <v>104000</v>
      </c>
      <c r="I543" t="s">
        <v>22</v>
      </c>
      <c r="J543" t="s">
        <v>22</v>
      </c>
      <c r="K543" t="s">
        <v>6391</v>
      </c>
      <c r="L543" t="s">
        <v>442</v>
      </c>
      <c r="M543" t="s">
        <v>19</v>
      </c>
      <c r="N543">
        <v>2</v>
      </c>
      <c r="O543" t="s">
        <v>98</v>
      </c>
      <c r="P543" t="s">
        <v>21</v>
      </c>
      <c r="Q543" t="s">
        <v>30</v>
      </c>
      <c r="R543" t="str">
        <f>VLOOKUP($O543,'Mapa Oficinas'!$A$7:$C$46,2,FALSE)</f>
        <v>Interior - Neuquén</v>
      </c>
      <c r="S543" t="str">
        <f>VLOOKUP($O543,'Mapa Oficinas'!$A$7:$C$46,3,FALSE)</f>
        <v>Villa La Angostura</v>
      </c>
    </row>
    <row r="544" spans="1:19" x14ac:dyDescent="0.2">
      <c r="A544" s="1">
        <v>45776</v>
      </c>
      <c r="B544" t="s">
        <v>7012</v>
      </c>
      <c r="D544" t="s">
        <v>7013</v>
      </c>
      <c r="E544" t="s">
        <v>16</v>
      </c>
      <c r="F544" t="s">
        <v>134</v>
      </c>
      <c r="G544" s="14">
        <v>120000</v>
      </c>
      <c r="H544" s="14">
        <v>120000</v>
      </c>
      <c r="I544" t="s">
        <v>22</v>
      </c>
      <c r="J544" t="s">
        <v>22</v>
      </c>
      <c r="K544" t="s">
        <v>4817</v>
      </c>
      <c r="L544" t="s">
        <v>2591</v>
      </c>
      <c r="M544" t="s">
        <v>19</v>
      </c>
      <c r="N544">
        <v>2</v>
      </c>
      <c r="O544" t="s">
        <v>130</v>
      </c>
      <c r="P544" t="s">
        <v>41</v>
      </c>
      <c r="Q544" t="s">
        <v>30</v>
      </c>
      <c r="R544" t="str">
        <f>VLOOKUP($O544,'Mapa Oficinas'!$A$7:$C$46,2,FALSE)</f>
        <v>Interior - Río Negro</v>
      </c>
      <c r="S544" t="str">
        <f>VLOOKUP($O544,'Mapa Oficinas'!$A$7:$C$46,3,FALSE)</f>
        <v>Bariloche</v>
      </c>
    </row>
    <row r="545" spans="1:19" x14ac:dyDescent="0.2">
      <c r="A545" s="1">
        <v>45776</v>
      </c>
      <c r="B545" t="s">
        <v>6992</v>
      </c>
      <c r="D545" t="s">
        <v>6993</v>
      </c>
      <c r="E545" t="s">
        <v>16</v>
      </c>
      <c r="F545" t="s">
        <v>47</v>
      </c>
      <c r="G545" s="14">
        <v>286000</v>
      </c>
      <c r="H545" s="14">
        <v>120000</v>
      </c>
      <c r="I545" t="s">
        <v>22</v>
      </c>
      <c r="J545" t="s">
        <v>22</v>
      </c>
      <c r="K545" t="s">
        <v>6994</v>
      </c>
      <c r="L545" t="s">
        <v>318</v>
      </c>
      <c r="M545" t="s">
        <v>19</v>
      </c>
      <c r="N545">
        <v>2</v>
      </c>
      <c r="O545" t="s">
        <v>50</v>
      </c>
      <c r="P545" t="s">
        <v>21</v>
      </c>
      <c r="Q545" t="s">
        <v>30</v>
      </c>
      <c r="R545" t="str">
        <f>VLOOKUP($O545,'Mapa Oficinas'!$A$7:$C$46,2,FALSE)</f>
        <v>CABA</v>
      </c>
      <c r="S545" t="str">
        <f>VLOOKUP($O545,'Mapa Oficinas'!$A$7:$C$46,3,FALSE)</f>
        <v>Villa Urquiza</v>
      </c>
    </row>
    <row r="546" spans="1:19" x14ac:dyDescent="0.2">
      <c r="A546" s="1">
        <v>45776</v>
      </c>
      <c r="B546" t="s">
        <v>6999</v>
      </c>
      <c r="D546" t="s">
        <v>7000</v>
      </c>
      <c r="E546" t="s">
        <v>16</v>
      </c>
      <c r="F546" t="s">
        <v>17</v>
      </c>
      <c r="G546" s="14">
        <v>140000</v>
      </c>
      <c r="H546" s="14">
        <v>147000</v>
      </c>
      <c r="I546" t="s">
        <v>22</v>
      </c>
      <c r="J546" t="s">
        <v>22</v>
      </c>
      <c r="K546" t="s">
        <v>7001</v>
      </c>
      <c r="L546" t="s">
        <v>191</v>
      </c>
      <c r="M546" t="s">
        <v>19</v>
      </c>
      <c r="N546">
        <v>2</v>
      </c>
      <c r="O546" t="s">
        <v>201</v>
      </c>
      <c r="P546" t="s">
        <v>21</v>
      </c>
      <c r="Q546" t="s">
        <v>30</v>
      </c>
      <c r="R546" t="str">
        <f>VLOOKUP($O546,'Mapa Oficinas'!$A$7:$C$46,2,FALSE)</f>
        <v>CABA</v>
      </c>
      <c r="S546" t="str">
        <f>VLOOKUP($O546,'Mapa Oficinas'!$A$7:$C$46,3,FALSE)</f>
        <v>Recoleta</v>
      </c>
    </row>
    <row r="547" spans="1:19" x14ac:dyDescent="0.2">
      <c r="A547" s="1">
        <v>45776</v>
      </c>
      <c r="B547" t="s">
        <v>7014</v>
      </c>
      <c r="D547" t="s">
        <v>7015</v>
      </c>
      <c r="E547" t="s">
        <v>16</v>
      </c>
      <c r="F547" t="s">
        <v>17</v>
      </c>
      <c r="G547" s="14">
        <v>190000</v>
      </c>
      <c r="H547" s="14">
        <v>184000</v>
      </c>
      <c r="I547" t="s">
        <v>22</v>
      </c>
      <c r="J547" t="s">
        <v>22</v>
      </c>
      <c r="K547" t="s">
        <v>7016</v>
      </c>
      <c r="L547" t="s">
        <v>1651</v>
      </c>
      <c r="M547" t="s">
        <v>28</v>
      </c>
      <c r="N547">
        <v>2</v>
      </c>
      <c r="O547" t="s">
        <v>151</v>
      </c>
      <c r="P547" t="s">
        <v>21</v>
      </c>
      <c r="Q547" t="s">
        <v>30</v>
      </c>
      <c r="R547" t="str">
        <f>VLOOKUP($O547,'Mapa Oficinas'!$A$7:$C$46,2,FALSE)</f>
        <v>Interior - Neuquén</v>
      </c>
      <c r="S547" t="str">
        <f>VLOOKUP($O547,'Mapa Oficinas'!$A$7:$C$46,3,FALSE)</f>
        <v>Capital Neuquén</v>
      </c>
    </row>
    <row r="548" spans="1:19" x14ac:dyDescent="0.2">
      <c r="A548" s="1">
        <v>45776</v>
      </c>
      <c r="B548" t="s">
        <v>6989</v>
      </c>
      <c r="D548" t="s">
        <v>6990</v>
      </c>
      <c r="E548" t="s">
        <v>16</v>
      </c>
      <c r="F548" t="s">
        <v>17</v>
      </c>
      <c r="G548" s="14">
        <v>215000</v>
      </c>
      <c r="H548" s="14">
        <v>210000</v>
      </c>
      <c r="I548" t="s">
        <v>22</v>
      </c>
      <c r="J548" t="s">
        <v>22</v>
      </c>
      <c r="K548" t="s">
        <v>6991</v>
      </c>
      <c r="L548" t="s">
        <v>1077</v>
      </c>
      <c r="M548" t="s">
        <v>19</v>
      </c>
      <c r="N548">
        <v>2</v>
      </c>
      <c r="O548" t="s">
        <v>206</v>
      </c>
      <c r="P548" t="s">
        <v>21</v>
      </c>
      <c r="Q548" t="s">
        <v>30</v>
      </c>
      <c r="R548" t="str">
        <f>VLOOKUP($O548,'Mapa Oficinas'!$A$7:$C$46,2,FALSE)</f>
        <v>CABA</v>
      </c>
      <c r="S548" t="str">
        <f>VLOOKUP($O548,'Mapa Oficinas'!$A$7:$C$46,3,FALSE)</f>
        <v>Belgrano</v>
      </c>
    </row>
    <row r="549" spans="1:19" x14ac:dyDescent="0.2">
      <c r="A549" s="1">
        <v>45776</v>
      </c>
      <c r="B549" t="s">
        <v>7022</v>
      </c>
      <c r="D549" t="s">
        <v>7023</v>
      </c>
      <c r="E549" t="s">
        <v>16</v>
      </c>
      <c r="F549" t="s">
        <v>896</v>
      </c>
      <c r="G549" s="14">
        <v>260000</v>
      </c>
      <c r="H549" s="14">
        <v>250000</v>
      </c>
      <c r="I549" t="s">
        <v>22</v>
      </c>
      <c r="J549" t="s">
        <v>22</v>
      </c>
      <c r="K549" t="s">
        <v>7024</v>
      </c>
      <c r="L549" t="s">
        <v>7025</v>
      </c>
      <c r="M549" t="s">
        <v>19</v>
      </c>
      <c r="N549">
        <v>1</v>
      </c>
      <c r="O549" t="s">
        <v>98</v>
      </c>
      <c r="P549" t="s">
        <v>66</v>
      </c>
      <c r="Q549" t="s">
        <v>30</v>
      </c>
      <c r="R549" t="str">
        <f>VLOOKUP($O549,'Mapa Oficinas'!$A$7:$C$46,2,FALSE)</f>
        <v>Interior - Neuquén</v>
      </c>
      <c r="S549" t="str">
        <f>VLOOKUP($O549,'Mapa Oficinas'!$A$7:$C$46,3,FALSE)</f>
        <v>Villa La Angostura</v>
      </c>
    </row>
    <row r="550" spans="1:19" x14ac:dyDescent="0.2">
      <c r="A550" s="1">
        <v>45776</v>
      </c>
      <c r="B550" t="s">
        <v>7009</v>
      </c>
      <c r="D550" t="s">
        <v>7010</v>
      </c>
      <c r="E550" t="s">
        <v>16</v>
      </c>
      <c r="F550" t="s">
        <v>17</v>
      </c>
      <c r="G550" s="14">
        <v>440000</v>
      </c>
      <c r="H550" s="14">
        <v>440000</v>
      </c>
      <c r="I550" t="s">
        <v>22</v>
      </c>
      <c r="J550" t="s">
        <v>22</v>
      </c>
      <c r="K550" t="s">
        <v>7011</v>
      </c>
      <c r="L550" t="s">
        <v>237</v>
      </c>
      <c r="M550" t="s">
        <v>19</v>
      </c>
      <c r="N550">
        <v>1</v>
      </c>
      <c r="O550" t="s">
        <v>206</v>
      </c>
      <c r="P550" t="s">
        <v>146</v>
      </c>
      <c r="Q550" t="s">
        <v>30</v>
      </c>
      <c r="R550" t="str">
        <f>VLOOKUP($O550,'Mapa Oficinas'!$A$7:$C$46,2,FALSE)</f>
        <v>CABA</v>
      </c>
      <c r="S550" t="str">
        <f>VLOOKUP($O550,'Mapa Oficinas'!$A$7:$C$46,3,FALSE)</f>
        <v>Belgrano</v>
      </c>
    </row>
    <row r="551" spans="1:19" x14ac:dyDescent="0.2">
      <c r="A551" s="1">
        <v>45777</v>
      </c>
      <c r="B551" t="s">
        <v>6981</v>
      </c>
      <c r="D551" t="s">
        <v>6982</v>
      </c>
      <c r="E551" t="s">
        <v>16</v>
      </c>
      <c r="F551" t="s">
        <v>243</v>
      </c>
      <c r="G551" s="14">
        <v>36000</v>
      </c>
      <c r="H551" s="14">
        <v>36000</v>
      </c>
      <c r="I551" t="s">
        <v>22</v>
      </c>
      <c r="J551" t="s">
        <v>22</v>
      </c>
      <c r="K551" t="s">
        <v>6983</v>
      </c>
      <c r="L551" t="s">
        <v>630</v>
      </c>
      <c r="M551" t="s">
        <v>19</v>
      </c>
      <c r="N551">
        <v>2</v>
      </c>
      <c r="O551" t="s">
        <v>246</v>
      </c>
      <c r="P551" t="s">
        <v>21</v>
      </c>
      <c r="Q551" t="s">
        <v>30</v>
      </c>
      <c r="R551" t="str">
        <f>VLOOKUP($O551,'Mapa Oficinas'!$A$7:$C$46,2,FALSE)</f>
        <v>Interior - Salta</v>
      </c>
      <c r="S551" t="str">
        <f>VLOOKUP($O551,'Mapa Oficinas'!$A$7:$C$46,3,FALSE)</f>
        <v>San Lorenzo Chico</v>
      </c>
    </row>
    <row r="552" spans="1:19" x14ac:dyDescent="0.2">
      <c r="A552" s="1">
        <v>45777</v>
      </c>
      <c r="D552" t="s">
        <v>6946</v>
      </c>
      <c r="E552" t="s">
        <v>16</v>
      </c>
      <c r="F552" t="s">
        <v>17</v>
      </c>
      <c r="G552" s="14">
        <v>39500</v>
      </c>
      <c r="H552" s="14">
        <v>39500</v>
      </c>
      <c r="I552" t="s">
        <v>22</v>
      </c>
      <c r="J552" t="s">
        <v>22</v>
      </c>
      <c r="K552" t="s">
        <v>6947</v>
      </c>
      <c r="L552" t="s">
        <v>6948</v>
      </c>
      <c r="M552" t="s">
        <v>97</v>
      </c>
      <c r="N552">
        <v>2</v>
      </c>
      <c r="O552" t="s">
        <v>142</v>
      </c>
      <c r="P552" t="s">
        <v>21</v>
      </c>
      <c r="Q552" t="s">
        <v>30</v>
      </c>
      <c r="R552" t="str">
        <f>VLOOKUP($O552,'Mapa Oficinas'!$A$7:$C$46,2,FALSE)</f>
        <v>Zona Norte (GBA)</v>
      </c>
      <c r="S552" t="str">
        <f>VLOOKUP($O552,'Mapa Oficinas'!$A$7:$C$46,3,FALSE)</f>
        <v>Nordelta</v>
      </c>
    </row>
    <row r="553" spans="1:19" x14ac:dyDescent="0.2">
      <c r="A553" s="1">
        <v>45777</v>
      </c>
      <c r="B553" t="s">
        <v>6978</v>
      </c>
      <c r="D553" t="s">
        <v>6979</v>
      </c>
      <c r="E553" t="s">
        <v>16</v>
      </c>
      <c r="F553" t="s">
        <v>17</v>
      </c>
      <c r="G553" s="14">
        <v>41400</v>
      </c>
      <c r="H553" s="14">
        <v>40000</v>
      </c>
      <c r="I553" t="s">
        <v>22</v>
      </c>
      <c r="J553" t="s">
        <v>22</v>
      </c>
      <c r="K553" t="s">
        <v>6980</v>
      </c>
      <c r="L553" t="s">
        <v>6376</v>
      </c>
      <c r="M553" t="s">
        <v>19</v>
      </c>
      <c r="N553">
        <v>2</v>
      </c>
      <c r="O553" t="s">
        <v>547</v>
      </c>
      <c r="P553" t="s">
        <v>276</v>
      </c>
      <c r="Q553" t="s">
        <v>30</v>
      </c>
      <c r="R553" t="str">
        <f>VLOOKUP($O553,'Mapa Oficinas'!$A$7:$C$46,2,FALSE)</f>
        <v>CABA</v>
      </c>
      <c r="S553" t="str">
        <f>VLOOKUP($O553,'Mapa Oficinas'!$A$7:$C$46,3,FALSE)</f>
        <v>Núñez</v>
      </c>
    </row>
    <row r="554" spans="1:19" x14ac:dyDescent="0.2">
      <c r="A554" s="1">
        <v>45777</v>
      </c>
      <c r="B554" t="s">
        <v>6970</v>
      </c>
      <c r="D554" t="s">
        <v>6971</v>
      </c>
      <c r="E554" t="s">
        <v>16</v>
      </c>
      <c r="F554" t="s">
        <v>17</v>
      </c>
      <c r="G554" s="14">
        <v>48000</v>
      </c>
      <c r="H554" s="14">
        <v>46500</v>
      </c>
      <c r="I554" t="s">
        <v>22</v>
      </c>
      <c r="J554" t="s">
        <v>22</v>
      </c>
      <c r="K554" t="s">
        <v>6972</v>
      </c>
      <c r="L554" t="s">
        <v>825</v>
      </c>
      <c r="M554" t="s">
        <v>97</v>
      </c>
      <c r="N554">
        <v>2</v>
      </c>
      <c r="O554" t="s">
        <v>171</v>
      </c>
      <c r="P554" t="s">
        <v>276</v>
      </c>
      <c r="Q554" t="s">
        <v>30</v>
      </c>
      <c r="R554" t="str">
        <f>VLOOKUP($O554,'Mapa Oficinas'!$A$7:$C$46,2,FALSE)</f>
        <v>Zona Sur (GBA)</v>
      </c>
      <c r="S554" t="str">
        <f>VLOOKUP($O554,'Mapa Oficinas'!$A$7:$C$46,3,FALSE)</f>
        <v>La Plata</v>
      </c>
    </row>
    <row r="555" spans="1:19" x14ac:dyDescent="0.2">
      <c r="A555" s="1">
        <v>45777</v>
      </c>
      <c r="B555">
        <v>10376</v>
      </c>
      <c r="D555" t="s">
        <v>6941</v>
      </c>
      <c r="E555" t="s">
        <v>16</v>
      </c>
      <c r="F555" t="s">
        <v>17</v>
      </c>
      <c r="G555" s="14">
        <v>0</v>
      </c>
      <c r="H555" s="14">
        <v>55000</v>
      </c>
      <c r="I555" t="s">
        <v>22</v>
      </c>
      <c r="J555" t="s">
        <v>22</v>
      </c>
      <c r="K555" t="s">
        <v>6942</v>
      </c>
      <c r="L555" t="s">
        <v>217</v>
      </c>
      <c r="M555" t="s">
        <v>19</v>
      </c>
      <c r="N555">
        <v>1</v>
      </c>
      <c r="O555" t="s">
        <v>103</v>
      </c>
      <c r="P555" t="s">
        <v>146</v>
      </c>
      <c r="Q555" t="s">
        <v>30</v>
      </c>
      <c r="R555" t="str">
        <f>VLOOKUP($O555,'Mapa Oficinas'!$A$7:$C$46,2,FALSE)</f>
        <v>CABA</v>
      </c>
      <c r="S555" t="str">
        <f>VLOOKUP($O555,'Mapa Oficinas'!$A$7:$C$46,3,FALSE)</f>
        <v>Barrio Parque</v>
      </c>
    </row>
    <row r="556" spans="1:19" x14ac:dyDescent="0.2">
      <c r="A556" s="1">
        <v>45777</v>
      </c>
      <c r="B556" t="s">
        <v>6929</v>
      </c>
      <c r="D556" t="s">
        <v>6930</v>
      </c>
      <c r="E556" t="s">
        <v>16</v>
      </c>
      <c r="F556" t="s">
        <v>17</v>
      </c>
      <c r="G556" s="14">
        <v>79900</v>
      </c>
      <c r="H556" s="14">
        <v>73000</v>
      </c>
      <c r="I556" t="s">
        <v>22</v>
      </c>
      <c r="J556" t="s">
        <v>22</v>
      </c>
      <c r="K556" t="s">
        <v>6931</v>
      </c>
      <c r="L556" t="s">
        <v>1995</v>
      </c>
      <c r="M556" t="s">
        <v>72</v>
      </c>
      <c r="N556">
        <v>2</v>
      </c>
      <c r="O556" t="s">
        <v>50</v>
      </c>
      <c r="P556" t="s">
        <v>21</v>
      </c>
      <c r="Q556" t="s">
        <v>30</v>
      </c>
      <c r="R556" t="str">
        <f>VLOOKUP($O556,'Mapa Oficinas'!$A$7:$C$46,2,FALSE)</f>
        <v>CABA</v>
      </c>
      <c r="S556" t="str">
        <f>VLOOKUP($O556,'Mapa Oficinas'!$A$7:$C$46,3,FALSE)</f>
        <v>Villa Urquiza</v>
      </c>
    </row>
    <row r="557" spans="1:19" x14ac:dyDescent="0.2">
      <c r="A557" s="1">
        <v>45777</v>
      </c>
      <c r="B557" t="s">
        <v>6949</v>
      </c>
      <c r="D557" t="s">
        <v>6950</v>
      </c>
      <c r="E557" t="s">
        <v>16</v>
      </c>
      <c r="F557" t="s">
        <v>17</v>
      </c>
      <c r="G557" s="14">
        <v>89000</v>
      </c>
      <c r="H557" s="14">
        <v>89000</v>
      </c>
      <c r="I557" t="s">
        <v>22</v>
      </c>
      <c r="J557" t="s">
        <v>22</v>
      </c>
      <c r="K557" t="s">
        <v>6951</v>
      </c>
      <c r="L557" t="s">
        <v>3364</v>
      </c>
      <c r="M557" t="s">
        <v>19</v>
      </c>
      <c r="N557">
        <v>2</v>
      </c>
      <c r="O557" t="s">
        <v>103</v>
      </c>
      <c r="P557" t="s">
        <v>21</v>
      </c>
      <c r="Q557" t="s">
        <v>30</v>
      </c>
      <c r="R557" t="str">
        <f>VLOOKUP($O557,'Mapa Oficinas'!$A$7:$C$46,2,FALSE)</f>
        <v>CABA</v>
      </c>
      <c r="S557" t="str">
        <f>VLOOKUP($O557,'Mapa Oficinas'!$A$7:$C$46,3,FALSE)</f>
        <v>Barrio Parque</v>
      </c>
    </row>
    <row r="558" spans="1:19" x14ac:dyDescent="0.2">
      <c r="A558" s="1">
        <v>45777</v>
      </c>
      <c r="B558" t="s">
        <v>6967</v>
      </c>
      <c r="D558" t="s">
        <v>6968</v>
      </c>
      <c r="E558" t="s">
        <v>16</v>
      </c>
      <c r="F558" t="s">
        <v>17</v>
      </c>
      <c r="G558" s="14">
        <v>105000</v>
      </c>
      <c r="H558" s="14">
        <v>100000</v>
      </c>
      <c r="I558" t="s">
        <v>22</v>
      </c>
      <c r="J558" t="s">
        <v>22</v>
      </c>
      <c r="K558" t="s">
        <v>6969</v>
      </c>
      <c r="L558" t="s">
        <v>545</v>
      </c>
      <c r="M558" t="s">
        <v>72</v>
      </c>
      <c r="N558">
        <v>2</v>
      </c>
      <c r="O558" t="s">
        <v>35</v>
      </c>
      <c r="P558" t="s">
        <v>21</v>
      </c>
      <c r="Q558" t="s">
        <v>30</v>
      </c>
      <c r="R558" t="str">
        <f>VLOOKUP($O558,'Mapa Oficinas'!$A$7:$C$46,2,FALSE)</f>
        <v>Zona Norte (GBA)</v>
      </c>
      <c r="S558" t="str">
        <f>VLOOKUP($O558,'Mapa Oficinas'!$A$7:$C$46,3,FALSE)</f>
        <v>Vicente López</v>
      </c>
    </row>
    <row r="559" spans="1:19" x14ac:dyDescent="0.2">
      <c r="A559" s="1">
        <v>45777</v>
      </c>
      <c r="B559" t="s">
        <v>6932</v>
      </c>
      <c r="D559" t="s">
        <v>6933</v>
      </c>
      <c r="E559" t="s">
        <v>16</v>
      </c>
      <c r="F559" t="s">
        <v>47</v>
      </c>
      <c r="G559" s="14">
        <v>144900</v>
      </c>
      <c r="H559" s="14">
        <v>130000</v>
      </c>
      <c r="I559" t="s">
        <v>22</v>
      </c>
      <c r="J559" t="s">
        <v>22</v>
      </c>
      <c r="K559" t="s">
        <v>6934</v>
      </c>
      <c r="L559" t="s">
        <v>251</v>
      </c>
      <c r="M559" t="s">
        <v>28</v>
      </c>
      <c r="N559">
        <v>2</v>
      </c>
      <c r="O559" t="s">
        <v>50</v>
      </c>
      <c r="P559" t="s">
        <v>21</v>
      </c>
      <c r="Q559" t="s">
        <v>30</v>
      </c>
      <c r="R559" t="str">
        <f>VLOOKUP($O559,'Mapa Oficinas'!$A$7:$C$46,2,FALSE)</f>
        <v>CABA</v>
      </c>
      <c r="S559" t="str">
        <f>VLOOKUP($O559,'Mapa Oficinas'!$A$7:$C$46,3,FALSE)</f>
        <v>Villa Urquiza</v>
      </c>
    </row>
    <row r="560" spans="1:19" x14ac:dyDescent="0.2">
      <c r="A560" s="1">
        <v>45777</v>
      </c>
      <c r="B560" t="s">
        <v>6938</v>
      </c>
      <c r="D560" t="s">
        <v>6939</v>
      </c>
      <c r="E560" t="s">
        <v>16</v>
      </c>
      <c r="F560" t="s">
        <v>17</v>
      </c>
      <c r="G560" s="14">
        <v>140000</v>
      </c>
      <c r="H560" s="14">
        <v>136000</v>
      </c>
      <c r="I560" t="s">
        <v>22</v>
      </c>
      <c r="J560" t="s">
        <v>22</v>
      </c>
      <c r="K560" t="s">
        <v>6940</v>
      </c>
      <c r="L560" t="s">
        <v>111</v>
      </c>
      <c r="M560" t="s">
        <v>19</v>
      </c>
      <c r="N560">
        <v>2</v>
      </c>
      <c r="O560" t="s">
        <v>103</v>
      </c>
      <c r="P560" t="s">
        <v>21</v>
      </c>
      <c r="Q560" t="s">
        <v>30</v>
      </c>
      <c r="R560" t="str">
        <f>VLOOKUP($O560,'Mapa Oficinas'!$A$7:$C$46,2,FALSE)</f>
        <v>CABA</v>
      </c>
      <c r="S560" t="str">
        <f>VLOOKUP($O560,'Mapa Oficinas'!$A$7:$C$46,3,FALSE)</f>
        <v>Barrio Parque</v>
      </c>
    </row>
    <row r="561" spans="1:19" x14ac:dyDescent="0.2">
      <c r="A561" s="1">
        <v>45777</v>
      </c>
      <c r="B561" t="s">
        <v>6935</v>
      </c>
      <c r="D561" t="s">
        <v>6936</v>
      </c>
      <c r="E561" t="s">
        <v>16</v>
      </c>
      <c r="F561" t="s">
        <v>17</v>
      </c>
      <c r="G561" s="14">
        <v>147000</v>
      </c>
      <c r="H561" s="14">
        <v>139000</v>
      </c>
      <c r="I561" t="s">
        <v>22</v>
      </c>
      <c r="J561" t="s">
        <v>22</v>
      </c>
      <c r="K561" t="s">
        <v>6937</v>
      </c>
      <c r="L561" t="s">
        <v>6484</v>
      </c>
      <c r="M561" t="s">
        <v>28</v>
      </c>
      <c r="N561">
        <v>2</v>
      </c>
      <c r="O561" t="s">
        <v>20</v>
      </c>
      <c r="P561" t="s">
        <v>21</v>
      </c>
      <c r="Q561" t="s">
        <v>30</v>
      </c>
      <c r="R561" t="str">
        <f>VLOOKUP($O561,'Mapa Oficinas'!$A$7:$C$46,2,FALSE)</f>
        <v>CABA</v>
      </c>
      <c r="S561" t="str">
        <f>VLOOKUP($O561,'Mapa Oficinas'!$A$7:$C$46,3,FALSE)</f>
        <v>Palermo</v>
      </c>
    </row>
    <row r="562" spans="1:19" x14ac:dyDescent="0.2">
      <c r="A562" s="1">
        <v>45777</v>
      </c>
      <c r="B562" t="s">
        <v>6960</v>
      </c>
      <c r="D562" t="s">
        <v>6961</v>
      </c>
      <c r="E562" t="s">
        <v>16</v>
      </c>
      <c r="F562" t="s">
        <v>17</v>
      </c>
      <c r="G562" s="14">
        <v>149999</v>
      </c>
      <c r="H562" s="14">
        <v>140000</v>
      </c>
      <c r="I562" t="s">
        <v>22</v>
      </c>
      <c r="J562" t="s">
        <v>22</v>
      </c>
      <c r="K562" t="s">
        <v>6962</v>
      </c>
      <c r="L562" t="s">
        <v>191</v>
      </c>
      <c r="M562" t="s">
        <v>19</v>
      </c>
      <c r="N562">
        <v>2</v>
      </c>
      <c r="O562" t="s">
        <v>103</v>
      </c>
      <c r="P562" t="s">
        <v>21</v>
      </c>
      <c r="Q562" t="s">
        <v>30</v>
      </c>
      <c r="R562" t="str">
        <f>VLOOKUP($O562,'Mapa Oficinas'!$A$7:$C$46,2,FALSE)</f>
        <v>CABA</v>
      </c>
      <c r="S562" t="str">
        <f>VLOOKUP($O562,'Mapa Oficinas'!$A$7:$C$46,3,FALSE)</f>
        <v>Barrio Parque</v>
      </c>
    </row>
    <row r="563" spans="1:19" x14ac:dyDescent="0.2">
      <c r="A563" s="1">
        <v>45777</v>
      </c>
      <c r="B563" t="s">
        <v>6976</v>
      </c>
      <c r="D563" t="s">
        <v>6977</v>
      </c>
      <c r="E563" t="s">
        <v>16</v>
      </c>
      <c r="F563" t="s">
        <v>17</v>
      </c>
      <c r="G563" s="14">
        <v>154000</v>
      </c>
      <c r="H563" s="14">
        <v>154000</v>
      </c>
      <c r="I563" t="s">
        <v>22</v>
      </c>
      <c r="J563" t="s">
        <v>22</v>
      </c>
      <c r="L563" t="s">
        <v>79</v>
      </c>
      <c r="M563" t="s">
        <v>19</v>
      </c>
      <c r="N563">
        <v>2</v>
      </c>
      <c r="O563" t="s">
        <v>359</v>
      </c>
      <c r="P563" t="s">
        <v>21</v>
      </c>
      <c r="Q563" t="s">
        <v>30</v>
      </c>
      <c r="R563" t="str">
        <f>VLOOKUP($O563,'Mapa Oficinas'!$A$7:$C$46,2,FALSE)</f>
        <v>CABA</v>
      </c>
      <c r="S563" t="str">
        <f>VLOOKUP($O563,'Mapa Oficinas'!$A$7:$C$46,3,FALSE)</f>
        <v>Palermo</v>
      </c>
    </row>
    <row r="564" spans="1:19" x14ac:dyDescent="0.2">
      <c r="A564" s="1">
        <v>45777</v>
      </c>
      <c r="B564" t="s">
        <v>6963</v>
      </c>
      <c r="D564" t="s">
        <v>6964</v>
      </c>
      <c r="E564" t="s">
        <v>16</v>
      </c>
      <c r="F564" t="s">
        <v>17</v>
      </c>
      <c r="G564" s="14">
        <v>165000</v>
      </c>
      <c r="H564" s="14">
        <v>158000</v>
      </c>
      <c r="I564" t="s">
        <v>22</v>
      </c>
      <c r="J564" t="s">
        <v>22</v>
      </c>
      <c r="K564" t="s">
        <v>6965</v>
      </c>
      <c r="L564" t="s">
        <v>1064</v>
      </c>
      <c r="M564" t="s">
        <v>19</v>
      </c>
      <c r="N564">
        <v>2</v>
      </c>
      <c r="O564" t="s">
        <v>103</v>
      </c>
      <c r="P564" t="s">
        <v>21</v>
      </c>
      <c r="Q564" t="s">
        <v>30</v>
      </c>
      <c r="R564" t="str">
        <f>VLOOKUP($O564,'Mapa Oficinas'!$A$7:$C$46,2,FALSE)</f>
        <v>CABA</v>
      </c>
      <c r="S564" t="str">
        <f>VLOOKUP($O564,'Mapa Oficinas'!$A$7:$C$46,3,FALSE)</f>
        <v>Barrio Parque</v>
      </c>
    </row>
    <row r="565" spans="1:19" x14ac:dyDescent="0.2">
      <c r="A565" s="1">
        <v>45777</v>
      </c>
      <c r="B565" t="s">
        <v>6966</v>
      </c>
      <c r="D565" t="s">
        <v>6966</v>
      </c>
      <c r="E565" t="s">
        <v>16</v>
      </c>
      <c r="F565" t="s">
        <v>47</v>
      </c>
      <c r="G565" s="14">
        <v>167000</v>
      </c>
      <c r="H565" s="14">
        <v>167000</v>
      </c>
      <c r="I565" t="s">
        <v>22</v>
      </c>
      <c r="J565" t="s">
        <v>22</v>
      </c>
      <c r="K565" t="s">
        <v>6966</v>
      </c>
      <c r="L565" t="s">
        <v>523</v>
      </c>
      <c r="M565" t="s">
        <v>28</v>
      </c>
      <c r="N565">
        <v>2</v>
      </c>
      <c r="O565" t="s">
        <v>35</v>
      </c>
      <c r="P565" t="s">
        <v>21</v>
      </c>
      <c r="Q565" t="s">
        <v>30</v>
      </c>
      <c r="R565" t="str">
        <f>VLOOKUP($O565,'Mapa Oficinas'!$A$7:$C$46,2,FALSE)</f>
        <v>Zona Norte (GBA)</v>
      </c>
      <c r="S565" t="str">
        <f>VLOOKUP($O565,'Mapa Oficinas'!$A$7:$C$46,3,FALSE)</f>
        <v>Vicente López</v>
      </c>
    </row>
    <row r="566" spans="1:19" x14ac:dyDescent="0.2">
      <c r="A566" s="1">
        <v>45777</v>
      </c>
      <c r="B566" t="s">
        <v>6973</v>
      </c>
      <c r="D566" t="s">
        <v>6974</v>
      </c>
      <c r="E566" t="s">
        <v>16</v>
      </c>
      <c r="F566" t="s">
        <v>17</v>
      </c>
      <c r="G566" s="14">
        <v>229000</v>
      </c>
      <c r="H566" s="14">
        <v>218000</v>
      </c>
      <c r="I566" t="s">
        <v>22</v>
      </c>
      <c r="J566" t="s">
        <v>22</v>
      </c>
      <c r="K566" t="s">
        <v>6975</v>
      </c>
      <c r="L566" t="s">
        <v>102</v>
      </c>
      <c r="M566" t="s">
        <v>72</v>
      </c>
      <c r="N566">
        <v>2</v>
      </c>
      <c r="O566" t="s">
        <v>103</v>
      </c>
      <c r="P566" t="s">
        <v>276</v>
      </c>
      <c r="Q566" t="s">
        <v>30</v>
      </c>
      <c r="R566" t="str">
        <f>VLOOKUP($O566,'Mapa Oficinas'!$A$7:$C$46,2,FALSE)</f>
        <v>CABA</v>
      </c>
      <c r="S566" t="str">
        <f>VLOOKUP($O566,'Mapa Oficinas'!$A$7:$C$46,3,FALSE)</f>
        <v>Barrio Parque</v>
      </c>
    </row>
    <row r="567" spans="1:19" x14ac:dyDescent="0.2">
      <c r="A567" s="1">
        <v>45777</v>
      </c>
      <c r="B567" t="s">
        <v>6955</v>
      </c>
      <c r="D567" t="s">
        <v>6440</v>
      </c>
      <c r="E567" t="s">
        <v>16</v>
      </c>
      <c r="F567" t="s">
        <v>184</v>
      </c>
      <c r="G567" s="14">
        <v>276124</v>
      </c>
      <c r="H567" s="14">
        <v>276124</v>
      </c>
      <c r="I567" t="s">
        <v>22</v>
      </c>
      <c r="J567" t="s">
        <v>22</v>
      </c>
      <c r="K567" t="s">
        <v>1477</v>
      </c>
      <c r="L567" t="s">
        <v>136</v>
      </c>
      <c r="M567" t="s">
        <v>19</v>
      </c>
      <c r="N567">
        <v>2</v>
      </c>
      <c r="O567" t="s">
        <v>130</v>
      </c>
      <c r="P567" t="s">
        <v>21</v>
      </c>
      <c r="Q567" t="s">
        <v>30</v>
      </c>
      <c r="R567" t="str">
        <f>VLOOKUP($O567,'Mapa Oficinas'!$A$7:$C$46,2,FALSE)</f>
        <v>Interior - Río Negro</v>
      </c>
      <c r="S567" t="str">
        <f>VLOOKUP($O567,'Mapa Oficinas'!$A$7:$C$46,3,FALSE)</f>
        <v>Bariloche</v>
      </c>
    </row>
    <row r="568" spans="1:19" x14ac:dyDescent="0.2">
      <c r="A568" s="1">
        <v>45777</v>
      </c>
      <c r="B568" t="s">
        <v>6943</v>
      </c>
      <c r="D568" t="s">
        <v>6944</v>
      </c>
      <c r="E568" t="s">
        <v>16</v>
      </c>
      <c r="F568" t="s">
        <v>17</v>
      </c>
      <c r="G568" s="14">
        <v>299500</v>
      </c>
      <c r="H568" s="14">
        <v>288000</v>
      </c>
      <c r="I568" t="s">
        <v>22</v>
      </c>
      <c r="J568" t="s">
        <v>22</v>
      </c>
      <c r="K568" t="s">
        <v>6945</v>
      </c>
      <c r="L568" t="s">
        <v>205</v>
      </c>
      <c r="M568" t="s">
        <v>19</v>
      </c>
      <c r="N568">
        <v>2</v>
      </c>
      <c r="O568" t="s">
        <v>103</v>
      </c>
      <c r="P568" t="s">
        <v>21</v>
      </c>
      <c r="Q568" t="s">
        <v>30</v>
      </c>
      <c r="R568" t="str">
        <f>VLOOKUP($O568,'Mapa Oficinas'!$A$7:$C$46,2,FALSE)</f>
        <v>CABA</v>
      </c>
      <c r="S568" t="str">
        <f>VLOOKUP($O568,'Mapa Oficinas'!$A$7:$C$46,3,FALSE)</f>
        <v>Barrio Parque</v>
      </c>
    </row>
    <row r="569" spans="1:19" x14ac:dyDescent="0.2">
      <c r="A569" s="1">
        <v>45777</v>
      </c>
      <c r="B569">
        <v>6</v>
      </c>
      <c r="D569" t="s">
        <v>6987</v>
      </c>
      <c r="E569" t="s">
        <v>16</v>
      </c>
      <c r="F569" t="s">
        <v>127</v>
      </c>
      <c r="G569" s="14">
        <v>400000</v>
      </c>
      <c r="H569" s="14">
        <v>410000</v>
      </c>
      <c r="I569" t="s">
        <v>22</v>
      </c>
      <c r="J569" t="s">
        <v>22</v>
      </c>
      <c r="K569" t="s">
        <v>6988</v>
      </c>
      <c r="L569" t="s">
        <v>277</v>
      </c>
      <c r="M569" t="s">
        <v>19</v>
      </c>
      <c r="N569">
        <v>1</v>
      </c>
      <c r="O569" t="s">
        <v>116</v>
      </c>
      <c r="P569" t="s">
        <v>146</v>
      </c>
      <c r="Q569" t="s">
        <v>30</v>
      </c>
      <c r="R569" t="str">
        <f>VLOOKUP($O569,'Mapa Oficinas'!$A$7:$C$46,2,FALSE)</f>
        <v>CABA</v>
      </c>
      <c r="S569" t="str">
        <f>VLOOKUP($O569,'Mapa Oficinas'!$A$7:$C$46,3,FALSE)</f>
        <v>Puerto Madero</v>
      </c>
    </row>
    <row r="570" spans="1:19" x14ac:dyDescent="0.2">
      <c r="A570" s="1">
        <v>45777</v>
      </c>
      <c r="B570" t="s">
        <v>6956</v>
      </c>
      <c r="D570" t="s">
        <v>6957</v>
      </c>
      <c r="E570" t="s">
        <v>16</v>
      </c>
      <c r="F570" t="s">
        <v>134</v>
      </c>
      <c r="G570" s="14">
        <v>490000</v>
      </c>
      <c r="H570" s="14">
        <v>450000</v>
      </c>
      <c r="I570" t="s">
        <v>22</v>
      </c>
      <c r="J570" t="s">
        <v>22</v>
      </c>
      <c r="K570" t="s">
        <v>6958</v>
      </c>
      <c r="L570" t="s">
        <v>6959</v>
      </c>
      <c r="M570" t="s">
        <v>97</v>
      </c>
      <c r="N570">
        <v>1</v>
      </c>
      <c r="O570" t="s">
        <v>130</v>
      </c>
      <c r="P570" t="s">
        <v>66</v>
      </c>
      <c r="Q570" t="s">
        <v>30</v>
      </c>
      <c r="R570" t="str">
        <f>VLOOKUP($O570,'Mapa Oficinas'!$A$7:$C$46,2,FALSE)</f>
        <v>Interior - Río Negro</v>
      </c>
      <c r="S570" t="str">
        <f>VLOOKUP($O570,'Mapa Oficinas'!$A$7:$C$46,3,FALSE)</f>
        <v>Bariloche</v>
      </c>
    </row>
    <row r="571" spans="1:19" x14ac:dyDescent="0.2">
      <c r="A571" s="1">
        <v>45778</v>
      </c>
      <c r="D571" t="s">
        <v>6925</v>
      </c>
      <c r="E571" t="s">
        <v>16</v>
      </c>
      <c r="F571" t="s">
        <v>17</v>
      </c>
      <c r="G571" s="14">
        <v>50000</v>
      </c>
      <c r="H571" s="14">
        <v>50000</v>
      </c>
      <c r="I571" t="s">
        <v>22</v>
      </c>
      <c r="J571" t="s">
        <v>22</v>
      </c>
      <c r="K571" t="s">
        <v>6926</v>
      </c>
      <c r="L571" t="s">
        <v>5774</v>
      </c>
      <c r="M571" t="s">
        <v>97</v>
      </c>
      <c r="N571">
        <v>2</v>
      </c>
      <c r="O571" t="s">
        <v>98</v>
      </c>
      <c r="P571" t="s">
        <v>41</v>
      </c>
      <c r="Q571" t="s">
        <v>30</v>
      </c>
      <c r="R571" t="str">
        <f>VLOOKUP($O571,'Mapa Oficinas'!$A$7:$C$46,2,FALSE)</f>
        <v>Interior - Neuquén</v>
      </c>
      <c r="S571" t="str">
        <f>VLOOKUP($O571,'Mapa Oficinas'!$A$7:$C$46,3,FALSE)</f>
        <v>Villa La Angostura</v>
      </c>
    </row>
    <row r="572" spans="1:19" x14ac:dyDescent="0.2">
      <c r="A572" s="1">
        <v>45778</v>
      </c>
      <c r="B572">
        <v>7</v>
      </c>
      <c r="D572" t="s">
        <v>6927</v>
      </c>
      <c r="E572" t="s">
        <v>16</v>
      </c>
      <c r="F572" t="s">
        <v>82</v>
      </c>
      <c r="G572" s="14">
        <v>83000</v>
      </c>
      <c r="H572" s="14">
        <v>85000</v>
      </c>
      <c r="I572" t="s">
        <v>22</v>
      </c>
      <c r="J572" t="s">
        <v>22</v>
      </c>
      <c r="K572" t="s">
        <v>6928</v>
      </c>
      <c r="L572" t="s">
        <v>1077</v>
      </c>
      <c r="M572" t="s">
        <v>19</v>
      </c>
      <c r="N572">
        <v>2</v>
      </c>
      <c r="O572" t="s">
        <v>116</v>
      </c>
      <c r="P572" t="s">
        <v>36</v>
      </c>
      <c r="Q572" t="s">
        <v>30</v>
      </c>
      <c r="R572" t="str">
        <f>VLOOKUP($O572,'Mapa Oficinas'!$A$7:$C$46,2,FALSE)</f>
        <v>CABA</v>
      </c>
      <c r="S572" t="str">
        <f>VLOOKUP($O572,'Mapa Oficinas'!$A$7:$C$46,3,FALSE)</f>
        <v>Puerto Madero</v>
      </c>
    </row>
    <row r="573" spans="1:19" x14ac:dyDescent="0.2">
      <c r="A573" s="1">
        <v>45778</v>
      </c>
      <c r="B573" t="s">
        <v>6921</v>
      </c>
      <c r="D573" t="s">
        <v>6921</v>
      </c>
      <c r="E573" t="s">
        <v>16</v>
      </c>
      <c r="F573" t="s">
        <v>58</v>
      </c>
      <c r="G573" s="14">
        <v>160000</v>
      </c>
      <c r="H573" s="14">
        <v>160000</v>
      </c>
      <c r="I573" t="s">
        <v>22</v>
      </c>
      <c r="J573" t="s">
        <v>22</v>
      </c>
      <c r="K573" t="s">
        <v>6921</v>
      </c>
      <c r="L573" t="s">
        <v>394</v>
      </c>
      <c r="M573" t="s">
        <v>19</v>
      </c>
      <c r="N573">
        <v>2</v>
      </c>
      <c r="O573" t="s">
        <v>50</v>
      </c>
      <c r="P573" t="s">
        <v>21</v>
      </c>
      <c r="Q573" t="s">
        <v>30</v>
      </c>
      <c r="R573" t="str">
        <f>VLOOKUP($O573,'Mapa Oficinas'!$A$7:$C$46,2,FALSE)</f>
        <v>CABA</v>
      </c>
      <c r="S573" t="str">
        <f>VLOOKUP($O573,'Mapa Oficinas'!$A$7:$C$46,3,FALSE)</f>
        <v>Villa Urquiza</v>
      </c>
    </row>
    <row r="574" spans="1:19" x14ac:dyDescent="0.2">
      <c r="A574" s="1">
        <v>45778</v>
      </c>
      <c r="B574" t="s">
        <v>6922</v>
      </c>
      <c r="D574" t="s">
        <v>6923</v>
      </c>
      <c r="E574" t="s">
        <v>16</v>
      </c>
      <c r="F574" t="s">
        <v>17</v>
      </c>
      <c r="G574" s="14">
        <v>229000</v>
      </c>
      <c r="H574" s="14">
        <v>220000</v>
      </c>
      <c r="I574" t="s">
        <v>22</v>
      </c>
      <c r="J574" t="s">
        <v>22</v>
      </c>
      <c r="K574" t="s">
        <v>6924</v>
      </c>
      <c r="L574" t="s">
        <v>825</v>
      </c>
      <c r="M574" t="s">
        <v>28</v>
      </c>
      <c r="N574">
        <v>2</v>
      </c>
      <c r="O574" t="s">
        <v>171</v>
      </c>
      <c r="P574" t="s">
        <v>276</v>
      </c>
      <c r="Q574" t="s">
        <v>30</v>
      </c>
      <c r="R574" t="str">
        <f>VLOOKUP($O574,'Mapa Oficinas'!$A$7:$C$46,2,FALSE)</f>
        <v>Zona Sur (GBA)</v>
      </c>
      <c r="S574" t="str">
        <f>VLOOKUP($O574,'Mapa Oficinas'!$A$7:$C$46,3,FALSE)</f>
        <v>La Plata</v>
      </c>
    </row>
    <row r="575" spans="1:19" x14ac:dyDescent="0.2">
      <c r="A575" s="1">
        <v>45779</v>
      </c>
      <c r="B575" t="s">
        <v>6920</v>
      </c>
      <c r="D575" t="s">
        <v>6920</v>
      </c>
      <c r="E575" t="s">
        <v>16</v>
      </c>
      <c r="F575" t="s">
        <v>17</v>
      </c>
      <c r="G575" s="14">
        <v>130000</v>
      </c>
      <c r="H575" s="14">
        <v>130000</v>
      </c>
      <c r="I575" t="s">
        <v>22</v>
      </c>
      <c r="J575" t="s">
        <v>22</v>
      </c>
      <c r="K575" t="s">
        <v>6920</v>
      </c>
      <c r="L575" t="s">
        <v>237</v>
      </c>
      <c r="M575" t="s">
        <v>72</v>
      </c>
      <c r="N575">
        <v>2</v>
      </c>
      <c r="O575" t="s">
        <v>35</v>
      </c>
      <c r="P575" t="s">
        <v>21</v>
      </c>
      <c r="Q575" t="s">
        <v>30</v>
      </c>
      <c r="R575" t="str">
        <f>VLOOKUP($O575,'Mapa Oficinas'!$A$7:$C$46,2,FALSE)</f>
        <v>Zona Norte (GBA)</v>
      </c>
      <c r="S575" t="str">
        <f>VLOOKUP($O575,'Mapa Oficinas'!$A$7:$C$46,3,FALSE)</f>
        <v>Vicente López</v>
      </c>
    </row>
    <row r="576" spans="1:19" x14ac:dyDescent="0.2">
      <c r="A576" s="1">
        <v>45782</v>
      </c>
      <c r="B576" t="s">
        <v>6913</v>
      </c>
      <c r="D576" t="s">
        <v>6914</v>
      </c>
      <c r="E576" t="s">
        <v>16</v>
      </c>
      <c r="F576" t="s">
        <v>17</v>
      </c>
      <c r="G576" s="14">
        <v>150000</v>
      </c>
      <c r="H576" s="14">
        <v>140000</v>
      </c>
      <c r="I576" t="s">
        <v>22</v>
      </c>
      <c r="J576" t="s">
        <v>22</v>
      </c>
      <c r="K576" t="s">
        <v>6915</v>
      </c>
      <c r="L576" t="s">
        <v>195</v>
      </c>
      <c r="M576" t="s">
        <v>19</v>
      </c>
      <c r="N576">
        <v>2</v>
      </c>
      <c r="O576" t="s">
        <v>201</v>
      </c>
      <c r="P576" t="s">
        <v>276</v>
      </c>
      <c r="Q576" t="s">
        <v>30</v>
      </c>
      <c r="R576" t="str">
        <f>VLOOKUP($O576,'Mapa Oficinas'!$A$7:$C$46,2,FALSE)</f>
        <v>CABA</v>
      </c>
      <c r="S576" t="str">
        <f>VLOOKUP($O576,'Mapa Oficinas'!$A$7:$C$46,3,FALSE)</f>
        <v>Recoleta</v>
      </c>
    </row>
    <row r="577" spans="1:19" x14ac:dyDescent="0.2">
      <c r="A577" s="1">
        <v>45783</v>
      </c>
      <c r="B577" t="s">
        <v>6906</v>
      </c>
      <c r="D577" t="s">
        <v>6907</v>
      </c>
      <c r="E577" t="s">
        <v>16</v>
      </c>
      <c r="F577" t="s">
        <v>47</v>
      </c>
      <c r="G577" s="14">
        <v>125000</v>
      </c>
      <c r="H577" s="14">
        <v>125000</v>
      </c>
      <c r="I577" t="s">
        <v>22</v>
      </c>
      <c r="J577" t="s">
        <v>22</v>
      </c>
      <c r="K577" t="s">
        <v>6908</v>
      </c>
      <c r="L577" t="s">
        <v>1883</v>
      </c>
      <c r="M577" t="s">
        <v>28</v>
      </c>
      <c r="N577">
        <v>2</v>
      </c>
      <c r="O577" t="s">
        <v>40</v>
      </c>
      <c r="P577" t="s">
        <v>44</v>
      </c>
      <c r="Q577" t="s">
        <v>30</v>
      </c>
      <c r="R577" t="str">
        <f>VLOOKUP($O577,'Mapa Oficinas'!$A$7:$C$46,2,FALSE)</f>
        <v>Zona Norte (GBA)</v>
      </c>
      <c r="S577" t="str">
        <f>VLOOKUP($O577,'Mapa Oficinas'!$A$7:$C$46,3,FALSE)</f>
        <v>Pilar</v>
      </c>
    </row>
    <row r="578" spans="1:19" x14ac:dyDescent="0.2">
      <c r="A578" s="1">
        <v>45783</v>
      </c>
      <c r="B578" t="s">
        <v>6904</v>
      </c>
      <c r="D578" t="s">
        <v>6905</v>
      </c>
      <c r="E578" t="s">
        <v>16</v>
      </c>
      <c r="F578" t="s">
        <v>47</v>
      </c>
      <c r="G578" s="14">
        <v>158000</v>
      </c>
      <c r="H578" s="14">
        <v>158000</v>
      </c>
      <c r="I578" t="s">
        <v>22</v>
      </c>
      <c r="J578" t="s">
        <v>22</v>
      </c>
      <c r="K578" t="s">
        <v>4382</v>
      </c>
      <c r="L578" t="s">
        <v>4383</v>
      </c>
      <c r="M578" t="s">
        <v>28</v>
      </c>
      <c r="N578">
        <v>2</v>
      </c>
      <c r="O578" t="s">
        <v>40</v>
      </c>
      <c r="P578" t="s">
        <v>21</v>
      </c>
      <c r="Q578" t="s">
        <v>30</v>
      </c>
      <c r="R578" t="str">
        <f>VLOOKUP($O578,'Mapa Oficinas'!$A$7:$C$46,2,FALSE)</f>
        <v>Zona Norte (GBA)</v>
      </c>
      <c r="S578" t="str">
        <f>VLOOKUP($O578,'Mapa Oficinas'!$A$7:$C$46,3,FALSE)</f>
        <v>Pilar</v>
      </c>
    </row>
    <row r="579" spans="1:19" x14ac:dyDescent="0.2">
      <c r="A579" s="1">
        <v>45783</v>
      </c>
      <c r="B579" t="s">
        <v>6900</v>
      </c>
      <c r="D579" t="s">
        <v>6901</v>
      </c>
      <c r="E579" t="s">
        <v>16</v>
      </c>
      <c r="F579" t="s">
        <v>82</v>
      </c>
      <c r="G579" s="14">
        <v>199000</v>
      </c>
      <c r="H579" s="14">
        <v>190000</v>
      </c>
      <c r="I579" t="s">
        <v>22</v>
      </c>
      <c r="J579" t="s">
        <v>22</v>
      </c>
      <c r="K579" t="s">
        <v>6902</v>
      </c>
      <c r="L579" t="s">
        <v>6903</v>
      </c>
      <c r="M579" t="s">
        <v>28</v>
      </c>
      <c r="N579">
        <v>2</v>
      </c>
      <c r="O579" t="s">
        <v>156</v>
      </c>
      <c r="P579" t="s">
        <v>44</v>
      </c>
      <c r="Q579" t="s">
        <v>30</v>
      </c>
      <c r="R579" t="str">
        <f>VLOOKUP($O579,'Mapa Oficinas'!$A$7:$C$46,2,FALSE)</f>
        <v>Zona Norte (GBA)</v>
      </c>
      <c r="S579" t="str">
        <f>VLOOKUP($O579,'Mapa Oficinas'!$A$7:$C$46,3,FALSE)</f>
        <v>Pilar</v>
      </c>
    </row>
    <row r="580" spans="1:19" x14ac:dyDescent="0.2">
      <c r="A580" s="1">
        <v>45783</v>
      </c>
      <c r="B580" t="s">
        <v>6910</v>
      </c>
      <c r="D580" t="s">
        <v>6911</v>
      </c>
      <c r="E580" t="s">
        <v>16</v>
      </c>
      <c r="F580" t="s">
        <v>17</v>
      </c>
      <c r="G580" s="14">
        <v>285000</v>
      </c>
      <c r="H580" s="14">
        <v>280000</v>
      </c>
      <c r="I580" t="s">
        <v>22</v>
      </c>
      <c r="J580" t="s">
        <v>22</v>
      </c>
      <c r="K580" t="s">
        <v>6912</v>
      </c>
      <c r="L580" t="s">
        <v>191</v>
      </c>
      <c r="M580" t="s">
        <v>19</v>
      </c>
      <c r="N580">
        <v>2</v>
      </c>
      <c r="O580" t="s">
        <v>103</v>
      </c>
      <c r="P580" t="s">
        <v>276</v>
      </c>
      <c r="Q580" t="s">
        <v>30</v>
      </c>
      <c r="R580" t="str">
        <f>VLOOKUP($O580,'Mapa Oficinas'!$A$7:$C$46,2,FALSE)</f>
        <v>CABA</v>
      </c>
      <c r="S580" t="str">
        <f>VLOOKUP($O580,'Mapa Oficinas'!$A$7:$C$46,3,FALSE)</f>
        <v>Barrio Parque</v>
      </c>
    </row>
    <row r="581" spans="1:19" x14ac:dyDescent="0.2">
      <c r="A581" s="1">
        <v>45783</v>
      </c>
      <c r="B581">
        <v>10333</v>
      </c>
      <c r="D581" t="s">
        <v>6909</v>
      </c>
      <c r="E581" t="s">
        <v>16</v>
      </c>
      <c r="F581" t="s">
        <v>17</v>
      </c>
      <c r="G581" s="14">
        <v>0</v>
      </c>
      <c r="H581" s="14">
        <v>290000</v>
      </c>
      <c r="I581" t="s">
        <v>22</v>
      </c>
      <c r="J581" t="s">
        <v>22</v>
      </c>
      <c r="L581" t="s">
        <v>191</v>
      </c>
      <c r="M581" t="s">
        <v>19</v>
      </c>
      <c r="N581">
        <v>1</v>
      </c>
      <c r="O581" t="s">
        <v>103</v>
      </c>
      <c r="P581" t="s">
        <v>146</v>
      </c>
      <c r="Q581" t="s">
        <v>30</v>
      </c>
      <c r="R581" t="str">
        <f>VLOOKUP($O581,'Mapa Oficinas'!$A$7:$C$46,2,FALSE)</f>
        <v>CABA</v>
      </c>
      <c r="S581" t="str">
        <f>VLOOKUP($O581,'Mapa Oficinas'!$A$7:$C$46,3,FALSE)</f>
        <v>Barrio Parque</v>
      </c>
    </row>
    <row r="582" spans="1:19" x14ac:dyDescent="0.2">
      <c r="A582" s="1">
        <v>45784</v>
      </c>
      <c r="B582" t="s">
        <v>6869</v>
      </c>
      <c r="D582" t="s">
        <v>6870</v>
      </c>
      <c r="E582" t="s">
        <v>16</v>
      </c>
      <c r="F582" t="s">
        <v>17</v>
      </c>
      <c r="G582" s="14">
        <v>53000</v>
      </c>
      <c r="H582" s="14">
        <v>49000</v>
      </c>
      <c r="I582" t="s">
        <v>22</v>
      </c>
      <c r="J582" t="s">
        <v>22</v>
      </c>
      <c r="K582" t="s">
        <v>6871</v>
      </c>
      <c r="L582" t="s">
        <v>1375</v>
      </c>
      <c r="M582" t="s">
        <v>19</v>
      </c>
      <c r="N582">
        <v>2</v>
      </c>
      <c r="O582" t="s">
        <v>116</v>
      </c>
      <c r="P582" t="s">
        <v>21</v>
      </c>
      <c r="Q582" t="s">
        <v>30</v>
      </c>
      <c r="R582" t="str">
        <f>VLOOKUP($O582,'Mapa Oficinas'!$A$7:$C$46,2,FALSE)</f>
        <v>CABA</v>
      </c>
      <c r="S582" t="str">
        <f>VLOOKUP($O582,'Mapa Oficinas'!$A$7:$C$46,3,FALSE)</f>
        <v>Puerto Madero</v>
      </c>
    </row>
    <row r="583" spans="1:19" x14ac:dyDescent="0.2">
      <c r="A583" s="1">
        <v>45784</v>
      </c>
      <c r="D583" t="s">
        <v>6886</v>
      </c>
      <c r="E583" t="s">
        <v>16</v>
      </c>
      <c r="F583" t="s">
        <v>47</v>
      </c>
      <c r="G583" s="14">
        <v>60000</v>
      </c>
      <c r="H583" s="14">
        <v>60000</v>
      </c>
      <c r="I583" t="s">
        <v>22</v>
      </c>
      <c r="J583" t="s">
        <v>22</v>
      </c>
      <c r="K583" t="s">
        <v>6887</v>
      </c>
      <c r="L583" t="s">
        <v>79</v>
      </c>
      <c r="M583" t="s">
        <v>19</v>
      </c>
      <c r="N583">
        <v>1</v>
      </c>
      <c r="O583" t="s">
        <v>201</v>
      </c>
      <c r="P583" t="s">
        <v>146</v>
      </c>
      <c r="Q583" t="s">
        <v>30</v>
      </c>
      <c r="R583" t="str">
        <f>VLOOKUP($O583,'Mapa Oficinas'!$A$7:$C$46,2,FALSE)</f>
        <v>CABA</v>
      </c>
      <c r="S583" t="str">
        <f>VLOOKUP($O583,'Mapa Oficinas'!$A$7:$C$46,3,FALSE)</f>
        <v>Recoleta</v>
      </c>
    </row>
    <row r="584" spans="1:19" x14ac:dyDescent="0.2">
      <c r="A584" s="1">
        <v>45784</v>
      </c>
      <c r="B584" t="s">
        <v>6876</v>
      </c>
      <c r="D584" t="s">
        <v>6876</v>
      </c>
      <c r="E584" t="s">
        <v>16</v>
      </c>
      <c r="F584" t="s">
        <v>17</v>
      </c>
      <c r="G584" s="14">
        <v>90000</v>
      </c>
      <c r="H584" s="14">
        <v>90000</v>
      </c>
      <c r="I584" t="s">
        <v>22</v>
      </c>
      <c r="J584" t="s">
        <v>22</v>
      </c>
      <c r="K584" t="s">
        <v>6876</v>
      </c>
      <c r="L584" t="s">
        <v>523</v>
      </c>
      <c r="M584" t="s">
        <v>19</v>
      </c>
      <c r="N584">
        <v>2</v>
      </c>
      <c r="O584" t="s">
        <v>50</v>
      </c>
      <c r="P584" t="s">
        <v>21</v>
      </c>
      <c r="Q584" t="s">
        <v>30</v>
      </c>
      <c r="R584" t="str">
        <f>VLOOKUP($O584,'Mapa Oficinas'!$A$7:$C$46,2,FALSE)</f>
        <v>CABA</v>
      </c>
      <c r="S584" t="str">
        <f>VLOOKUP($O584,'Mapa Oficinas'!$A$7:$C$46,3,FALSE)</f>
        <v>Villa Urquiza</v>
      </c>
    </row>
    <row r="585" spans="1:19" x14ac:dyDescent="0.2">
      <c r="A585" s="1">
        <v>45784</v>
      </c>
      <c r="B585" t="s">
        <v>6888</v>
      </c>
      <c r="D585" t="s">
        <v>6889</v>
      </c>
      <c r="E585" t="s">
        <v>16</v>
      </c>
      <c r="F585" t="s">
        <v>47</v>
      </c>
      <c r="G585" s="14">
        <v>170000</v>
      </c>
      <c r="H585" s="14">
        <v>165000</v>
      </c>
      <c r="I585" t="s">
        <v>22</v>
      </c>
      <c r="J585" t="s">
        <v>22</v>
      </c>
      <c r="K585" t="s">
        <v>6890</v>
      </c>
      <c r="L585" t="s">
        <v>2096</v>
      </c>
      <c r="M585" t="s">
        <v>28</v>
      </c>
      <c r="N585">
        <v>2</v>
      </c>
      <c r="O585" t="s">
        <v>40</v>
      </c>
      <c r="P585" t="s">
        <v>21</v>
      </c>
      <c r="Q585" t="s">
        <v>30</v>
      </c>
      <c r="R585" t="str">
        <f>VLOOKUP($O585,'Mapa Oficinas'!$A$7:$C$46,2,FALSE)</f>
        <v>Zona Norte (GBA)</v>
      </c>
      <c r="S585" t="str">
        <f>VLOOKUP($O585,'Mapa Oficinas'!$A$7:$C$46,3,FALSE)</f>
        <v>Pilar</v>
      </c>
    </row>
    <row r="586" spans="1:19" x14ac:dyDescent="0.2">
      <c r="A586" s="1">
        <v>45784</v>
      </c>
      <c r="B586" t="s">
        <v>6891</v>
      </c>
      <c r="D586" t="s">
        <v>6892</v>
      </c>
      <c r="E586" t="s">
        <v>16</v>
      </c>
      <c r="F586" t="s">
        <v>38</v>
      </c>
      <c r="G586" s="14">
        <v>195000</v>
      </c>
      <c r="H586" s="14">
        <v>190000</v>
      </c>
      <c r="I586" t="s">
        <v>22</v>
      </c>
      <c r="J586" t="s">
        <v>22</v>
      </c>
      <c r="K586" t="s">
        <v>6893</v>
      </c>
      <c r="L586" t="s">
        <v>247</v>
      </c>
      <c r="M586" t="s">
        <v>28</v>
      </c>
      <c r="N586">
        <v>1</v>
      </c>
      <c r="O586" t="s">
        <v>246</v>
      </c>
      <c r="P586" t="s">
        <v>131</v>
      </c>
      <c r="Q586" t="s">
        <v>30</v>
      </c>
      <c r="R586" t="str">
        <f>VLOOKUP($O586,'Mapa Oficinas'!$A$7:$C$46,2,FALSE)</f>
        <v>Interior - Salta</v>
      </c>
      <c r="S586" t="str">
        <f>VLOOKUP($O586,'Mapa Oficinas'!$A$7:$C$46,3,FALSE)</f>
        <v>San Lorenzo Chico</v>
      </c>
    </row>
    <row r="587" spans="1:19" x14ac:dyDescent="0.2">
      <c r="A587" s="1">
        <v>45784</v>
      </c>
      <c r="B587" t="s">
        <v>6877</v>
      </c>
      <c r="D587" t="s">
        <v>6878</v>
      </c>
      <c r="E587" t="s">
        <v>16</v>
      </c>
      <c r="F587" t="s">
        <v>17</v>
      </c>
      <c r="G587" s="14">
        <v>210000</v>
      </c>
      <c r="H587" s="14">
        <v>202000</v>
      </c>
      <c r="I587" t="s">
        <v>22</v>
      </c>
      <c r="J587" t="s">
        <v>22</v>
      </c>
      <c r="K587" t="s">
        <v>6879</v>
      </c>
      <c r="L587" t="s">
        <v>282</v>
      </c>
      <c r="M587" t="s">
        <v>19</v>
      </c>
      <c r="N587">
        <v>2</v>
      </c>
      <c r="O587" t="s">
        <v>20</v>
      </c>
      <c r="P587" t="s">
        <v>276</v>
      </c>
      <c r="Q587" t="s">
        <v>30</v>
      </c>
      <c r="R587" t="str">
        <f>VLOOKUP($O587,'Mapa Oficinas'!$A$7:$C$46,2,FALSE)</f>
        <v>CABA</v>
      </c>
      <c r="S587" t="str">
        <f>VLOOKUP($O587,'Mapa Oficinas'!$A$7:$C$46,3,FALSE)</f>
        <v>Palermo</v>
      </c>
    </row>
    <row r="588" spans="1:19" x14ac:dyDescent="0.2">
      <c r="A588" s="1">
        <v>45784</v>
      </c>
      <c r="B588" t="s">
        <v>6880</v>
      </c>
      <c r="D588" t="s">
        <v>6881</v>
      </c>
      <c r="E588" t="s">
        <v>16</v>
      </c>
      <c r="F588" t="s">
        <v>17</v>
      </c>
      <c r="G588" s="14">
        <v>287173</v>
      </c>
      <c r="H588" s="14">
        <v>262000</v>
      </c>
      <c r="I588" t="s">
        <v>22</v>
      </c>
      <c r="J588" t="s">
        <v>22</v>
      </c>
      <c r="K588" t="s">
        <v>6882</v>
      </c>
      <c r="L588" t="s">
        <v>2132</v>
      </c>
      <c r="M588" t="s">
        <v>19</v>
      </c>
      <c r="N588">
        <v>2</v>
      </c>
      <c r="O588" t="s">
        <v>142</v>
      </c>
      <c r="P588" t="s">
        <v>41</v>
      </c>
      <c r="Q588" t="s">
        <v>30</v>
      </c>
      <c r="R588" t="str">
        <f>VLOOKUP($O588,'Mapa Oficinas'!$A$7:$C$46,2,FALSE)</f>
        <v>Zona Norte (GBA)</v>
      </c>
      <c r="S588" t="str">
        <f>VLOOKUP($O588,'Mapa Oficinas'!$A$7:$C$46,3,FALSE)</f>
        <v>Nordelta</v>
      </c>
    </row>
    <row r="589" spans="1:19" x14ac:dyDescent="0.2">
      <c r="A589" s="1">
        <v>45784</v>
      </c>
      <c r="B589" t="s">
        <v>6883</v>
      </c>
      <c r="D589" t="s">
        <v>6884</v>
      </c>
      <c r="E589" t="s">
        <v>16</v>
      </c>
      <c r="F589" t="s">
        <v>17</v>
      </c>
      <c r="G589" s="14">
        <v>345000</v>
      </c>
      <c r="H589" s="14">
        <v>330000</v>
      </c>
      <c r="I589" t="s">
        <v>22</v>
      </c>
      <c r="J589" t="s">
        <v>22</v>
      </c>
      <c r="K589" t="s">
        <v>6885</v>
      </c>
      <c r="L589" t="s">
        <v>1077</v>
      </c>
      <c r="M589" t="s">
        <v>19</v>
      </c>
      <c r="N589">
        <v>2</v>
      </c>
      <c r="O589" t="s">
        <v>20</v>
      </c>
      <c r="P589" t="s">
        <v>21</v>
      </c>
      <c r="Q589" t="s">
        <v>30</v>
      </c>
      <c r="R589" t="str">
        <f>VLOOKUP($O589,'Mapa Oficinas'!$A$7:$C$46,2,FALSE)</f>
        <v>CABA</v>
      </c>
      <c r="S589" t="str">
        <f>VLOOKUP($O589,'Mapa Oficinas'!$A$7:$C$46,3,FALSE)</f>
        <v>Palermo</v>
      </c>
    </row>
    <row r="590" spans="1:19" x14ac:dyDescent="0.2">
      <c r="A590" s="1">
        <v>45785</v>
      </c>
      <c r="B590" t="s">
        <v>6866</v>
      </c>
      <c r="D590" t="s">
        <v>6867</v>
      </c>
      <c r="E590" t="s">
        <v>16</v>
      </c>
      <c r="F590" t="s">
        <v>38</v>
      </c>
      <c r="G590" s="14">
        <v>45000</v>
      </c>
      <c r="H590" s="14">
        <v>39000</v>
      </c>
      <c r="I590" t="s">
        <v>22</v>
      </c>
      <c r="J590" t="s">
        <v>22</v>
      </c>
      <c r="K590" t="s">
        <v>6868</v>
      </c>
      <c r="L590" t="s">
        <v>595</v>
      </c>
      <c r="M590" t="s">
        <v>19</v>
      </c>
      <c r="N590">
        <v>2</v>
      </c>
      <c r="O590" t="s">
        <v>130</v>
      </c>
      <c r="P590" t="s">
        <v>21</v>
      </c>
      <c r="Q590" t="s">
        <v>30</v>
      </c>
      <c r="R590" t="str">
        <f>VLOOKUP($O590,'Mapa Oficinas'!$A$7:$C$46,2,FALSE)</f>
        <v>Interior - Río Negro</v>
      </c>
      <c r="S590" t="str">
        <f>VLOOKUP($O590,'Mapa Oficinas'!$A$7:$C$46,3,FALSE)</f>
        <v>Bariloche</v>
      </c>
    </row>
    <row r="591" spans="1:19" x14ac:dyDescent="0.2">
      <c r="A591" s="1">
        <v>45785</v>
      </c>
      <c r="B591" t="s">
        <v>6852</v>
      </c>
      <c r="D591" t="s">
        <v>6853</v>
      </c>
      <c r="E591" t="s">
        <v>16</v>
      </c>
      <c r="F591" t="s">
        <v>17</v>
      </c>
      <c r="G591" s="14">
        <v>85000</v>
      </c>
      <c r="H591" s="14">
        <v>80000</v>
      </c>
      <c r="I591" t="s">
        <v>22</v>
      </c>
      <c r="J591" t="s">
        <v>22</v>
      </c>
      <c r="K591" t="s">
        <v>6854</v>
      </c>
      <c r="L591" t="s">
        <v>5213</v>
      </c>
      <c r="M591" t="s">
        <v>19</v>
      </c>
      <c r="N591">
        <v>2</v>
      </c>
      <c r="O591" t="s">
        <v>50</v>
      </c>
      <c r="P591" t="s">
        <v>21</v>
      </c>
      <c r="Q591" t="s">
        <v>30</v>
      </c>
      <c r="R591" t="str">
        <f>VLOOKUP($O591,'Mapa Oficinas'!$A$7:$C$46,2,FALSE)</f>
        <v>CABA</v>
      </c>
      <c r="S591" t="str">
        <f>VLOOKUP($O591,'Mapa Oficinas'!$A$7:$C$46,3,FALSE)</f>
        <v>Villa Urquiza</v>
      </c>
    </row>
    <row r="592" spans="1:19" x14ac:dyDescent="0.2">
      <c r="A592" s="1">
        <v>45785</v>
      </c>
      <c r="B592" t="s">
        <v>1893</v>
      </c>
      <c r="D592" t="s">
        <v>1894</v>
      </c>
      <c r="E592" t="s">
        <v>16</v>
      </c>
      <c r="F592" t="s">
        <v>134</v>
      </c>
      <c r="G592" s="14">
        <v>89856</v>
      </c>
      <c r="H592" s="14">
        <v>84171</v>
      </c>
      <c r="I592" t="s">
        <v>22</v>
      </c>
      <c r="J592" t="s">
        <v>22</v>
      </c>
      <c r="K592" t="s">
        <v>1477</v>
      </c>
      <c r="L592" t="s">
        <v>1895</v>
      </c>
      <c r="M592" t="s">
        <v>19</v>
      </c>
      <c r="N592">
        <v>2</v>
      </c>
      <c r="O592" t="s">
        <v>130</v>
      </c>
      <c r="P592" t="s">
        <v>21</v>
      </c>
      <c r="Q592" t="s">
        <v>30</v>
      </c>
      <c r="R592" t="str">
        <f>VLOOKUP($O592,'Mapa Oficinas'!$A$7:$C$46,2,FALSE)</f>
        <v>Interior - Río Negro</v>
      </c>
      <c r="S592" t="str">
        <f>VLOOKUP($O592,'Mapa Oficinas'!$A$7:$C$46,3,FALSE)</f>
        <v>Bariloche</v>
      </c>
    </row>
    <row r="593" spans="1:19" x14ac:dyDescent="0.2">
      <c r="A593" s="1">
        <v>45785</v>
      </c>
      <c r="B593" t="s">
        <v>1893</v>
      </c>
      <c r="D593" t="s">
        <v>1894</v>
      </c>
      <c r="E593" t="s">
        <v>16</v>
      </c>
      <c r="F593" t="s">
        <v>134</v>
      </c>
      <c r="G593" s="14">
        <v>89856</v>
      </c>
      <c r="H593" s="14">
        <v>88290</v>
      </c>
      <c r="I593" t="s">
        <v>22</v>
      </c>
      <c r="J593" t="s">
        <v>22</v>
      </c>
      <c r="K593" t="s">
        <v>1477</v>
      </c>
      <c r="L593" t="s">
        <v>1895</v>
      </c>
      <c r="M593" t="s">
        <v>19</v>
      </c>
      <c r="N593">
        <v>2</v>
      </c>
      <c r="O593" t="s">
        <v>130</v>
      </c>
      <c r="P593" t="s">
        <v>21</v>
      </c>
      <c r="Q593" t="s">
        <v>30</v>
      </c>
      <c r="R593" t="str">
        <f>VLOOKUP($O593,'Mapa Oficinas'!$A$7:$C$46,2,FALSE)</f>
        <v>Interior - Río Negro</v>
      </c>
      <c r="S593" t="str">
        <f>VLOOKUP($O593,'Mapa Oficinas'!$A$7:$C$46,3,FALSE)</f>
        <v>Bariloche</v>
      </c>
    </row>
    <row r="594" spans="1:19" x14ac:dyDescent="0.2">
      <c r="A594" s="1">
        <v>45785</v>
      </c>
      <c r="B594" t="s">
        <v>6596</v>
      </c>
      <c r="D594" t="s">
        <v>1476</v>
      </c>
      <c r="E594" t="s">
        <v>16</v>
      </c>
      <c r="F594" t="s">
        <v>184</v>
      </c>
      <c r="G594" s="14">
        <v>92800</v>
      </c>
      <c r="H594" s="14">
        <v>94470</v>
      </c>
      <c r="I594" t="s">
        <v>22</v>
      </c>
      <c r="J594" t="s">
        <v>22</v>
      </c>
      <c r="K594" t="s">
        <v>1477</v>
      </c>
      <c r="L594" t="s">
        <v>136</v>
      </c>
      <c r="M594" t="s">
        <v>19</v>
      </c>
      <c r="N594">
        <v>2</v>
      </c>
      <c r="O594" t="s">
        <v>130</v>
      </c>
      <c r="P594" t="s">
        <v>21</v>
      </c>
      <c r="Q594" t="s">
        <v>30</v>
      </c>
      <c r="R594" t="str">
        <f>VLOOKUP($O594,'Mapa Oficinas'!$A$7:$C$46,2,FALSE)</f>
        <v>Interior - Río Negro</v>
      </c>
      <c r="S594" t="str">
        <f>VLOOKUP($O594,'Mapa Oficinas'!$A$7:$C$46,3,FALSE)</f>
        <v>Bariloche</v>
      </c>
    </row>
    <row r="595" spans="1:19" x14ac:dyDescent="0.2">
      <c r="A595" s="1">
        <v>45785</v>
      </c>
      <c r="B595" t="s">
        <v>6855</v>
      </c>
      <c r="D595" t="s">
        <v>6856</v>
      </c>
      <c r="E595" t="s">
        <v>16</v>
      </c>
      <c r="F595" t="s">
        <v>17</v>
      </c>
      <c r="G595" s="14">
        <v>144000</v>
      </c>
      <c r="H595" s="14">
        <v>132000</v>
      </c>
      <c r="I595" t="s">
        <v>22</v>
      </c>
      <c r="J595" t="s">
        <v>22</v>
      </c>
      <c r="K595" t="s">
        <v>6857</v>
      </c>
      <c r="L595" t="s">
        <v>318</v>
      </c>
      <c r="M595" t="s">
        <v>19</v>
      </c>
      <c r="N595">
        <v>2</v>
      </c>
      <c r="O595" t="s">
        <v>206</v>
      </c>
      <c r="P595" t="s">
        <v>276</v>
      </c>
      <c r="Q595" t="s">
        <v>30</v>
      </c>
      <c r="R595" t="str">
        <f>VLOOKUP($O595,'Mapa Oficinas'!$A$7:$C$46,2,FALSE)</f>
        <v>CABA</v>
      </c>
      <c r="S595" t="str">
        <f>VLOOKUP($O595,'Mapa Oficinas'!$A$7:$C$46,3,FALSE)</f>
        <v>Belgrano</v>
      </c>
    </row>
    <row r="596" spans="1:19" x14ac:dyDescent="0.2">
      <c r="A596" s="1">
        <v>45785</v>
      </c>
      <c r="B596" t="s">
        <v>6863</v>
      </c>
      <c r="D596" t="s">
        <v>6864</v>
      </c>
      <c r="E596" t="s">
        <v>16</v>
      </c>
      <c r="F596" t="s">
        <v>134</v>
      </c>
      <c r="G596" s="14">
        <v>168000</v>
      </c>
      <c r="H596" s="14">
        <v>133000</v>
      </c>
      <c r="I596" t="s">
        <v>22</v>
      </c>
      <c r="J596" t="s">
        <v>22</v>
      </c>
      <c r="K596" t="s">
        <v>6865</v>
      </c>
      <c r="L596" t="s">
        <v>136</v>
      </c>
      <c r="M596" t="s">
        <v>19</v>
      </c>
      <c r="N596">
        <v>1</v>
      </c>
      <c r="O596" t="s">
        <v>130</v>
      </c>
      <c r="P596" t="s">
        <v>66</v>
      </c>
      <c r="Q596" t="s">
        <v>30</v>
      </c>
      <c r="R596" t="str">
        <f>VLOOKUP($O596,'Mapa Oficinas'!$A$7:$C$46,2,FALSE)</f>
        <v>Interior - Río Negro</v>
      </c>
      <c r="S596" t="str">
        <f>VLOOKUP($O596,'Mapa Oficinas'!$A$7:$C$46,3,FALSE)</f>
        <v>Bariloche</v>
      </c>
    </row>
    <row r="597" spans="1:19" x14ac:dyDescent="0.2">
      <c r="A597" s="1">
        <v>45785</v>
      </c>
      <c r="B597" t="s">
        <v>6858</v>
      </c>
      <c r="D597" t="s">
        <v>6859</v>
      </c>
      <c r="E597" t="s">
        <v>16</v>
      </c>
      <c r="F597" t="s">
        <v>134</v>
      </c>
      <c r="G597" s="14">
        <v>240000</v>
      </c>
      <c r="H597" s="14">
        <v>237000</v>
      </c>
      <c r="I597" t="s">
        <v>22</v>
      </c>
      <c r="J597" t="s">
        <v>22</v>
      </c>
      <c r="K597" t="s">
        <v>6860</v>
      </c>
      <c r="L597" t="s">
        <v>1811</v>
      </c>
      <c r="M597" t="s">
        <v>28</v>
      </c>
      <c r="N597">
        <v>2</v>
      </c>
      <c r="O597" t="s">
        <v>171</v>
      </c>
      <c r="P597" t="s">
        <v>21</v>
      </c>
      <c r="Q597" t="s">
        <v>30</v>
      </c>
      <c r="R597" t="str">
        <f>VLOOKUP($O597,'Mapa Oficinas'!$A$7:$C$46,2,FALSE)</f>
        <v>Zona Sur (GBA)</v>
      </c>
      <c r="S597" t="str">
        <f>VLOOKUP($O597,'Mapa Oficinas'!$A$7:$C$46,3,FALSE)</f>
        <v>La Plata</v>
      </c>
    </row>
    <row r="598" spans="1:19" x14ac:dyDescent="0.2">
      <c r="A598" s="1">
        <v>45785</v>
      </c>
      <c r="B598" t="s">
        <v>4488</v>
      </c>
      <c r="D598" t="s">
        <v>4489</v>
      </c>
      <c r="E598" t="s">
        <v>16</v>
      </c>
      <c r="F598" t="s">
        <v>17</v>
      </c>
      <c r="G598" s="14">
        <v>269000</v>
      </c>
      <c r="H598" s="14">
        <v>260000</v>
      </c>
      <c r="I598" t="s">
        <v>22</v>
      </c>
      <c r="J598" t="s">
        <v>22</v>
      </c>
      <c r="K598" t="s">
        <v>4490</v>
      </c>
      <c r="L598" t="s">
        <v>521</v>
      </c>
      <c r="M598" t="s">
        <v>28</v>
      </c>
      <c r="N598">
        <v>2</v>
      </c>
      <c r="O598" t="s">
        <v>142</v>
      </c>
      <c r="P598" t="s">
        <v>21</v>
      </c>
      <c r="Q598" t="s">
        <v>30</v>
      </c>
      <c r="R598" t="str">
        <f>VLOOKUP($O598,'Mapa Oficinas'!$A$7:$C$46,2,FALSE)</f>
        <v>Zona Norte (GBA)</v>
      </c>
      <c r="S598" t="str">
        <f>VLOOKUP($O598,'Mapa Oficinas'!$A$7:$C$46,3,FALSE)</f>
        <v>Nordelta</v>
      </c>
    </row>
    <row r="599" spans="1:19" x14ac:dyDescent="0.2">
      <c r="A599" s="1">
        <v>45785</v>
      </c>
      <c r="B599" t="s">
        <v>6439</v>
      </c>
      <c r="D599" t="s">
        <v>6440</v>
      </c>
      <c r="E599" t="s">
        <v>16</v>
      </c>
      <c r="F599" t="s">
        <v>134</v>
      </c>
      <c r="G599" s="14">
        <v>253435</v>
      </c>
      <c r="H599" s="14">
        <v>260113</v>
      </c>
      <c r="I599" t="s">
        <v>22</v>
      </c>
      <c r="J599" t="s">
        <v>22</v>
      </c>
      <c r="K599" t="s">
        <v>6441</v>
      </c>
      <c r="L599" t="s">
        <v>136</v>
      </c>
      <c r="M599" t="s">
        <v>19</v>
      </c>
      <c r="N599">
        <v>2</v>
      </c>
      <c r="O599" t="s">
        <v>130</v>
      </c>
      <c r="P599" t="s">
        <v>21</v>
      </c>
      <c r="Q599" t="s">
        <v>30</v>
      </c>
      <c r="R599" t="str">
        <f>VLOOKUP($O599,'Mapa Oficinas'!$A$7:$C$46,2,FALSE)</f>
        <v>Interior - Río Negro</v>
      </c>
      <c r="S599" t="str">
        <f>VLOOKUP($O599,'Mapa Oficinas'!$A$7:$C$46,3,FALSE)</f>
        <v>Bariloche</v>
      </c>
    </row>
    <row r="600" spans="1:19" x14ac:dyDescent="0.2">
      <c r="A600" s="1">
        <v>45786</v>
      </c>
      <c r="B600">
        <v>10384</v>
      </c>
      <c r="D600" t="s">
        <v>6848</v>
      </c>
      <c r="E600" t="s">
        <v>16</v>
      </c>
      <c r="F600" t="s">
        <v>17</v>
      </c>
      <c r="G600" s="14">
        <v>0</v>
      </c>
      <c r="H600" s="14">
        <v>66000</v>
      </c>
      <c r="I600" t="s">
        <v>22</v>
      </c>
      <c r="J600" t="s">
        <v>22</v>
      </c>
      <c r="L600" t="s">
        <v>191</v>
      </c>
      <c r="M600" t="s">
        <v>19</v>
      </c>
      <c r="N600">
        <v>1</v>
      </c>
      <c r="O600" t="s">
        <v>103</v>
      </c>
      <c r="P600" t="s">
        <v>146</v>
      </c>
      <c r="Q600" t="s">
        <v>30</v>
      </c>
      <c r="R600" t="str">
        <f>VLOOKUP($O600,'Mapa Oficinas'!$A$7:$C$46,2,FALSE)</f>
        <v>CABA</v>
      </c>
      <c r="S600" t="str">
        <f>VLOOKUP($O600,'Mapa Oficinas'!$A$7:$C$46,3,FALSE)</f>
        <v>Barrio Parque</v>
      </c>
    </row>
    <row r="601" spans="1:19" x14ac:dyDescent="0.2">
      <c r="A601" s="1">
        <v>45786</v>
      </c>
      <c r="B601" t="s">
        <v>6843</v>
      </c>
      <c r="D601" t="s">
        <v>6844</v>
      </c>
      <c r="E601" t="s">
        <v>16</v>
      </c>
      <c r="F601" t="s">
        <v>17</v>
      </c>
      <c r="G601" s="14">
        <v>88900</v>
      </c>
      <c r="H601" s="14">
        <v>85000</v>
      </c>
      <c r="I601" t="s">
        <v>22</v>
      </c>
      <c r="J601" t="s">
        <v>22</v>
      </c>
      <c r="K601" t="s">
        <v>6845</v>
      </c>
      <c r="L601" t="s">
        <v>71</v>
      </c>
      <c r="M601" t="s">
        <v>19</v>
      </c>
      <c r="N601">
        <v>2</v>
      </c>
      <c r="O601" t="s">
        <v>103</v>
      </c>
      <c r="P601" t="s">
        <v>21</v>
      </c>
      <c r="Q601" t="s">
        <v>30</v>
      </c>
      <c r="R601" t="str">
        <f>VLOOKUP($O601,'Mapa Oficinas'!$A$7:$C$46,2,FALSE)</f>
        <v>CABA</v>
      </c>
      <c r="S601" t="str">
        <f>VLOOKUP($O601,'Mapa Oficinas'!$A$7:$C$46,3,FALSE)</f>
        <v>Barrio Parque</v>
      </c>
    </row>
    <row r="602" spans="1:19" x14ac:dyDescent="0.2">
      <c r="A602" s="1">
        <v>45786</v>
      </c>
      <c r="B602" t="s">
        <v>6833</v>
      </c>
      <c r="D602" t="s">
        <v>1476</v>
      </c>
      <c r="E602" t="s">
        <v>16</v>
      </c>
      <c r="F602" t="s">
        <v>134</v>
      </c>
      <c r="G602" s="14">
        <v>104544</v>
      </c>
      <c r="H602" s="14">
        <v>101043</v>
      </c>
      <c r="I602" t="s">
        <v>22</v>
      </c>
      <c r="J602" t="s">
        <v>22</v>
      </c>
      <c r="K602" t="s">
        <v>1477</v>
      </c>
      <c r="L602" t="s">
        <v>136</v>
      </c>
      <c r="M602" t="s">
        <v>19</v>
      </c>
      <c r="N602">
        <v>2</v>
      </c>
      <c r="O602" t="s">
        <v>130</v>
      </c>
      <c r="P602" t="s">
        <v>41</v>
      </c>
      <c r="Q602" t="s">
        <v>30</v>
      </c>
      <c r="R602" t="str">
        <f>VLOOKUP($O602,'Mapa Oficinas'!$A$7:$C$46,2,FALSE)</f>
        <v>Interior - Río Negro</v>
      </c>
      <c r="S602" t="str">
        <f>VLOOKUP($O602,'Mapa Oficinas'!$A$7:$C$46,3,FALSE)</f>
        <v>Bariloche</v>
      </c>
    </row>
    <row r="603" spans="1:19" x14ac:dyDescent="0.2">
      <c r="A603" s="1">
        <v>45786</v>
      </c>
      <c r="B603" t="s">
        <v>6833</v>
      </c>
      <c r="D603" t="s">
        <v>1476</v>
      </c>
      <c r="E603" t="s">
        <v>16</v>
      </c>
      <c r="F603" t="s">
        <v>134</v>
      </c>
      <c r="G603" s="14">
        <v>104544</v>
      </c>
      <c r="H603" s="14">
        <v>104714</v>
      </c>
      <c r="I603" t="s">
        <v>22</v>
      </c>
      <c r="J603" t="s">
        <v>22</v>
      </c>
      <c r="K603" t="s">
        <v>1477</v>
      </c>
      <c r="L603" t="s">
        <v>136</v>
      </c>
      <c r="M603" t="s">
        <v>19</v>
      </c>
      <c r="N603">
        <v>2</v>
      </c>
      <c r="O603" t="s">
        <v>130</v>
      </c>
      <c r="P603" t="s">
        <v>41</v>
      </c>
      <c r="Q603" t="s">
        <v>30</v>
      </c>
      <c r="R603" t="str">
        <f>VLOOKUP($O603,'Mapa Oficinas'!$A$7:$C$46,2,FALSE)</f>
        <v>Interior - Río Negro</v>
      </c>
      <c r="S603" t="str">
        <f>VLOOKUP($O603,'Mapa Oficinas'!$A$7:$C$46,3,FALSE)</f>
        <v>Bariloche</v>
      </c>
    </row>
    <row r="604" spans="1:19" x14ac:dyDescent="0.2">
      <c r="A604" s="1">
        <v>45786</v>
      </c>
      <c r="B604">
        <v>10359</v>
      </c>
      <c r="D604" t="s">
        <v>6847</v>
      </c>
      <c r="E604" t="s">
        <v>16</v>
      </c>
      <c r="F604" t="s">
        <v>17</v>
      </c>
      <c r="G604" s="14">
        <v>0</v>
      </c>
      <c r="H604" s="14">
        <v>105000</v>
      </c>
      <c r="I604" t="s">
        <v>22</v>
      </c>
      <c r="J604" t="s">
        <v>22</v>
      </c>
      <c r="L604" t="s">
        <v>277</v>
      </c>
      <c r="M604" t="s">
        <v>19</v>
      </c>
      <c r="N604">
        <v>1</v>
      </c>
      <c r="O604" t="s">
        <v>103</v>
      </c>
      <c r="P604" t="s">
        <v>146</v>
      </c>
      <c r="Q604" t="s">
        <v>30</v>
      </c>
      <c r="R604" t="str">
        <f>VLOOKUP($O604,'Mapa Oficinas'!$A$7:$C$46,2,FALSE)</f>
        <v>CABA</v>
      </c>
      <c r="S604" t="str">
        <f>VLOOKUP($O604,'Mapa Oficinas'!$A$7:$C$46,3,FALSE)</f>
        <v>Barrio Parque</v>
      </c>
    </row>
    <row r="605" spans="1:19" x14ac:dyDescent="0.2">
      <c r="A605" s="1">
        <v>45786</v>
      </c>
      <c r="B605" t="s">
        <v>6830</v>
      </c>
      <c r="D605" t="s">
        <v>6831</v>
      </c>
      <c r="E605" t="s">
        <v>16</v>
      </c>
      <c r="F605" t="s">
        <v>17</v>
      </c>
      <c r="G605" s="14">
        <v>115000</v>
      </c>
      <c r="H605" s="14">
        <v>106000</v>
      </c>
      <c r="I605" t="s">
        <v>22</v>
      </c>
      <c r="J605" t="s">
        <v>22</v>
      </c>
      <c r="K605" t="s">
        <v>6832</v>
      </c>
      <c r="L605" t="s">
        <v>569</v>
      </c>
      <c r="M605" t="s">
        <v>72</v>
      </c>
      <c r="N605">
        <v>2</v>
      </c>
      <c r="O605" t="s">
        <v>50</v>
      </c>
      <c r="P605" t="s">
        <v>21</v>
      </c>
      <c r="Q605" t="s">
        <v>30</v>
      </c>
      <c r="R605" t="str">
        <f>VLOOKUP($O605,'Mapa Oficinas'!$A$7:$C$46,2,FALSE)</f>
        <v>CABA</v>
      </c>
      <c r="S605" t="str">
        <f>VLOOKUP($O605,'Mapa Oficinas'!$A$7:$C$46,3,FALSE)</f>
        <v>Villa Urquiza</v>
      </c>
    </row>
    <row r="606" spans="1:19" x14ac:dyDescent="0.2">
      <c r="A606" s="1">
        <v>45786</v>
      </c>
      <c r="B606" t="s">
        <v>6837</v>
      </c>
      <c r="D606" t="s">
        <v>6838</v>
      </c>
      <c r="E606" t="s">
        <v>16</v>
      </c>
      <c r="F606" t="s">
        <v>17</v>
      </c>
      <c r="G606" s="14">
        <v>109000</v>
      </c>
      <c r="H606" s="14">
        <v>106000</v>
      </c>
      <c r="I606" t="s">
        <v>22</v>
      </c>
      <c r="J606" t="s">
        <v>22</v>
      </c>
      <c r="K606" t="s">
        <v>6839</v>
      </c>
      <c r="L606" t="s">
        <v>5227</v>
      </c>
      <c r="M606" t="s">
        <v>19</v>
      </c>
      <c r="N606">
        <v>2</v>
      </c>
      <c r="O606" t="s">
        <v>35</v>
      </c>
      <c r="P606" t="s">
        <v>21</v>
      </c>
      <c r="Q606" t="s">
        <v>30</v>
      </c>
      <c r="R606" t="str">
        <f>VLOOKUP($O606,'Mapa Oficinas'!$A$7:$C$46,2,FALSE)</f>
        <v>Zona Norte (GBA)</v>
      </c>
      <c r="S606" t="str">
        <f>VLOOKUP($O606,'Mapa Oficinas'!$A$7:$C$46,3,FALSE)</f>
        <v>Vicente López</v>
      </c>
    </row>
    <row r="607" spans="1:19" x14ac:dyDescent="0.2">
      <c r="A607" s="1">
        <v>45786</v>
      </c>
      <c r="B607" t="s">
        <v>6840</v>
      </c>
      <c r="D607" t="s">
        <v>6841</v>
      </c>
      <c r="E607" t="s">
        <v>16</v>
      </c>
      <c r="F607" t="s">
        <v>17</v>
      </c>
      <c r="G607" s="14">
        <v>355000</v>
      </c>
      <c r="H607" s="14">
        <v>345000</v>
      </c>
      <c r="I607" t="s">
        <v>22</v>
      </c>
      <c r="J607" t="s">
        <v>22</v>
      </c>
      <c r="K607" t="s">
        <v>6842</v>
      </c>
      <c r="L607" t="s">
        <v>191</v>
      </c>
      <c r="M607" t="s">
        <v>19</v>
      </c>
      <c r="N607">
        <v>2</v>
      </c>
      <c r="O607" t="s">
        <v>103</v>
      </c>
      <c r="P607" t="s">
        <v>21</v>
      </c>
      <c r="Q607" t="s">
        <v>30</v>
      </c>
      <c r="R607" t="str">
        <f>VLOOKUP($O607,'Mapa Oficinas'!$A$7:$C$46,2,FALSE)</f>
        <v>CABA</v>
      </c>
      <c r="S607" t="str">
        <f>VLOOKUP($O607,'Mapa Oficinas'!$A$7:$C$46,3,FALSE)</f>
        <v>Barrio Parque</v>
      </c>
    </row>
    <row r="608" spans="1:19" x14ac:dyDescent="0.2">
      <c r="A608" s="1">
        <v>45786</v>
      </c>
      <c r="B608">
        <v>10322</v>
      </c>
      <c r="D608" t="s">
        <v>6846</v>
      </c>
      <c r="E608" t="s">
        <v>16</v>
      </c>
      <c r="F608" t="s">
        <v>17</v>
      </c>
      <c r="G608" s="14">
        <v>0</v>
      </c>
      <c r="H608" s="14">
        <v>350000</v>
      </c>
      <c r="I608" t="s">
        <v>22</v>
      </c>
      <c r="J608" t="s">
        <v>22</v>
      </c>
      <c r="L608" t="s">
        <v>277</v>
      </c>
      <c r="M608" t="s">
        <v>19</v>
      </c>
      <c r="N608">
        <v>1</v>
      </c>
      <c r="O608" t="s">
        <v>103</v>
      </c>
      <c r="P608" t="s">
        <v>146</v>
      </c>
      <c r="Q608" t="s">
        <v>30</v>
      </c>
      <c r="R608" t="str">
        <f>VLOOKUP($O608,'Mapa Oficinas'!$A$7:$C$46,2,FALSE)</f>
        <v>CABA</v>
      </c>
      <c r="S608" t="str">
        <f>VLOOKUP($O608,'Mapa Oficinas'!$A$7:$C$46,3,FALSE)</f>
        <v>Barrio Parque</v>
      </c>
    </row>
    <row r="609" spans="1:19" x14ac:dyDescent="0.2">
      <c r="A609" s="1">
        <v>45787</v>
      </c>
      <c r="B609" t="s">
        <v>6827</v>
      </c>
      <c r="D609" t="s">
        <v>6828</v>
      </c>
      <c r="E609" t="s">
        <v>16</v>
      </c>
      <c r="F609" t="s">
        <v>127</v>
      </c>
      <c r="G609" s="14">
        <v>160000</v>
      </c>
      <c r="H609" s="14">
        <v>160000</v>
      </c>
      <c r="I609" t="s">
        <v>22</v>
      </c>
      <c r="J609" t="s">
        <v>22</v>
      </c>
      <c r="K609" t="s">
        <v>6829</v>
      </c>
      <c r="L609" t="s">
        <v>5422</v>
      </c>
      <c r="M609" t="s">
        <v>19</v>
      </c>
      <c r="N609">
        <v>2</v>
      </c>
      <c r="O609" t="s">
        <v>98</v>
      </c>
      <c r="P609" t="s">
        <v>21</v>
      </c>
      <c r="Q609" t="s">
        <v>30</v>
      </c>
      <c r="R609" t="str">
        <f>VLOOKUP($O609,'Mapa Oficinas'!$A$7:$C$46,2,FALSE)</f>
        <v>Interior - Neuquén</v>
      </c>
      <c r="S609" t="str">
        <f>VLOOKUP($O609,'Mapa Oficinas'!$A$7:$C$46,3,FALSE)</f>
        <v>Villa La Angostura</v>
      </c>
    </row>
    <row r="610" spans="1:19" x14ac:dyDescent="0.2">
      <c r="A610" s="1">
        <v>45789</v>
      </c>
      <c r="B610" t="s">
        <v>6816</v>
      </c>
      <c r="D610" t="s">
        <v>6817</v>
      </c>
      <c r="E610" t="s">
        <v>16</v>
      </c>
      <c r="F610" t="s">
        <v>17</v>
      </c>
      <c r="G610" s="14">
        <v>58000</v>
      </c>
      <c r="H610" s="14">
        <v>58000</v>
      </c>
      <c r="I610" t="s">
        <v>22</v>
      </c>
      <c r="J610" t="s">
        <v>22</v>
      </c>
      <c r="K610" t="s">
        <v>6817</v>
      </c>
      <c r="L610" t="s">
        <v>4349</v>
      </c>
      <c r="M610" t="s">
        <v>28</v>
      </c>
      <c r="N610">
        <v>1</v>
      </c>
      <c r="O610" t="s">
        <v>389</v>
      </c>
      <c r="P610" t="s">
        <v>131</v>
      </c>
      <c r="Q610" t="s">
        <v>30</v>
      </c>
      <c r="R610" t="str">
        <f>VLOOKUP($O610,'Mapa Oficinas'!$A$7:$C$46,2,FALSE)</f>
        <v>Zona Norte (GBA)</v>
      </c>
      <c r="S610" t="str">
        <f>VLOOKUP($O610,'Mapa Oficinas'!$A$7:$C$46,3,FALSE)</f>
        <v>Escobar</v>
      </c>
    </row>
    <row r="611" spans="1:19" x14ac:dyDescent="0.2">
      <c r="A611" s="1">
        <v>45789</v>
      </c>
      <c r="B611" t="s">
        <v>6811</v>
      </c>
      <c r="D611" t="s">
        <v>6812</v>
      </c>
      <c r="E611" t="s">
        <v>16</v>
      </c>
      <c r="F611" t="s">
        <v>47</v>
      </c>
      <c r="G611" s="14">
        <v>63500</v>
      </c>
      <c r="H611" s="14">
        <v>63500</v>
      </c>
      <c r="I611" t="s">
        <v>22</v>
      </c>
      <c r="J611" t="s">
        <v>22</v>
      </c>
      <c r="L611" t="s">
        <v>5524</v>
      </c>
      <c r="M611" t="s">
        <v>97</v>
      </c>
      <c r="N611">
        <v>2</v>
      </c>
      <c r="O611" t="s">
        <v>359</v>
      </c>
      <c r="P611" t="s">
        <v>21</v>
      </c>
      <c r="Q611" t="s">
        <v>30</v>
      </c>
      <c r="R611" t="str">
        <f>VLOOKUP($O611,'Mapa Oficinas'!$A$7:$C$46,2,FALSE)</f>
        <v>CABA</v>
      </c>
      <c r="S611" t="str">
        <f>VLOOKUP($O611,'Mapa Oficinas'!$A$7:$C$46,3,FALSE)</f>
        <v>Palermo</v>
      </c>
    </row>
    <row r="612" spans="1:19" x14ac:dyDescent="0.2">
      <c r="A612" s="1">
        <v>45789</v>
      </c>
      <c r="B612" t="s">
        <v>6813</v>
      </c>
      <c r="D612" t="s">
        <v>6814</v>
      </c>
      <c r="E612" t="s">
        <v>16</v>
      </c>
      <c r="F612" t="s">
        <v>17</v>
      </c>
      <c r="G612" s="14">
        <v>69000</v>
      </c>
      <c r="H612" s="14">
        <v>65000</v>
      </c>
      <c r="I612" t="s">
        <v>22</v>
      </c>
      <c r="J612" t="s">
        <v>22</v>
      </c>
      <c r="K612" t="s">
        <v>6815</v>
      </c>
      <c r="L612" t="s">
        <v>1368</v>
      </c>
      <c r="M612" t="s">
        <v>72</v>
      </c>
      <c r="N612">
        <v>2</v>
      </c>
      <c r="O612" t="s">
        <v>35</v>
      </c>
      <c r="P612" t="s">
        <v>21</v>
      </c>
      <c r="Q612" t="s">
        <v>30</v>
      </c>
      <c r="R612" t="str">
        <f>VLOOKUP($O612,'Mapa Oficinas'!$A$7:$C$46,2,FALSE)</f>
        <v>Zona Norte (GBA)</v>
      </c>
      <c r="S612" t="str">
        <f>VLOOKUP($O612,'Mapa Oficinas'!$A$7:$C$46,3,FALSE)</f>
        <v>Vicente López</v>
      </c>
    </row>
    <row r="613" spans="1:19" x14ac:dyDescent="0.2">
      <c r="A613" s="1">
        <v>45789</v>
      </c>
      <c r="B613" t="s">
        <v>6818</v>
      </c>
      <c r="D613" t="s">
        <v>6819</v>
      </c>
      <c r="E613" t="s">
        <v>16</v>
      </c>
      <c r="F613" t="s">
        <v>17</v>
      </c>
      <c r="G613" s="14">
        <v>86900</v>
      </c>
      <c r="H613" s="14">
        <v>75000</v>
      </c>
      <c r="I613" t="s">
        <v>22</v>
      </c>
      <c r="J613" t="s">
        <v>22</v>
      </c>
      <c r="K613" t="s">
        <v>6820</v>
      </c>
      <c r="L613" t="s">
        <v>217</v>
      </c>
      <c r="M613" t="s">
        <v>19</v>
      </c>
      <c r="N613">
        <v>2</v>
      </c>
      <c r="O613" t="s">
        <v>50</v>
      </c>
      <c r="P613" t="s">
        <v>41</v>
      </c>
      <c r="Q613" t="s">
        <v>30</v>
      </c>
      <c r="R613" t="str">
        <f>VLOOKUP($O613,'Mapa Oficinas'!$A$7:$C$46,2,FALSE)</f>
        <v>CABA</v>
      </c>
      <c r="S613" t="str">
        <f>VLOOKUP($O613,'Mapa Oficinas'!$A$7:$C$46,3,FALSE)</f>
        <v>Villa Urquiza</v>
      </c>
    </row>
    <row r="614" spans="1:19" x14ac:dyDescent="0.2">
      <c r="A614" s="1">
        <v>45789</v>
      </c>
      <c r="D614" t="s">
        <v>6825</v>
      </c>
      <c r="E614" t="s">
        <v>16</v>
      </c>
      <c r="F614" t="s">
        <v>82</v>
      </c>
      <c r="G614" s="14">
        <v>107480</v>
      </c>
      <c r="H614" s="14">
        <v>107480</v>
      </c>
      <c r="I614" t="s">
        <v>22</v>
      </c>
      <c r="J614" t="s">
        <v>22</v>
      </c>
      <c r="K614" t="s">
        <v>6626</v>
      </c>
      <c r="L614" t="s">
        <v>442</v>
      </c>
      <c r="M614" t="s">
        <v>300</v>
      </c>
      <c r="N614">
        <v>2</v>
      </c>
      <c r="O614" t="s">
        <v>98</v>
      </c>
      <c r="P614" t="s">
        <v>41</v>
      </c>
      <c r="Q614" t="s">
        <v>30</v>
      </c>
      <c r="R614" t="str">
        <f>VLOOKUP($O614,'Mapa Oficinas'!$A$7:$C$46,2,FALSE)</f>
        <v>Interior - Neuquén</v>
      </c>
      <c r="S614" t="str">
        <f>VLOOKUP($O614,'Mapa Oficinas'!$A$7:$C$46,3,FALSE)</f>
        <v>Villa La Angostura</v>
      </c>
    </row>
    <row r="615" spans="1:19" x14ac:dyDescent="0.2">
      <c r="A615" s="1">
        <v>45789</v>
      </c>
      <c r="D615" t="s">
        <v>6826</v>
      </c>
      <c r="E615" t="s">
        <v>16</v>
      </c>
      <c r="F615" t="s">
        <v>82</v>
      </c>
      <c r="G615" s="14">
        <v>165519</v>
      </c>
      <c r="H615" s="14">
        <v>165520</v>
      </c>
      <c r="I615" t="s">
        <v>22</v>
      </c>
      <c r="J615" t="s">
        <v>22</v>
      </c>
      <c r="K615" t="s">
        <v>6626</v>
      </c>
      <c r="L615" t="s">
        <v>442</v>
      </c>
      <c r="M615" t="s">
        <v>300</v>
      </c>
      <c r="N615">
        <v>2</v>
      </c>
      <c r="O615" t="s">
        <v>98</v>
      </c>
      <c r="P615" t="s">
        <v>41</v>
      </c>
      <c r="Q615" t="s">
        <v>30</v>
      </c>
      <c r="R615" t="str">
        <f>VLOOKUP($O615,'Mapa Oficinas'!$A$7:$C$46,2,FALSE)</f>
        <v>Interior - Neuquén</v>
      </c>
      <c r="S615" t="str">
        <f>VLOOKUP($O615,'Mapa Oficinas'!$A$7:$C$46,3,FALSE)</f>
        <v>Villa La Angostura</v>
      </c>
    </row>
    <row r="616" spans="1:19" x14ac:dyDescent="0.2">
      <c r="A616" s="1">
        <v>45789</v>
      </c>
      <c r="B616" t="s">
        <v>6804</v>
      </c>
      <c r="D616" t="s">
        <v>6805</v>
      </c>
      <c r="E616" t="s">
        <v>16</v>
      </c>
      <c r="F616" t="s">
        <v>17</v>
      </c>
      <c r="G616" s="14">
        <v>180000</v>
      </c>
      <c r="H616" s="14">
        <v>175000</v>
      </c>
      <c r="I616" t="s">
        <v>22</v>
      </c>
      <c r="J616" t="s">
        <v>22</v>
      </c>
      <c r="K616" t="s">
        <v>6806</v>
      </c>
      <c r="L616" t="s">
        <v>277</v>
      </c>
      <c r="M616" t="s">
        <v>19</v>
      </c>
      <c r="N616">
        <v>2</v>
      </c>
      <c r="O616" t="s">
        <v>142</v>
      </c>
      <c r="P616" t="s">
        <v>21</v>
      </c>
      <c r="Q616" t="s">
        <v>30</v>
      </c>
      <c r="R616" t="str">
        <f>VLOOKUP($O616,'Mapa Oficinas'!$A$7:$C$46,2,FALSE)</f>
        <v>Zona Norte (GBA)</v>
      </c>
      <c r="S616" t="str">
        <f>VLOOKUP($O616,'Mapa Oficinas'!$A$7:$C$46,3,FALSE)</f>
        <v>Nordelta</v>
      </c>
    </row>
    <row r="617" spans="1:19" x14ac:dyDescent="0.2">
      <c r="A617" s="1">
        <v>45789</v>
      </c>
      <c r="B617" t="s">
        <v>6807</v>
      </c>
      <c r="D617" t="s">
        <v>6808</v>
      </c>
      <c r="E617" t="s">
        <v>16</v>
      </c>
      <c r="F617" t="s">
        <v>17</v>
      </c>
      <c r="G617" s="14">
        <v>210000</v>
      </c>
      <c r="H617" s="14">
        <v>204000</v>
      </c>
      <c r="I617" t="s">
        <v>22</v>
      </c>
      <c r="J617" t="s">
        <v>22</v>
      </c>
      <c r="K617" t="s">
        <v>6809</v>
      </c>
      <c r="L617" t="s">
        <v>6810</v>
      </c>
      <c r="M617" t="s">
        <v>28</v>
      </c>
      <c r="N617">
        <v>2</v>
      </c>
      <c r="O617" t="s">
        <v>142</v>
      </c>
      <c r="P617" t="s">
        <v>41</v>
      </c>
      <c r="Q617" t="s">
        <v>30</v>
      </c>
      <c r="R617" t="str">
        <f>VLOOKUP($O617,'Mapa Oficinas'!$A$7:$C$46,2,FALSE)</f>
        <v>Zona Norte (GBA)</v>
      </c>
      <c r="S617" t="str">
        <f>VLOOKUP($O617,'Mapa Oficinas'!$A$7:$C$46,3,FALSE)</f>
        <v>Nordelta</v>
      </c>
    </row>
    <row r="618" spans="1:19" x14ac:dyDescent="0.2">
      <c r="A618" s="1">
        <v>45789</v>
      </c>
      <c r="B618" t="s">
        <v>6821</v>
      </c>
      <c r="D618" t="s">
        <v>6822</v>
      </c>
      <c r="E618" t="s">
        <v>16</v>
      </c>
      <c r="F618" t="s">
        <v>38</v>
      </c>
      <c r="G618" s="14">
        <v>250000</v>
      </c>
      <c r="H618" s="14">
        <v>250000</v>
      </c>
      <c r="I618" t="s">
        <v>22</v>
      </c>
      <c r="J618" t="s">
        <v>22</v>
      </c>
      <c r="K618" t="s">
        <v>6823</v>
      </c>
      <c r="L618" t="s">
        <v>6824</v>
      </c>
      <c r="M618" t="s">
        <v>28</v>
      </c>
      <c r="N618">
        <v>1</v>
      </c>
      <c r="O618" t="s">
        <v>246</v>
      </c>
      <c r="P618" t="s">
        <v>131</v>
      </c>
      <c r="Q618" t="s">
        <v>30</v>
      </c>
      <c r="R618" t="str">
        <f>VLOOKUP($O618,'Mapa Oficinas'!$A$7:$C$46,2,FALSE)</f>
        <v>Interior - Salta</v>
      </c>
      <c r="S618" t="str">
        <f>VLOOKUP($O618,'Mapa Oficinas'!$A$7:$C$46,3,FALSE)</f>
        <v>San Lorenzo Chico</v>
      </c>
    </row>
    <row r="619" spans="1:19" x14ac:dyDescent="0.2">
      <c r="A619" s="1">
        <v>45790</v>
      </c>
      <c r="B619" t="s">
        <v>6777</v>
      </c>
      <c r="D619" t="s">
        <v>6778</v>
      </c>
      <c r="E619" t="s">
        <v>16</v>
      </c>
      <c r="F619" t="s">
        <v>17</v>
      </c>
      <c r="G619" s="14">
        <v>68000</v>
      </c>
      <c r="H619" s="14">
        <v>63000</v>
      </c>
      <c r="I619" t="s">
        <v>22</v>
      </c>
      <c r="J619" t="s">
        <v>22</v>
      </c>
      <c r="K619" t="s">
        <v>6779</v>
      </c>
      <c r="L619" t="s">
        <v>226</v>
      </c>
      <c r="M619" t="s">
        <v>19</v>
      </c>
      <c r="N619">
        <v>2</v>
      </c>
      <c r="O619" t="s">
        <v>201</v>
      </c>
      <c r="P619" t="s">
        <v>21</v>
      </c>
      <c r="Q619" t="s">
        <v>30</v>
      </c>
      <c r="R619" t="str">
        <f>VLOOKUP($O619,'Mapa Oficinas'!$A$7:$C$46,2,FALSE)</f>
        <v>CABA</v>
      </c>
      <c r="S619" t="str">
        <f>VLOOKUP($O619,'Mapa Oficinas'!$A$7:$C$46,3,FALSE)</f>
        <v>Recoleta</v>
      </c>
    </row>
    <row r="620" spans="1:19" x14ac:dyDescent="0.2">
      <c r="A620" s="1">
        <v>45790</v>
      </c>
      <c r="B620" t="s">
        <v>6787</v>
      </c>
      <c r="D620" t="s">
        <v>6788</v>
      </c>
      <c r="E620" t="s">
        <v>16</v>
      </c>
      <c r="F620" t="s">
        <v>243</v>
      </c>
      <c r="G620" s="14">
        <v>2000</v>
      </c>
      <c r="H620" s="14">
        <v>72000</v>
      </c>
      <c r="I620" t="s">
        <v>22</v>
      </c>
      <c r="J620" t="s">
        <v>22</v>
      </c>
      <c r="K620" t="s">
        <v>6789</v>
      </c>
      <c r="L620" t="s">
        <v>6790</v>
      </c>
      <c r="N620">
        <v>1</v>
      </c>
      <c r="O620" t="s">
        <v>246</v>
      </c>
      <c r="P620" t="s">
        <v>66</v>
      </c>
      <c r="Q620" t="s">
        <v>30</v>
      </c>
      <c r="R620" t="str">
        <f>VLOOKUP($O620,'Mapa Oficinas'!$A$7:$C$46,2,FALSE)</f>
        <v>Interior - Salta</v>
      </c>
      <c r="S620" t="str">
        <f>VLOOKUP($O620,'Mapa Oficinas'!$A$7:$C$46,3,FALSE)</f>
        <v>San Lorenzo Chico</v>
      </c>
    </row>
    <row r="621" spans="1:19" x14ac:dyDescent="0.2">
      <c r="A621" s="1">
        <v>45790</v>
      </c>
      <c r="B621" t="s">
        <v>6791</v>
      </c>
      <c r="D621" t="s">
        <v>6792</v>
      </c>
      <c r="E621" t="s">
        <v>16</v>
      </c>
      <c r="F621" t="s">
        <v>82</v>
      </c>
      <c r="G621" s="14">
        <v>85000</v>
      </c>
      <c r="H621" s="14">
        <v>78000</v>
      </c>
      <c r="I621" t="s">
        <v>22</v>
      </c>
      <c r="J621" t="s">
        <v>22</v>
      </c>
      <c r="K621" t="s">
        <v>6793</v>
      </c>
      <c r="L621" t="s">
        <v>5894</v>
      </c>
      <c r="M621" t="s">
        <v>97</v>
      </c>
      <c r="N621">
        <v>2</v>
      </c>
      <c r="O621" t="s">
        <v>367</v>
      </c>
      <c r="P621" t="s">
        <v>21</v>
      </c>
      <c r="Q621" t="s">
        <v>30</v>
      </c>
      <c r="R621" t="str">
        <f>VLOOKUP($O621,'Mapa Oficinas'!$A$7:$C$46,2,FALSE)</f>
        <v>Interior - Neuquén</v>
      </c>
      <c r="S621" t="str">
        <f>VLOOKUP($O621,'Mapa Oficinas'!$A$7:$C$46,3,FALSE)</f>
        <v>San Martín de los Andes</v>
      </c>
    </row>
    <row r="622" spans="1:19" x14ac:dyDescent="0.2">
      <c r="A622" s="1">
        <v>45790</v>
      </c>
      <c r="D622" t="s">
        <v>6797</v>
      </c>
      <c r="E622" t="s">
        <v>16</v>
      </c>
      <c r="F622" t="s">
        <v>82</v>
      </c>
      <c r="G622" s="14">
        <v>84000</v>
      </c>
      <c r="H622" s="14">
        <v>84000</v>
      </c>
      <c r="I622" t="s">
        <v>22</v>
      </c>
      <c r="J622" t="s">
        <v>22</v>
      </c>
      <c r="L622" t="s">
        <v>5963</v>
      </c>
      <c r="M622" t="s">
        <v>97</v>
      </c>
      <c r="N622">
        <v>1</v>
      </c>
      <c r="O622" t="s">
        <v>367</v>
      </c>
      <c r="P622" t="s">
        <v>131</v>
      </c>
      <c r="Q622" t="s">
        <v>30</v>
      </c>
      <c r="R622" t="str">
        <f>VLOOKUP($O622,'Mapa Oficinas'!$A$7:$C$46,2,FALSE)</f>
        <v>Interior - Neuquén</v>
      </c>
      <c r="S622" t="str">
        <f>VLOOKUP($O622,'Mapa Oficinas'!$A$7:$C$46,3,FALSE)</f>
        <v>San Martín de los Andes</v>
      </c>
    </row>
    <row r="623" spans="1:19" x14ac:dyDescent="0.2">
      <c r="A623" s="1">
        <v>45790</v>
      </c>
      <c r="B623" t="s">
        <v>6798</v>
      </c>
      <c r="D623" t="s">
        <v>6799</v>
      </c>
      <c r="E623" t="s">
        <v>16</v>
      </c>
      <c r="F623" t="s">
        <v>134</v>
      </c>
      <c r="G623" s="14">
        <v>88000</v>
      </c>
      <c r="H623" s="14">
        <v>88000</v>
      </c>
      <c r="I623" t="s">
        <v>22</v>
      </c>
      <c r="J623" t="s">
        <v>22</v>
      </c>
      <c r="K623" t="s">
        <v>6799</v>
      </c>
      <c r="L623" t="s">
        <v>129</v>
      </c>
      <c r="M623" t="s">
        <v>97</v>
      </c>
      <c r="N623">
        <v>1</v>
      </c>
      <c r="O623" t="s">
        <v>130</v>
      </c>
      <c r="P623" t="s">
        <v>131</v>
      </c>
      <c r="Q623" t="s">
        <v>30</v>
      </c>
      <c r="R623" t="str">
        <f>VLOOKUP($O623,'Mapa Oficinas'!$A$7:$C$46,2,FALSE)</f>
        <v>Interior - Río Negro</v>
      </c>
      <c r="S623" t="str">
        <f>VLOOKUP($O623,'Mapa Oficinas'!$A$7:$C$46,3,FALSE)</f>
        <v>Bariloche</v>
      </c>
    </row>
    <row r="624" spans="1:19" x14ac:dyDescent="0.2">
      <c r="A624" s="1">
        <v>45790</v>
      </c>
      <c r="B624" t="s">
        <v>6774</v>
      </c>
      <c r="D624" t="s">
        <v>6775</v>
      </c>
      <c r="E624" t="s">
        <v>16</v>
      </c>
      <c r="F624" t="s">
        <v>17</v>
      </c>
      <c r="G624" s="14">
        <v>245000</v>
      </c>
      <c r="H624" s="14">
        <v>230000</v>
      </c>
      <c r="I624" t="s">
        <v>22</v>
      </c>
      <c r="J624" t="s">
        <v>22</v>
      </c>
      <c r="K624" t="s">
        <v>6776</v>
      </c>
      <c r="L624" t="s">
        <v>503</v>
      </c>
      <c r="M624" t="s">
        <v>19</v>
      </c>
      <c r="N624">
        <v>2</v>
      </c>
      <c r="O624" t="s">
        <v>103</v>
      </c>
      <c r="P624" t="s">
        <v>21</v>
      </c>
      <c r="Q624" t="s">
        <v>30</v>
      </c>
      <c r="R624" t="str">
        <f>VLOOKUP($O624,'Mapa Oficinas'!$A$7:$C$46,2,FALSE)</f>
        <v>CABA</v>
      </c>
      <c r="S624" t="str">
        <f>VLOOKUP($O624,'Mapa Oficinas'!$A$7:$C$46,3,FALSE)</f>
        <v>Barrio Parque</v>
      </c>
    </row>
    <row r="625" spans="1:19" x14ac:dyDescent="0.2">
      <c r="A625" s="1">
        <v>45790</v>
      </c>
      <c r="B625" t="s">
        <v>6771</v>
      </c>
      <c r="D625" t="s">
        <v>6772</v>
      </c>
      <c r="E625" t="s">
        <v>16</v>
      </c>
      <c r="F625" t="s">
        <v>17</v>
      </c>
      <c r="G625" s="14">
        <v>389000</v>
      </c>
      <c r="H625" s="14">
        <v>350000</v>
      </c>
      <c r="I625" t="s">
        <v>22</v>
      </c>
      <c r="J625" t="s">
        <v>22</v>
      </c>
      <c r="K625" t="s">
        <v>6773</v>
      </c>
      <c r="L625" t="s">
        <v>1719</v>
      </c>
      <c r="M625" t="s">
        <v>28</v>
      </c>
      <c r="N625">
        <v>2</v>
      </c>
      <c r="O625" t="s">
        <v>50</v>
      </c>
      <c r="P625" t="s">
        <v>21</v>
      </c>
      <c r="Q625" t="s">
        <v>30</v>
      </c>
      <c r="R625" t="str">
        <f>VLOOKUP($O625,'Mapa Oficinas'!$A$7:$C$46,2,FALSE)</f>
        <v>CABA</v>
      </c>
      <c r="S625" t="str">
        <f>VLOOKUP($O625,'Mapa Oficinas'!$A$7:$C$46,3,FALSE)</f>
        <v>Villa Urquiza</v>
      </c>
    </row>
    <row r="626" spans="1:19" x14ac:dyDescent="0.2">
      <c r="A626" s="1">
        <v>45790</v>
      </c>
      <c r="B626" t="s">
        <v>6784</v>
      </c>
      <c r="D626" t="s">
        <v>6785</v>
      </c>
      <c r="E626" t="s">
        <v>16</v>
      </c>
      <c r="F626" t="s">
        <v>17</v>
      </c>
      <c r="G626" s="14">
        <v>360000</v>
      </c>
      <c r="H626" s="14">
        <v>350000</v>
      </c>
      <c r="I626" t="s">
        <v>22</v>
      </c>
      <c r="J626" t="s">
        <v>22</v>
      </c>
      <c r="K626" t="s">
        <v>6786</v>
      </c>
      <c r="L626" t="s">
        <v>569</v>
      </c>
      <c r="M626" t="s">
        <v>28</v>
      </c>
      <c r="N626">
        <v>2</v>
      </c>
      <c r="O626" t="s">
        <v>116</v>
      </c>
      <c r="P626" t="s">
        <v>276</v>
      </c>
      <c r="Q626" t="s">
        <v>30</v>
      </c>
      <c r="R626" t="str">
        <f>VLOOKUP($O626,'Mapa Oficinas'!$A$7:$C$46,2,FALSE)</f>
        <v>CABA</v>
      </c>
      <c r="S626" t="str">
        <f>VLOOKUP($O626,'Mapa Oficinas'!$A$7:$C$46,3,FALSE)</f>
        <v>Puerto Madero</v>
      </c>
    </row>
    <row r="627" spans="1:19" x14ac:dyDescent="0.2">
      <c r="A627" s="1">
        <v>45790</v>
      </c>
      <c r="B627" t="s">
        <v>6800</v>
      </c>
      <c r="D627" t="s">
        <v>6801</v>
      </c>
      <c r="E627" t="s">
        <v>16</v>
      </c>
      <c r="F627" t="s">
        <v>17</v>
      </c>
      <c r="G627" s="14">
        <v>410000</v>
      </c>
      <c r="H627" s="14">
        <v>390000</v>
      </c>
      <c r="I627" t="s">
        <v>22</v>
      </c>
      <c r="J627" t="s">
        <v>22</v>
      </c>
      <c r="K627" t="s">
        <v>6802</v>
      </c>
      <c r="L627" t="s">
        <v>6803</v>
      </c>
      <c r="M627" t="s">
        <v>19</v>
      </c>
      <c r="N627">
        <v>2</v>
      </c>
      <c r="O627" t="s">
        <v>206</v>
      </c>
      <c r="P627" t="s">
        <v>21</v>
      </c>
      <c r="Q627" t="s">
        <v>30</v>
      </c>
      <c r="R627" t="str">
        <f>VLOOKUP($O627,'Mapa Oficinas'!$A$7:$C$46,2,FALSE)</f>
        <v>CABA</v>
      </c>
      <c r="S627" t="str">
        <f>VLOOKUP($O627,'Mapa Oficinas'!$A$7:$C$46,3,FALSE)</f>
        <v>Belgrano</v>
      </c>
    </row>
    <row r="628" spans="1:19" x14ac:dyDescent="0.2">
      <c r="A628" s="1">
        <v>45791</v>
      </c>
      <c r="B628" t="s">
        <v>6759</v>
      </c>
      <c r="D628" t="s">
        <v>6760</v>
      </c>
      <c r="E628" t="s">
        <v>16</v>
      </c>
      <c r="F628" t="s">
        <v>17</v>
      </c>
      <c r="G628" s="14">
        <v>39000</v>
      </c>
      <c r="H628" s="14">
        <v>38000</v>
      </c>
      <c r="I628" t="s">
        <v>22</v>
      </c>
      <c r="J628" t="s">
        <v>22</v>
      </c>
      <c r="K628" t="s">
        <v>6761</v>
      </c>
      <c r="L628" t="s">
        <v>221</v>
      </c>
      <c r="M628" t="s">
        <v>19</v>
      </c>
      <c r="N628">
        <v>2</v>
      </c>
      <c r="O628" t="s">
        <v>103</v>
      </c>
      <c r="P628" t="s">
        <v>21</v>
      </c>
      <c r="Q628" t="s">
        <v>30</v>
      </c>
      <c r="R628" t="str">
        <f>VLOOKUP($O628,'Mapa Oficinas'!$A$7:$C$46,2,FALSE)</f>
        <v>CABA</v>
      </c>
      <c r="S628" t="str">
        <f>VLOOKUP($O628,'Mapa Oficinas'!$A$7:$C$46,3,FALSE)</f>
        <v>Barrio Parque</v>
      </c>
    </row>
    <row r="629" spans="1:19" x14ac:dyDescent="0.2">
      <c r="A629" s="1">
        <v>45791</v>
      </c>
      <c r="B629" t="s">
        <v>6736</v>
      </c>
      <c r="D629" t="s">
        <v>6737</v>
      </c>
      <c r="E629" t="s">
        <v>16</v>
      </c>
      <c r="F629" t="s">
        <v>17</v>
      </c>
      <c r="G629" s="14">
        <v>54900</v>
      </c>
      <c r="H629" s="14">
        <v>53000</v>
      </c>
      <c r="I629" t="s">
        <v>22</v>
      </c>
      <c r="J629" t="s">
        <v>22</v>
      </c>
      <c r="K629" t="s">
        <v>6738</v>
      </c>
      <c r="L629" t="s">
        <v>4609</v>
      </c>
      <c r="M629" t="s">
        <v>19</v>
      </c>
      <c r="N629">
        <v>2</v>
      </c>
      <c r="O629" t="s">
        <v>103</v>
      </c>
      <c r="P629" t="s">
        <v>21</v>
      </c>
      <c r="Q629" t="s">
        <v>30</v>
      </c>
      <c r="R629" t="str">
        <f>VLOOKUP($O629,'Mapa Oficinas'!$A$7:$C$46,2,FALSE)</f>
        <v>CABA</v>
      </c>
      <c r="S629" t="str">
        <f>VLOOKUP($O629,'Mapa Oficinas'!$A$7:$C$46,3,FALSE)</f>
        <v>Barrio Parque</v>
      </c>
    </row>
    <row r="630" spans="1:19" x14ac:dyDescent="0.2">
      <c r="A630" s="1">
        <v>45791</v>
      </c>
      <c r="B630" t="s">
        <v>6742</v>
      </c>
      <c r="D630" t="s">
        <v>6743</v>
      </c>
      <c r="E630" t="s">
        <v>16</v>
      </c>
      <c r="F630" t="s">
        <v>53</v>
      </c>
      <c r="G630" s="14">
        <v>70000</v>
      </c>
      <c r="H630" s="14">
        <v>70000</v>
      </c>
      <c r="I630" t="s">
        <v>22</v>
      </c>
      <c r="J630" t="s">
        <v>22</v>
      </c>
      <c r="K630" t="s">
        <v>6744</v>
      </c>
      <c r="L630" t="s">
        <v>6745</v>
      </c>
      <c r="M630" t="s">
        <v>28</v>
      </c>
      <c r="N630">
        <v>2</v>
      </c>
      <c r="O630" t="s">
        <v>85</v>
      </c>
      <c r="P630" t="s">
        <v>21</v>
      </c>
      <c r="Q630" t="s">
        <v>30</v>
      </c>
      <c r="R630" t="str">
        <f>VLOOKUP($O630,'Mapa Oficinas'!$A$7:$C$46,2,FALSE)</f>
        <v>Interior - Jujuy</v>
      </c>
      <c r="S630" t="str">
        <f>VLOOKUP($O630,'Mapa Oficinas'!$A$7:$C$46,3,FALSE)</f>
        <v>Capital Jujuy</v>
      </c>
    </row>
    <row r="631" spans="1:19" x14ac:dyDescent="0.2">
      <c r="A631" s="1">
        <v>45791</v>
      </c>
      <c r="B631" t="s">
        <v>6753</v>
      </c>
      <c r="D631" t="s">
        <v>6754</v>
      </c>
      <c r="E631" t="s">
        <v>16</v>
      </c>
      <c r="F631" t="s">
        <v>17</v>
      </c>
      <c r="G631" s="14">
        <v>550000</v>
      </c>
      <c r="H631" s="14">
        <v>83000</v>
      </c>
      <c r="I631" t="s">
        <v>22</v>
      </c>
      <c r="J631" t="s">
        <v>18</v>
      </c>
      <c r="K631" t="s">
        <v>6755</v>
      </c>
      <c r="L631" t="s">
        <v>6756</v>
      </c>
      <c r="M631" t="s">
        <v>19</v>
      </c>
      <c r="N631">
        <v>2</v>
      </c>
      <c r="O631" t="s">
        <v>142</v>
      </c>
      <c r="P631" t="s">
        <v>21</v>
      </c>
      <c r="Q631" t="s">
        <v>30</v>
      </c>
      <c r="R631" t="str">
        <f>VLOOKUP($O631,'Mapa Oficinas'!$A$7:$C$46,2,FALSE)</f>
        <v>Zona Norte (GBA)</v>
      </c>
      <c r="S631" t="str">
        <f>VLOOKUP($O631,'Mapa Oficinas'!$A$7:$C$46,3,FALSE)</f>
        <v>Nordelta</v>
      </c>
    </row>
    <row r="632" spans="1:19" x14ac:dyDescent="0.2">
      <c r="A632" s="1">
        <v>45791</v>
      </c>
      <c r="B632" t="s">
        <v>6764</v>
      </c>
      <c r="D632" t="s">
        <v>6765</v>
      </c>
      <c r="E632" t="s">
        <v>16</v>
      </c>
      <c r="F632" t="s">
        <v>38</v>
      </c>
      <c r="G632" s="14">
        <v>120000</v>
      </c>
      <c r="H632" s="14">
        <v>120000</v>
      </c>
      <c r="I632" t="s">
        <v>22</v>
      </c>
      <c r="J632" t="s">
        <v>22</v>
      </c>
      <c r="K632" t="s">
        <v>6766</v>
      </c>
      <c r="L632" t="s">
        <v>449</v>
      </c>
      <c r="M632" t="s">
        <v>97</v>
      </c>
      <c r="N632">
        <v>2</v>
      </c>
      <c r="O632" t="s">
        <v>367</v>
      </c>
      <c r="P632" t="s">
        <v>44</v>
      </c>
      <c r="Q632" t="s">
        <v>30</v>
      </c>
      <c r="R632" t="str">
        <f>VLOOKUP($O632,'Mapa Oficinas'!$A$7:$C$46,2,FALSE)</f>
        <v>Interior - Neuquén</v>
      </c>
      <c r="S632" t="str">
        <f>VLOOKUP($O632,'Mapa Oficinas'!$A$7:$C$46,3,FALSE)</f>
        <v>San Martín de los Andes</v>
      </c>
    </row>
    <row r="633" spans="1:19" x14ac:dyDescent="0.2">
      <c r="A633" s="1">
        <v>45791</v>
      </c>
      <c r="B633" t="s">
        <v>6746</v>
      </c>
      <c r="D633" t="s">
        <v>6747</v>
      </c>
      <c r="E633" t="s">
        <v>16</v>
      </c>
      <c r="F633" t="s">
        <v>17</v>
      </c>
      <c r="G633" s="14">
        <v>129000</v>
      </c>
      <c r="H633" s="14">
        <v>123000</v>
      </c>
      <c r="I633" t="s">
        <v>22</v>
      </c>
      <c r="J633" t="s">
        <v>22</v>
      </c>
      <c r="K633" t="s">
        <v>6748</v>
      </c>
      <c r="L633" t="s">
        <v>102</v>
      </c>
      <c r="M633" t="s">
        <v>19</v>
      </c>
      <c r="N633">
        <v>2</v>
      </c>
      <c r="O633" t="s">
        <v>103</v>
      </c>
      <c r="P633" t="s">
        <v>21</v>
      </c>
      <c r="Q633" t="s">
        <v>30</v>
      </c>
      <c r="R633" t="str">
        <f>VLOOKUP($O633,'Mapa Oficinas'!$A$7:$C$46,2,FALSE)</f>
        <v>CABA</v>
      </c>
      <c r="S633" t="str">
        <f>VLOOKUP($O633,'Mapa Oficinas'!$A$7:$C$46,3,FALSE)</f>
        <v>Barrio Parque</v>
      </c>
    </row>
    <row r="634" spans="1:19" x14ac:dyDescent="0.2">
      <c r="A634" s="1">
        <v>45791</v>
      </c>
      <c r="B634" t="s">
        <v>6739</v>
      </c>
      <c r="D634" t="s">
        <v>6740</v>
      </c>
      <c r="E634" t="s">
        <v>16</v>
      </c>
      <c r="F634" t="s">
        <v>17</v>
      </c>
      <c r="G634" s="14">
        <v>169900</v>
      </c>
      <c r="H634" s="14">
        <v>127000</v>
      </c>
      <c r="I634" t="s">
        <v>22</v>
      </c>
      <c r="J634" t="s">
        <v>22</v>
      </c>
      <c r="K634" t="s">
        <v>6741</v>
      </c>
      <c r="L634" t="s">
        <v>3440</v>
      </c>
      <c r="M634" t="s">
        <v>28</v>
      </c>
      <c r="N634">
        <v>2</v>
      </c>
      <c r="O634" t="s">
        <v>103</v>
      </c>
      <c r="P634" t="s">
        <v>21</v>
      </c>
      <c r="Q634" t="s">
        <v>30</v>
      </c>
      <c r="R634" t="str">
        <f>VLOOKUP($O634,'Mapa Oficinas'!$A$7:$C$46,2,FALSE)</f>
        <v>CABA</v>
      </c>
      <c r="S634" t="str">
        <f>VLOOKUP($O634,'Mapa Oficinas'!$A$7:$C$46,3,FALSE)</f>
        <v>Barrio Parque</v>
      </c>
    </row>
    <row r="635" spans="1:19" x14ac:dyDescent="0.2">
      <c r="A635" s="1">
        <v>45791</v>
      </c>
      <c r="B635" t="s">
        <v>6749</v>
      </c>
      <c r="D635" t="s">
        <v>6750</v>
      </c>
      <c r="E635" t="s">
        <v>16</v>
      </c>
      <c r="F635" t="s">
        <v>17</v>
      </c>
      <c r="G635" s="14">
        <v>170000</v>
      </c>
      <c r="H635" s="14">
        <v>160000</v>
      </c>
      <c r="I635" t="s">
        <v>22</v>
      </c>
      <c r="J635" t="s">
        <v>22</v>
      </c>
      <c r="K635" t="s">
        <v>6751</v>
      </c>
      <c r="L635" t="s">
        <v>6752</v>
      </c>
      <c r="M635" t="s">
        <v>28</v>
      </c>
      <c r="N635">
        <v>2</v>
      </c>
      <c r="O635" t="s">
        <v>142</v>
      </c>
      <c r="P635" t="s">
        <v>21</v>
      </c>
      <c r="Q635" t="s">
        <v>30</v>
      </c>
      <c r="R635" t="str">
        <f>VLOOKUP($O635,'Mapa Oficinas'!$A$7:$C$46,2,FALSE)</f>
        <v>Zona Norte (GBA)</v>
      </c>
      <c r="S635" t="str">
        <f>VLOOKUP($O635,'Mapa Oficinas'!$A$7:$C$46,3,FALSE)</f>
        <v>Nordelta</v>
      </c>
    </row>
    <row r="636" spans="1:19" x14ac:dyDescent="0.2">
      <c r="A636" s="1">
        <v>45791</v>
      </c>
      <c r="D636" t="s">
        <v>6762</v>
      </c>
      <c r="E636" t="s">
        <v>16</v>
      </c>
      <c r="F636" t="s">
        <v>53</v>
      </c>
      <c r="G636" s="14">
        <v>167000</v>
      </c>
      <c r="H636" s="14">
        <v>167000</v>
      </c>
      <c r="I636" t="s">
        <v>22</v>
      </c>
      <c r="J636" t="s">
        <v>22</v>
      </c>
      <c r="K636" t="s">
        <v>6763</v>
      </c>
      <c r="L636" t="s">
        <v>5422</v>
      </c>
      <c r="M636" t="s">
        <v>19</v>
      </c>
      <c r="N636">
        <v>2</v>
      </c>
      <c r="O636" t="s">
        <v>98</v>
      </c>
      <c r="P636" t="s">
        <v>41</v>
      </c>
      <c r="Q636" t="s">
        <v>30</v>
      </c>
      <c r="R636" t="str">
        <f>VLOOKUP($O636,'Mapa Oficinas'!$A$7:$C$46,2,FALSE)</f>
        <v>Interior - Neuquén</v>
      </c>
      <c r="S636" t="str">
        <f>VLOOKUP($O636,'Mapa Oficinas'!$A$7:$C$46,3,FALSE)</f>
        <v>Villa La Angostura</v>
      </c>
    </row>
    <row r="637" spans="1:19" x14ac:dyDescent="0.2">
      <c r="A637" s="1">
        <v>45791</v>
      </c>
      <c r="B637" t="s">
        <v>2677</v>
      </c>
      <c r="D637" t="s">
        <v>2678</v>
      </c>
      <c r="E637" t="s">
        <v>16</v>
      </c>
      <c r="F637" t="s">
        <v>17</v>
      </c>
      <c r="G637" s="14">
        <v>325000</v>
      </c>
      <c r="H637" s="14">
        <v>330000</v>
      </c>
      <c r="I637" t="s">
        <v>22</v>
      </c>
      <c r="J637" t="s">
        <v>22</v>
      </c>
      <c r="K637" t="s">
        <v>2679</v>
      </c>
      <c r="L637" t="s">
        <v>1634</v>
      </c>
      <c r="M637" t="s">
        <v>19</v>
      </c>
      <c r="N637">
        <v>2</v>
      </c>
      <c r="O637" t="s">
        <v>20</v>
      </c>
      <c r="P637" t="s">
        <v>21</v>
      </c>
      <c r="Q637" t="s">
        <v>30</v>
      </c>
      <c r="R637" t="str">
        <f>VLOOKUP($O637,'Mapa Oficinas'!$A$7:$C$46,2,FALSE)</f>
        <v>CABA</v>
      </c>
      <c r="S637" t="str">
        <f>VLOOKUP($O637,'Mapa Oficinas'!$A$7:$C$46,3,FALSE)</f>
        <v>Palermo</v>
      </c>
    </row>
    <row r="638" spans="1:19" x14ac:dyDescent="0.2">
      <c r="A638" s="1">
        <v>45792</v>
      </c>
      <c r="D638" t="s">
        <v>6703</v>
      </c>
      <c r="E638" t="s">
        <v>16</v>
      </c>
      <c r="F638" t="s">
        <v>17</v>
      </c>
      <c r="G638" s="14">
        <v>38500</v>
      </c>
      <c r="H638" s="14">
        <v>38500</v>
      </c>
      <c r="I638" t="s">
        <v>22</v>
      </c>
      <c r="J638" t="s">
        <v>22</v>
      </c>
      <c r="K638" t="s">
        <v>6704</v>
      </c>
      <c r="L638" t="s">
        <v>79</v>
      </c>
      <c r="M638" t="s">
        <v>19</v>
      </c>
      <c r="N638">
        <v>1</v>
      </c>
      <c r="O638" t="s">
        <v>201</v>
      </c>
      <c r="P638" t="s">
        <v>146</v>
      </c>
      <c r="Q638" t="s">
        <v>30</v>
      </c>
      <c r="R638" t="str">
        <f>VLOOKUP($O638,'Mapa Oficinas'!$A$7:$C$46,2,FALSE)</f>
        <v>CABA</v>
      </c>
      <c r="S638" t="str">
        <f>VLOOKUP($O638,'Mapa Oficinas'!$A$7:$C$46,3,FALSE)</f>
        <v>Recoleta</v>
      </c>
    </row>
    <row r="639" spans="1:19" x14ac:dyDescent="0.2">
      <c r="A639" s="1">
        <v>45792</v>
      </c>
      <c r="B639" t="s">
        <v>6709</v>
      </c>
      <c r="D639" t="s">
        <v>6710</v>
      </c>
      <c r="E639" t="s">
        <v>16</v>
      </c>
      <c r="F639" t="s">
        <v>17</v>
      </c>
      <c r="G639" s="14">
        <v>52000</v>
      </c>
      <c r="H639" s="14">
        <v>45000</v>
      </c>
      <c r="I639" t="s">
        <v>22</v>
      </c>
      <c r="J639" t="s">
        <v>22</v>
      </c>
      <c r="K639" t="s">
        <v>6711</v>
      </c>
      <c r="L639" t="s">
        <v>429</v>
      </c>
      <c r="M639" t="s">
        <v>19</v>
      </c>
      <c r="N639">
        <v>2</v>
      </c>
      <c r="O639" t="s">
        <v>35</v>
      </c>
      <c r="P639" t="s">
        <v>21</v>
      </c>
      <c r="Q639" t="s">
        <v>30</v>
      </c>
      <c r="R639" t="str">
        <f>VLOOKUP($O639,'Mapa Oficinas'!$A$7:$C$46,2,FALSE)</f>
        <v>Zona Norte (GBA)</v>
      </c>
      <c r="S639" t="str">
        <f>VLOOKUP($O639,'Mapa Oficinas'!$A$7:$C$46,3,FALSE)</f>
        <v>Vicente López</v>
      </c>
    </row>
    <row r="640" spans="1:19" x14ac:dyDescent="0.2">
      <c r="A640" s="1">
        <v>45792</v>
      </c>
      <c r="B640" t="s">
        <v>6071</v>
      </c>
      <c r="D640" t="s">
        <v>6072</v>
      </c>
      <c r="E640" t="s">
        <v>16</v>
      </c>
      <c r="F640" t="s">
        <v>38</v>
      </c>
      <c r="G640" s="14">
        <v>63000</v>
      </c>
      <c r="H640" s="14">
        <v>62000</v>
      </c>
      <c r="I640" t="s">
        <v>22</v>
      </c>
      <c r="J640" t="s">
        <v>22</v>
      </c>
      <c r="K640" t="s">
        <v>6073</v>
      </c>
      <c r="L640" t="s">
        <v>5752</v>
      </c>
      <c r="M640" t="s">
        <v>19</v>
      </c>
      <c r="N640">
        <v>2</v>
      </c>
      <c r="O640" t="s">
        <v>171</v>
      </c>
      <c r="P640" t="s">
        <v>1578</v>
      </c>
      <c r="Q640" t="s">
        <v>30</v>
      </c>
      <c r="R640" t="str">
        <f>VLOOKUP($O640,'Mapa Oficinas'!$A$7:$C$46,2,FALSE)</f>
        <v>Zona Sur (GBA)</v>
      </c>
      <c r="S640" t="str">
        <f>VLOOKUP($O640,'Mapa Oficinas'!$A$7:$C$46,3,FALSE)</f>
        <v>La Plata</v>
      </c>
    </row>
    <row r="641" spans="1:19" x14ac:dyDescent="0.2">
      <c r="A641" s="1">
        <v>45792</v>
      </c>
      <c r="B641" t="s">
        <v>6728</v>
      </c>
      <c r="D641" t="s">
        <v>6729</v>
      </c>
      <c r="E641" t="s">
        <v>16</v>
      </c>
      <c r="F641" t="s">
        <v>17</v>
      </c>
      <c r="G641" s="14">
        <v>83000</v>
      </c>
      <c r="H641" s="14">
        <v>80000</v>
      </c>
      <c r="I641" t="s">
        <v>22</v>
      </c>
      <c r="J641" t="s">
        <v>22</v>
      </c>
      <c r="K641" t="s">
        <v>6730</v>
      </c>
      <c r="L641" t="s">
        <v>355</v>
      </c>
      <c r="M641" t="s">
        <v>19</v>
      </c>
      <c r="N641">
        <v>2</v>
      </c>
      <c r="O641" t="s">
        <v>65</v>
      </c>
      <c r="P641" t="s">
        <v>1578</v>
      </c>
      <c r="Q641" t="s">
        <v>30</v>
      </c>
      <c r="R641" t="str">
        <f>VLOOKUP($O641,'Mapa Oficinas'!$A$7:$C$46,2,FALSE)</f>
        <v>Interior - Mendoza</v>
      </c>
      <c r="S641" t="str">
        <f>VLOOKUP($O641,'Mapa Oficinas'!$A$7:$C$46,3,FALSE)</f>
        <v>Capital Mendoza</v>
      </c>
    </row>
    <row r="642" spans="1:19" x14ac:dyDescent="0.2">
      <c r="A642" s="1">
        <v>45792</v>
      </c>
      <c r="B642" t="s">
        <v>6712</v>
      </c>
      <c r="D642" t="s">
        <v>6713</v>
      </c>
      <c r="E642" t="s">
        <v>16</v>
      </c>
      <c r="F642" t="s">
        <v>17</v>
      </c>
      <c r="G642" s="14">
        <v>124500</v>
      </c>
      <c r="H642" s="14">
        <v>120000</v>
      </c>
      <c r="I642" t="s">
        <v>22</v>
      </c>
      <c r="J642" t="s">
        <v>22</v>
      </c>
      <c r="K642" t="s">
        <v>6714</v>
      </c>
      <c r="L642" t="s">
        <v>79</v>
      </c>
      <c r="M642" t="s">
        <v>19</v>
      </c>
      <c r="N642">
        <v>2</v>
      </c>
      <c r="O642" t="s">
        <v>50</v>
      </c>
      <c r="P642" t="s">
        <v>21</v>
      </c>
      <c r="Q642" t="s">
        <v>30</v>
      </c>
      <c r="R642" t="str">
        <f>VLOOKUP($O642,'Mapa Oficinas'!$A$7:$C$46,2,FALSE)</f>
        <v>CABA</v>
      </c>
      <c r="S642" t="str">
        <f>VLOOKUP($O642,'Mapa Oficinas'!$A$7:$C$46,3,FALSE)</f>
        <v>Villa Urquiza</v>
      </c>
    </row>
    <row r="643" spans="1:19" x14ac:dyDescent="0.2">
      <c r="A643" s="1">
        <v>45792</v>
      </c>
      <c r="B643" t="s">
        <v>6725</v>
      </c>
      <c r="D643" t="s">
        <v>6726</v>
      </c>
      <c r="E643" t="s">
        <v>16</v>
      </c>
      <c r="F643" t="s">
        <v>17</v>
      </c>
      <c r="G643" s="14">
        <v>135000</v>
      </c>
      <c r="H643" s="14">
        <v>135000</v>
      </c>
      <c r="I643" t="s">
        <v>22</v>
      </c>
      <c r="J643" t="s">
        <v>22</v>
      </c>
      <c r="K643" t="s">
        <v>6727</v>
      </c>
      <c r="L643" t="s">
        <v>2015</v>
      </c>
      <c r="M643" t="s">
        <v>97</v>
      </c>
      <c r="N643">
        <v>2</v>
      </c>
      <c r="O643" t="s">
        <v>65</v>
      </c>
      <c r="P643" t="s">
        <v>21</v>
      </c>
      <c r="Q643" t="s">
        <v>30</v>
      </c>
      <c r="R643" t="str">
        <f>VLOOKUP($O643,'Mapa Oficinas'!$A$7:$C$46,2,FALSE)</f>
        <v>Interior - Mendoza</v>
      </c>
      <c r="S643" t="str">
        <f>VLOOKUP($O643,'Mapa Oficinas'!$A$7:$C$46,3,FALSE)</f>
        <v>Capital Mendoza</v>
      </c>
    </row>
    <row r="644" spans="1:19" x14ac:dyDescent="0.2">
      <c r="A644" s="1">
        <v>45792</v>
      </c>
      <c r="B644" t="s">
        <v>6705</v>
      </c>
      <c r="D644" t="s">
        <v>6706</v>
      </c>
      <c r="E644" t="s">
        <v>16</v>
      </c>
      <c r="F644" t="s">
        <v>17</v>
      </c>
      <c r="G644" s="14">
        <v>154900</v>
      </c>
      <c r="H644" s="14">
        <v>145000</v>
      </c>
      <c r="I644" t="s">
        <v>22</v>
      </c>
      <c r="J644" t="s">
        <v>22</v>
      </c>
      <c r="K644" t="s">
        <v>6707</v>
      </c>
      <c r="L644" t="s">
        <v>6708</v>
      </c>
      <c r="M644" t="s">
        <v>28</v>
      </c>
      <c r="N644">
        <v>2</v>
      </c>
      <c r="O644" t="s">
        <v>103</v>
      </c>
      <c r="P644" t="s">
        <v>276</v>
      </c>
      <c r="Q644" t="s">
        <v>30</v>
      </c>
      <c r="R644" t="str">
        <f>VLOOKUP($O644,'Mapa Oficinas'!$A$7:$C$46,2,FALSE)</f>
        <v>CABA</v>
      </c>
      <c r="S644" t="str">
        <f>VLOOKUP($O644,'Mapa Oficinas'!$A$7:$C$46,3,FALSE)</f>
        <v>Barrio Parque</v>
      </c>
    </row>
    <row r="645" spans="1:19" x14ac:dyDescent="0.2">
      <c r="A645" s="1">
        <v>45792</v>
      </c>
      <c r="B645">
        <v>1</v>
      </c>
      <c r="D645" t="s">
        <v>6731</v>
      </c>
      <c r="E645" t="s">
        <v>16</v>
      </c>
      <c r="F645" t="s">
        <v>134</v>
      </c>
      <c r="G645" s="14">
        <v>161000</v>
      </c>
      <c r="H645" s="14">
        <v>161000</v>
      </c>
      <c r="I645" t="s">
        <v>22</v>
      </c>
      <c r="J645" t="s">
        <v>22</v>
      </c>
      <c r="K645" t="s">
        <v>6732</v>
      </c>
      <c r="L645" t="s">
        <v>226</v>
      </c>
      <c r="M645" t="s">
        <v>19</v>
      </c>
      <c r="N645">
        <v>1</v>
      </c>
      <c r="O645" t="s">
        <v>116</v>
      </c>
      <c r="P645" t="s">
        <v>146</v>
      </c>
      <c r="Q645" t="s">
        <v>30</v>
      </c>
      <c r="R645" t="str">
        <f>VLOOKUP($O645,'Mapa Oficinas'!$A$7:$C$46,2,FALSE)</f>
        <v>CABA</v>
      </c>
      <c r="S645" t="str">
        <f>VLOOKUP($O645,'Mapa Oficinas'!$A$7:$C$46,3,FALSE)</f>
        <v>Puerto Madero</v>
      </c>
    </row>
    <row r="646" spans="1:19" x14ac:dyDescent="0.2">
      <c r="A646" s="1">
        <v>45792</v>
      </c>
      <c r="B646" t="s">
        <v>6719</v>
      </c>
      <c r="D646" t="s">
        <v>6720</v>
      </c>
      <c r="E646" t="s">
        <v>16</v>
      </c>
      <c r="F646" t="s">
        <v>17</v>
      </c>
      <c r="G646" s="14">
        <v>330000</v>
      </c>
      <c r="H646" s="14">
        <v>330000</v>
      </c>
      <c r="I646" t="s">
        <v>22</v>
      </c>
      <c r="J646" t="s">
        <v>22</v>
      </c>
      <c r="K646" t="s">
        <v>6487</v>
      </c>
      <c r="L646" t="s">
        <v>2132</v>
      </c>
      <c r="M646" t="s">
        <v>19</v>
      </c>
      <c r="N646">
        <v>2</v>
      </c>
      <c r="O646" t="s">
        <v>142</v>
      </c>
      <c r="P646" t="s">
        <v>41</v>
      </c>
      <c r="Q646" t="s">
        <v>30</v>
      </c>
      <c r="R646" t="str">
        <f>VLOOKUP($O646,'Mapa Oficinas'!$A$7:$C$46,2,FALSE)</f>
        <v>Zona Norte (GBA)</v>
      </c>
      <c r="S646" t="str">
        <f>VLOOKUP($O646,'Mapa Oficinas'!$A$7:$C$46,3,FALSE)</f>
        <v>Nordelta</v>
      </c>
    </row>
    <row r="647" spans="1:19" x14ac:dyDescent="0.2">
      <c r="A647" s="1">
        <v>45793</v>
      </c>
      <c r="B647" t="s">
        <v>6683</v>
      </c>
      <c r="D647" t="s">
        <v>6684</v>
      </c>
      <c r="E647" t="s">
        <v>16</v>
      </c>
      <c r="F647" t="s">
        <v>17</v>
      </c>
      <c r="G647" s="14">
        <v>50000</v>
      </c>
      <c r="H647" s="14">
        <v>46000</v>
      </c>
      <c r="I647" t="s">
        <v>22</v>
      </c>
      <c r="J647" t="s">
        <v>22</v>
      </c>
      <c r="K647" t="s">
        <v>6685</v>
      </c>
      <c r="L647" t="s">
        <v>3060</v>
      </c>
      <c r="M647" t="s">
        <v>28</v>
      </c>
      <c r="N647">
        <v>2</v>
      </c>
      <c r="O647" t="s">
        <v>227</v>
      </c>
      <c r="P647" t="s">
        <v>21</v>
      </c>
      <c r="Q647" t="s">
        <v>30</v>
      </c>
      <c r="R647" t="str">
        <f>VLOOKUP($O647,'Mapa Oficinas'!$A$7:$C$46,2,FALSE)</f>
        <v>Zona Oeste (GBA)</v>
      </c>
      <c r="S647" t="str">
        <f>VLOOKUP($O647,'Mapa Oficinas'!$A$7:$C$46,3,FALSE)</f>
        <v>Parque Leloir</v>
      </c>
    </row>
    <row r="648" spans="1:19" x14ac:dyDescent="0.2">
      <c r="A648" s="1">
        <v>45793</v>
      </c>
      <c r="B648" t="s">
        <v>6698</v>
      </c>
      <c r="D648" t="s">
        <v>6699</v>
      </c>
      <c r="E648" t="s">
        <v>16</v>
      </c>
      <c r="F648" t="s">
        <v>82</v>
      </c>
      <c r="G648" s="14">
        <v>95000</v>
      </c>
      <c r="H648" s="14">
        <v>93000</v>
      </c>
      <c r="I648" t="s">
        <v>22</v>
      </c>
      <c r="J648" t="s">
        <v>22</v>
      </c>
      <c r="K648" t="s">
        <v>6700</v>
      </c>
      <c r="L648" t="s">
        <v>366</v>
      </c>
      <c r="M648" t="s">
        <v>19</v>
      </c>
      <c r="N648">
        <v>2</v>
      </c>
      <c r="O648" t="s">
        <v>367</v>
      </c>
      <c r="P648" t="s">
        <v>41</v>
      </c>
      <c r="Q648" t="s">
        <v>30</v>
      </c>
      <c r="R648" t="str">
        <f>VLOOKUP($O648,'Mapa Oficinas'!$A$7:$C$46,2,FALSE)</f>
        <v>Interior - Neuquén</v>
      </c>
      <c r="S648" t="str">
        <f>VLOOKUP($O648,'Mapa Oficinas'!$A$7:$C$46,3,FALSE)</f>
        <v>San Martín de los Andes</v>
      </c>
    </row>
    <row r="649" spans="1:19" x14ac:dyDescent="0.2">
      <c r="A649" s="1">
        <v>45793</v>
      </c>
      <c r="B649" t="s">
        <v>6686</v>
      </c>
      <c r="D649" t="s">
        <v>6687</v>
      </c>
      <c r="E649" t="s">
        <v>16</v>
      </c>
      <c r="F649" t="s">
        <v>82</v>
      </c>
      <c r="G649" s="14">
        <v>150000</v>
      </c>
      <c r="H649" s="14">
        <v>150000</v>
      </c>
      <c r="I649" t="s">
        <v>22</v>
      </c>
      <c r="J649" t="s">
        <v>22</v>
      </c>
      <c r="K649" t="s">
        <v>6688</v>
      </c>
      <c r="L649" t="s">
        <v>4934</v>
      </c>
      <c r="M649" t="s">
        <v>28</v>
      </c>
      <c r="N649">
        <v>2</v>
      </c>
      <c r="O649" t="s">
        <v>29</v>
      </c>
      <c r="P649" t="s">
        <v>21</v>
      </c>
      <c r="Q649" t="s">
        <v>30</v>
      </c>
      <c r="R649" t="str">
        <f>VLOOKUP($O649,'Mapa Oficinas'!$A$7:$C$46,2,FALSE)</f>
        <v>CABA</v>
      </c>
      <c r="S649" t="str">
        <f>VLOOKUP($O649,'Mapa Oficinas'!$A$7:$C$46,3,FALSE)</f>
        <v>Núñez</v>
      </c>
    </row>
    <row r="650" spans="1:19" x14ac:dyDescent="0.2">
      <c r="A650" s="1">
        <v>45793</v>
      </c>
      <c r="B650" t="s">
        <v>6689</v>
      </c>
      <c r="D650" t="s">
        <v>6690</v>
      </c>
      <c r="E650" t="s">
        <v>16</v>
      </c>
      <c r="F650" t="s">
        <v>58</v>
      </c>
      <c r="G650" s="14">
        <v>179000</v>
      </c>
      <c r="H650" s="14">
        <v>173000</v>
      </c>
      <c r="I650" t="s">
        <v>22</v>
      </c>
      <c r="J650" t="s">
        <v>22</v>
      </c>
      <c r="K650" t="s">
        <v>6691</v>
      </c>
      <c r="L650" t="s">
        <v>111</v>
      </c>
      <c r="M650" t="s">
        <v>19</v>
      </c>
      <c r="N650">
        <v>2</v>
      </c>
      <c r="O650" t="s">
        <v>50</v>
      </c>
      <c r="P650" t="s">
        <v>21</v>
      </c>
      <c r="Q650" t="s">
        <v>30</v>
      </c>
      <c r="R650" t="str">
        <f>VLOOKUP($O650,'Mapa Oficinas'!$A$7:$C$46,2,FALSE)</f>
        <v>CABA</v>
      </c>
      <c r="S650" t="str">
        <f>VLOOKUP($O650,'Mapa Oficinas'!$A$7:$C$46,3,FALSE)</f>
        <v>Villa Urquiza</v>
      </c>
    </row>
    <row r="651" spans="1:19" x14ac:dyDescent="0.2">
      <c r="A651" s="1">
        <v>45793</v>
      </c>
      <c r="B651" t="s">
        <v>6695</v>
      </c>
      <c r="D651" t="s">
        <v>6696</v>
      </c>
      <c r="E651" t="s">
        <v>16</v>
      </c>
      <c r="F651" t="s">
        <v>58</v>
      </c>
      <c r="G651" s="14">
        <v>180000</v>
      </c>
      <c r="H651" s="14">
        <v>175000</v>
      </c>
      <c r="I651" t="s">
        <v>22</v>
      </c>
      <c r="J651" t="s">
        <v>22</v>
      </c>
      <c r="K651" t="s">
        <v>6697</v>
      </c>
      <c r="L651" t="s">
        <v>1090</v>
      </c>
      <c r="M651" t="s">
        <v>28</v>
      </c>
      <c r="N651">
        <v>2</v>
      </c>
      <c r="O651" t="s">
        <v>98</v>
      </c>
      <c r="P651" t="s">
        <v>21</v>
      </c>
      <c r="Q651" t="s">
        <v>30</v>
      </c>
      <c r="R651" t="str">
        <f>VLOOKUP($O651,'Mapa Oficinas'!$A$7:$C$46,2,FALSE)</f>
        <v>Interior - Neuquén</v>
      </c>
      <c r="S651" t="str">
        <f>VLOOKUP($O651,'Mapa Oficinas'!$A$7:$C$46,3,FALSE)</f>
        <v>Villa La Angostura</v>
      </c>
    </row>
    <row r="652" spans="1:19" x14ac:dyDescent="0.2">
      <c r="A652" s="1">
        <v>45793</v>
      </c>
      <c r="B652" t="s">
        <v>6701</v>
      </c>
      <c r="D652" t="s">
        <v>6702</v>
      </c>
      <c r="E652" t="s">
        <v>16</v>
      </c>
      <c r="F652" t="s">
        <v>17</v>
      </c>
      <c r="G652" s="14">
        <v>307000</v>
      </c>
      <c r="H652" s="14">
        <v>307000</v>
      </c>
      <c r="I652" t="s">
        <v>22</v>
      </c>
      <c r="J652" t="s">
        <v>22</v>
      </c>
      <c r="K652" t="s">
        <v>6702</v>
      </c>
      <c r="L652" t="s">
        <v>277</v>
      </c>
      <c r="M652" t="s">
        <v>19</v>
      </c>
      <c r="N652">
        <v>1</v>
      </c>
      <c r="O652" t="s">
        <v>20</v>
      </c>
      <c r="P652" t="s">
        <v>146</v>
      </c>
      <c r="Q652" t="s">
        <v>30</v>
      </c>
      <c r="R652" t="str">
        <f>VLOOKUP($O652,'Mapa Oficinas'!$A$7:$C$46,2,FALSE)</f>
        <v>CABA</v>
      </c>
      <c r="S652" t="str">
        <f>VLOOKUP($O652,'Mapa Oficinas'!$A$7:$C$46,3,FALSE)</f>
        <v>Palermo</v>
      </c>
    </row>
    <row r="653" spans="1:19" x14ac:dyDescent="0.2">
      <c r="A653" s="1">
        <v>45793</v>
      </c>
      <c r="B653" t="s">
        <v>6692</v>
      </c>
      <c r="D653" t="s">
        <v>6693</v>
      </c>
      <c r="E653" t="s">
        <v>16</v>
      </c>
      <c r="F653" t="s">
        <v>17</v>
      </c>
      <c r="G653" s="14">
        <v>390000</v>
      </c>
      <c r="H653" s="14">
        <v>400000</v>
      </c>
      <c r="I653" t="s">
        <v>22</v>
      </c>
      <c r="J653" t="s">
        <v>22</v>
      </c>
      <c r="K653" t="s">
        <v>6694</v>
      </c>
      <c r="L653" t="s">
        <v>117</v>
      </c>
      <c r="M653" t="s">
        <v>19</v>
      </c>
      <c r="N653">
        <v>2</v>
      </c>
      <c r="O653" t="s">
        <v>73</v>
      </c>
      <c r="P653" t="s">
        <v>21</v>
      </c>
      <c r="Q653" t="s">
        <v>30</v>
      </c>
      <c r="R653" t="str">
        <f>VLOOKUP($O653,'Mapa Oficinas'!$A$7:$C$46,2,FALSE)</f>
        <v>CABA</v>
      </c>
      <c r="S653" t="str">
        <f>VLOOKUP($O653,'Mapa Oficinas'!$A$7:$C$46,3,FALSE)</f>
        <v>Recoleta</v>
      </c>
    </row>
    <row r="654" spans="1:19" x14ac:dyDescent="0.2">
      <c r="A654" s="1">
        <v>45796</v>
      </c>
      <c r="B654" t="s">
        <v>6656</v>
      </c>
      <c r="D654" t="s">
        <v>6657</v>
      </c>
      <c r="E654" t="s">
        <v>16</v>
      </c>
      <c r="F654" t="s">
        <v>17</v>
      </c>
      <c r="G654" s="14">
        <v>36000</v>
      </c>
      <c r="H654" s="14">
        <v>36000</v>
      </c>
      <c r="I654" t="s">
        <v>22</v>
      </c>
      <c r="J654" t="s">
        <v>22</v>
      </c>
      <c r="K654" t="s">
        <v>6658</v>
      </c>
      <c r="L654" t="s">
        <v>2298</v>
      </c>
      <c r="M654" t="s">
        <v>28</v>
      </c>
      <c r="N654">
        <v>2</v>
      </c>
      <c r="O654" t="s">
        <v>213</v>
      </c>
      <c r="P654" t="s">
        <v>41</v>
      </c>
      <c r="Q654" t="s">
        <v>30</v>
      </c>
      <c r="R654" t="str">
        <f>VLOOKUP($O654,'Mapa Oficinas'!$A$7:$C$46,2,FALSE)</f>
        <v>Interior - Mendoza</v>
      </c>
      <c r="S654" t="str">
        <f>VLOOKUP($O654,'Mapa Oficinas'!$A$7:$C$46,3,FALSE)</f>
        <v>San Rafael</v>
      </c>
    </row>
    <row r="655" spans="1:19" x14ac:dyDescent="0.2">
      <c r="A655" s="1">
        <v>45796</v>
      </c>
      <c r="B655" t="s">
        <v>6666</v>
      </c>
      <c r="D655" t="s">
        <v>6667</v>
      </c>
      <c r="E655" t="s">
        <v>16</v>
      </c>
      <c r="F655" t="s">
        <v>17</v>
      </c>
      <c r="G655" s="14">
        <v>79900</v>
      </c>
      <c r="H655" s="14">
        <v>73000</v>
      </c>
      <c r="I655" t="s">
        <v>22</v>
      </c>
      <c r="J655" t="s">
        <v>22</v>
      </c>
      <c r="K655" t="s">
        <v>6668</v>
      </c>
      <c r="L655" t="s">
        <v>1498</v>
      </c>
      <c r="M655" t="s">
        <v>19</v>
      </c>
      <c r="N655">
        <v>2</v>
      </c>
      <c r="O655" t="s">
        <v>50</v>
      </c>
      <c r="P655" t="s">
        <v>21</v>
      </c>
      <c r="Q655" t="s">
        <v>30</v>
      </c>
      <c r="R655" t="str">
        <f>VLOOKUP($O655,'Mapa Oficinas'!$A$7:$C$46,2,FALSE)</f>
        <v>CABA</v>
      </c>
      <c r="S655" t="str">
        <f>VLOOKUP($O655,'Mapa Oficinas'!$A$7:$C$46,3,FALSE)</f>
        <v>Villa Urquiza</v>
      </c>
    </row>
    <row r="656" spans="1:19" x14ac:dyDescent="0.2">
      <c r="A656" s="1">
        <v>45796</v>
      </c>
      <c r="B656" t="s">
        <v>6672</v>
      </c>
      <c r="D656" t="s">
        <v>6673</v>
      </c>
      <c r="E656" t="s">
        <v>16</v>
      </c>
      <c r="F656" t="s">
        <v>17</v>
      </c>
      <c r="G656" s="14">
        <v>80000</v>
      </c>
      <c r="H656" s="14">
        <v>74000</v>
      </c>
      <c r="I656" t="s">
        <v>22</v>
      </c>
      <c r="J656" t="s">
        <v>22</v>
      </c>
      <c r="K656" t="s">
        <v>6674</v>
      </c>
      <c r="L656" t="s">
        <v>821</v>
      </c>
      <c r="M656" t="s">
        <v>19</v>
      </c>
      <c r="N656">
        <v>2</v>
      </c>
      <c r="O656" t="s">
        <v>151</v>
      </c>
      <c r="P656" t="s">
        <v>21</v>
      </c>
      <c r="Q656" t="s">
        <v>30</v>
      </c>
      <c r="R656" t="str">
        <f>VLOOKUP($O656,'Mapa Oficinas'!$A$7:$C$46,2,FALSE)</f>
        <v>Interior - Neuquén</v>
      </c>
      <c r="S656" t="str">
        <f>VLOOKUP($O656,'Mapa Oficinas'!$A$7:$C$46,3,FALSE)</f>
        <v>Capital Neuquén</v>
      </c>
    </row>
    <row r="657" spans="1:19" x14ac:dyDescent="0.2">
      <c r="A657" s="1">
        <v>45796</v>
      </c>
      <c r="B657" t="s">
        <v>6663</v>
      </c>
      <c r="D657" t="s">
        <v>6664</v>
      </c>
      <c r="E657" t="s">
        <v>16</v>
      </c>
      <c r="F657" t="s">
        <v>17</v>
      </c>
      <c r="G657" s="14">
        <v>99000</v>
      </c>
      <c r="H657" s="14">
        <v>92000</v>
      </c>
      <c r="I657" t="s">
        <v>22</v>
      </c>
      <c r="J657" t="s">
        <v>22</v>
      </c>
      <c r="K657" t="s">
        <v>6665</v>
      </c>
      <c r="L657" t="s">
        <v>551</v>
      </c>
      <c r="M657" t="s">
        <v>19</v>
      </c>
      <c r="N657">
        <v>2</v>
      </c>
      <c r="O657" t="s">
        <v>50</v>
      </c>
      <c r="P657" t="s">
        <v>41</v>
      </c>
      <c r="Q657" t="s">
        <v>30</v>
      </c>
      <c r="R657" t="str">
        <f>VLOOKUP($O657,'Mapa Oficinas'!$A$7:$C$46,2,FALSE)</f>
        <v>CABA</v>
      </c>
      <c r="S657" t="str">
        <f>VLOOKUP($O657,'Mapa Oficinas'!$A$7:$C$46,3,FALSE)</f>
        <v>Villa Urquiza</v>
      </c>
    </row>
    <row r="658" spans="1:19" x14ac:dyDescent="0.2">
      <c r="A658" s="1">
        <v>45796</v>
      </c>
      <c r="B658" t="s">
        <v>6669</v>
      </c>
      <c r="D658" t="s">
        <v>6670</v>
      </c>
      <c r="E658" t="s">
        <v>16</v>
      </c>
      <c r="F658" t="s">
        <v>17</v>
      </c>
      <c r="G658" s="14">
        <v>95000</v>
      </c>
      <c r="H658" s="14">
        <v>93000</v>
      </c>
      <c r="I658" t="s">
        <v>22</v>
      </c>
      <c r="J658" t="s">
        <v>22</v>
      </c>
      <c r="K658" t="s">
        <v>6671</v>
      </c>
      <c r="L658" t="s">
        <v>545</v>
      </c>
      <c r="M658" t="s">
        <v>19</v>
      </c>
      <c r="N658">
        <v>2</v>
      </c>
      <c r="O658" t="s">
        <v>116</v>
      </c>
      <c r="P658" t="s">
        <v>21</v>
      </c>
      <c r="Q658" t="s">
        <v>30</v>
      </c>
      <c r="R658" t="str">
        <f>VLOOKUP($O658,'Mapa Oficinas'!$A$7:$C$46,2,FALSE)</f>
        <v>CABA</v>
      </c>
      <c r="S658" t="str">
        <f>VLOOKUP($O658,'Mapa Oficinas'!$A$7:$C$46,3,FALSE)</f>
        <v>Puerto Madero</v>
      </c>
    </row>
    <row r="659" spans="1:19" x14ac:dyDescent="0.2">
      <c r="A659" s="1">
        <v>45796</v>
      </c>
      <c r="B659" t="s">
        <v>6659</v>
      </c>
      <c r="D659" t="s">
        <v>6660</v>
      </c>
      <c r="E659" t="s">
        <v>16</v>
      </c>
      <c r="F659" t="s">
        <v>6661</v>
      </c>
      <c r="G659" s="14">
        <v>115000</v>
      </c>
      <c r="H659" s="14">
        <v>110000</v>
      </c>
      <c r="I659" t="s">
        <v>22</v>
      </c>
      <c r="J659" t="s">
        <v>22</v>
      </c>
      <c r="K659" t="s">
        <v>6662</v>
      </c>
      <c r="L659" t="s">
        <v>111</v>
      </c>
      <c r="M659" t="s">
        <v>19</v>
      </c>
      <c r="N659">
        <v>2</v>
      </c>
      <c r="O659" t="s">
        <v>206</v>
      </c>
      <c r="P659" t="s">
        <v>21</v>
      </c>
      <c r="Q659" t="s">
        <v>30</v>
      </c>
      <c r="R659" t="str">
        <f>VLOOKUP($O659,'Mapa Oficinas'!$A$7:$C$46,2,FALSE)</f>
        <v>CABA</v>
      </c>
      <c r="S659" t="str">
        <f>VLOOKUP($O659,'Mapa Oficinas'!$A$7:$C$46,3,FALSE)</f>
        <v>Belgrano</v>
      </c>
    </row>
    <row r="660" spans="1:19" x14ac:dyDescent="0.2">
      <c r="A660" s="1">
        <v>45796</v>
      </c>
      <c r="B660" t="s">
        <v>6678</v>
      </c>
      <c r="D660" t="s">
        <v>6679</v>
      </c>
      <c r="E660" t="s">
        <v>16</v>
      </c>
      <c r="F660" t="s">
        <v>17</v>
      </c>
      <c r="G660" s="14">
        <v>170000</v>
      </c>
      <c r="H660" s="14">
        <v>150000</v>
      </c>
      <c r="I660" t="s">
        <v>22</v>
      </c>
      <c r="J660" t="s">
        <v>22</v>
      </c>
      <c r="K660" t="s">
        <v>6680</v>
      </c>
      <c r="L660" t="s">
        <v>4278</v>
      </c>
      <c r="M660" t="s">
        <v>300</v>
      </c>
      <c r="N660">
        <v>2</v>
      </c>
      <c r="O660" t="s">
        <v>227</v>
      </c>
      <c r="P660" t="s">
        <v>21</v>
      </c>
      <c r="Q660" t="s">
        <v>30</v>
      </c>
      <c r="R660" t="str">
        <f>VLOOKUP($O660,'Mapa Oficinas'!$A$7:$C$46,2,FALSE)</f>
        <v>Zona Oeste (GBA)</v>
      </c>
      <c r="S660" t="str">
        <f>VLOOKUP($O660,'Mapa Oficinas'!$A$7:$C$46,3,FALSE)</f>
        <v>Parque Leloir</v>
      </c>
    </row>
    <row r="661" spans="1:19" x14ac:dyDescent="0.2">
      <c r="A661" s="1">
        <v>45796</v>
      </c>
      <c r="B661" t="s">
        <v>6675</v>
      </c>
      <c r="D661" t="s">
        <v>6676</v>
      </c>
      <c r="E661" t="s">
        <v>16</v>
      </c>
      <c r="F661" t="s">
        <v>17</v>
      </c>
      <c r="G661" s="14">
        <v>299000</v>
      </c>
      <c r="H661" s="14">
        <v>299000</v>
      </c>
      <c r="I661" t="s">
        <v>22</v>
      </c>
      <c r="J661" t="s">
        <v>22</v>
      </c>
      <c r="K661" t="s">
        <v>6677</v>
      </c>
      <c r="L661" t="s">
        <v>4945</v>
      </c>
      <c r="M661" t="s">
        <v>28</v>
      </c>
      <c r="N661">
        <v>2</v>
      </c>
      <c r="O661" t="s">
        <v>142</v>
      </c>
      <c r="P661" t="s">
        <v>276</v>
      </c>
      <c r="Q661" t="s">
        <v>30</v>
      </c>
      <c r="R661" t="str">
        <f>VLOOKUP($O661,'Mapa Oficinas'!$A$7:$C$46,2,FALSE)</f>
        <v>Zona Norte (GBA)</v>
      </c>
      <c r="S661" t="str">
        <f>VLOOKUP($O661,'Mapa Oficinas'!$A$7:$C$46,3,FALSE)</f>
        <v>Nordelta</v>
      </c>
    </row>
    <row r="662" spans="1:19" x14ac:dyDescent="0.2">
      <c r="A662" s="1">
        <v>45797</v>
      </c>
      <c r="B662" t="s">
        <v>6650</v>
      </c>
      <c r="D662" t="s">
        <v>6651</v>
      </c>
      <c r="E662" t="s">
        <v>16</v>
      </c>
      <c r="F662" t="s">
        <v>127</v>
      </c>
      <c r="G662" s="14">
        <v>53000</v>
      </c>
      <c r="H662" s="14">
        <v>51500</v>
      </c>
      <c r="I662" t="s">
        <v>22</v>
      </c>
      <c r="J662" t="s">
        <v>22</v>
      </c>
      <c r="K662" t="s">
        <v>6652</v>
      </c>
      <c r="L662" t="s">
        <v>2997</v>
      </c>
      <c r="M662" t="s">
        <v>97</v>
      </c>
      <c r="N662">
        <v>2</v>
      </c>
      <c r="O662" t="s">
        <v>367</v>
      </c>
      <c r="P662" t="s">
        <v>44</v>
      </c>
      <c r="Q662" t="s">
        <v>30</v>
      </c>
      <c r="R662" t="str">
        <f>VLOOKUP($O662,'Mapa Oficinas'!$A$7:$C$46,2,FALSE)</f>
        <v>Interior - Neuquén</v>
      </c>
      <c r="S662" t="str">
        <f>VLOOKUP($O662,'Mapa Oficinas'!$A$7:$C$46,3,FALSE)</f>
        <v>San Martín de los Andes</v>
      </c>
    </row>
    <row r="663" spans="1:19" x14ac:dyDescent="0.2">
      <c r="A663" s="1">
        <v>45797</v>
      </c>
      <c r="B663" t="s">
        <v>6630</v>
      </c>
      <c r="D663" t="s">
        <v>6631</v>
      </c>
      <c r="E663" t="s">
        <v>16</v>
      </c>
      <c r="F663" t="s">
        <v>17</v>
      </c>
      <c r="G663" s="14">
        <v>64900</v>
      </c>
      <c r="H663" s="14">
        <v>60000</v>
      </c>
      <c r="I663" t="s">
        <v>22</v>
      </c>
      <c r="J663" t="s">
        <v>22</v>
      </c>
      <c r="K663" t="s">
        <v>6632</v>
      </c>
      <c r="L663" t="s">
        <v>282</v>
      </c>
      <c r="M663" t="s">
        <v>19</v>
      </c>
      <c r="N663">
        <v>2</v>
      </c>
      <c r="O663" t="s">
        <v>50</v>
      </c>
      <c r="P663" t="s">
        <v>21</v>
      </c>
      <c r="Q663" t="s">
        <v>30</v>
      </c>
      <c r="R663" t="str">
        <f>VLOOKUP($O663,'Mapa Oficinas'!$A$7:$C$46,2,FALSE)</f>
        <v>CABA</v>
      </c>
      <c r="S663" t="str">
        <f>VLOOKUP($O663,'Mapa Oficinas'!$A$7:$C$46,3,FALSE)</f>
        <v>Villa Urquiza</v>
      </c>
    </row>
    <row r="664" spans="1:19" x14ac:dyDescent="0.2">
      <c r="A664" s="1">
        <v>45797</v>
      </c>
      <c r="B664" t="s">
        <v>6637</v>
      </c>
      <c r="D664" t="s">
        <v>6638</v>
      </c>
      <c r="E664" t="s">
        <v>16</v>
      </c>
      <c r="F664" t="s">
        <v>58</v>
      </c>
      <c r="G664" s="14">
        <v>119900</v>
      </c>
      <c r="H664" s="14">
        <v>105000</v>
      </c>
      <c r="I664" t="s">
        <v>22</v>
      </c>
      <c r="J664" t="s">
        <v>22</v>
      </c>
      <c r="K664" t="s">
        <v>6639</v>
      </c>
      <c r="L664" t="s">
        <v>282</v>
      </c>
      <c r="M664" t="s">
        <v>19</v>
      </c>
      <c r="N664">
        <v>2</v>
      </c>
      <c r="O664" t="s">
        <v>50</v>
      </c>
      <c r="P664" t="s">
        <v>21</v>
      </c>
      <c r="Q664" t="s">
        <v>30</v>
      </c>
      <c r="R664" t="str">
        <f>VLOOKUP($O664,'Mapa Oficinas'!$A$7:$C$46,2,FALSE)</f>
        <v>CABA</v>
      </c>
      <c r="S664" t="str">
        <f>VLOOKUP($O664,'Mapa Oficinas'!$A$7:$C$46,3,FALSE)</f>
        <v>Villa Urquiza</v>
      </c>
    </row>
    <row r="665" spans="1:19" x14ac:dyDescent="0.2">
      <c r="A665" s="1">
        <v>45797</v>
      </c>
      <c r="B665">
        <v>10397</v>
      </c>
      <c r="D665" t="s">
        <v>6633</v>
      </c>
      <c r="E665" t="s">
        <v>16</v>
      </c>
      <c r="F665" t="s">
        <v>17</v>
      </c>
      <c r="G665" s="14">
        <v>0</v>
      </c>
      <c r="H665" s="14">
        <v>120000</v>
      </c>
      <c r="I665" t="s">
        <v>22</v>
      </c>
      <c r="J665" t="s">
        <v>22</v>
      </c>
      <c r="L665" t="s">
        <v>205</v>
      </c>
      <c r="M665" t="s">
        <v>19</v>
      </c>
      <c r="N665">
        <v>1</v>
      </c>
      <c r="O665" t="s">
        <v>103</v>
      </c>
      <c r="P665" t="s">
        <v>146</v>
      </c>
      <c r="Q665" t="s">
        <v>30</v>
      </c>
      <c r="R665" t="str">
        <f>VLOOKUP($O665,'Mapa Oficinas'!$A$7:$C$46,2,FALSE)</f>
        <v>CABA</v>
      </c>
      <c r="S665" t="str">
        <f>VLOOKUP($O665,'Mapa Oficinas'!$A$7:$C$46,3,FALSE)</f>
        <v>Barrio Parque</v>
      </c>
    </row>
    <row r="666" spans="1:19" x14ac:dyDescent="0.2">
      <c r="A666" s="1">
        <v>45797</v>
      </c>
      <c r="B666" t="s">
        <v>6641</v>
      </c>
      <c r="D666" t="s">
        <v>6642</v>
      </c>
      <c r="E666" t="s">
        <v>16</v>
      </c>
      <c r="F666" t="s">
        <v>17</v>
      </c>
      <c r="G666" s="14">
        <v>180000</v>
      </c>
      <c r="H666" s="14">
        <v>130000</v>
      </c>
      <c r="I666" t="s">
        <v>22</v>
      </c>
      <c r="J666" t="s">
        <v>22</v>
      </c>
      <c r="K666" t="s">
        <v>6643</v>
      </c>
      <c r="L666" t="s">
        <v>6644</v>
      </c>
      <c r="M666" t="s">
        <v>28</v>
      </c>
      <c r="N666">
        <v>2</v>
      </c>
      <c r="O666" t="s">
        <v>142</v>
      </c>
      <c r="P666" t="s">
        <v>41</v>
      </c>
      <c r="Q666" t="s">
        <v>30</v>
      </c>
      <c r="R666" t="str">
        <f>VLOOKUP($O666,'Mapa Oficinas'!$A$7:$C$46,2,FALSE)</f>
        <v>Zona Norte (GBA)</v>
      </c>
      <c r="S666" t="str">
        <f>VLOOKUP($O666,'Mapa Oficinas'!$A$7:$C$46,3,FALSE)</f>
        <v>Nordelta</v>
      </c>
    </row>
    <row r="667" spans="1:19" x14ac:dyDescent="0.2">
      <c r="A667" s="1">
        <v>45797</v>
      </c>
      <c r="B667" t="s">
        <v>6645</v>
      </c>
      <c r="D667" t="s">
        <v>6646</v>
      </c>
      <c r="E667" t="s">
        <v>16</v>
      </c>
      <c r="F667" t="s">
        <v>17</v>
      </c>
      <c r="G667" s="14">
        <v>127956</v>
      </c>
      <c r="H667" s="14">
        <v>134540</v>
      </c>
      <c r="I667" t="s">
        <v>22</v>
      </c>
      <c r="J667" t="s">
        <v>22</v>
      </c>
      <c r="K667" t="s">
        <v>6647</v>
      </c>
      <c r="L667" t="s">
        <v>49</v>
      </c>
      <c r="M667" t="s">
        <v>97</v>
      </c>
      <c r="N667">
        <v>2</v>
      </c>
      <c r="O667" t="s">
        <v>142</v>
      </c>
      <c r="P667" t="s">
        <v>21</v>
      </c>
      <c r="Q667" t="s">
        <v>30</v>
      </c>
      <c r="R667" t="str">
        <f>VLOOKUP($O667,'Mapa Oficinas'!$A$7:$C$46,2,FALSE)</f>
        <v>Zona Norte (GBA)</v>
      </c>
      <c r="S667" t="str">
        <f>VLOOKUP($O667,'Mapa Oficinas'!$A$7:$C$46,3,FALSE)</f>
        <v>Nordelta</v>
      </c>
    </row>
    <row r="668" spans="1:19" x14ac:dyDescent="0.2">
      <c r="A668" s="1">
        <v>45797</v>
      </c>
      <c r="B668" t="s">
        <v>6634</v>
      </c>
      <c r="D668" t="s">
        <v>6635</v>
      </c>
      <c r="E668" t="s">
        <v>16</v>
      </c>
      <c r="F668" t="s">
        <v>17</v>
      </c>
      <c r="G668" s="14">
        <v>146000</v>
      </c>
      <c r="H668" s="14">
        <v>164000</v>
      </c>
      <c r="I668" t="s">
        <v>22</v>
      </c>
      <c r="J668" t="s">
        <v>22</v>
      </c>
      <c r="K668" t="s">
        <v>6636</v>
      </c>
      <c r="L668" t="s">
        <v>330</v>
      </c>
      <c r="M668" t="s">
        <v>19</v>
      </c>
      <c r="N668">
        <v>2</v>
      </c>
      <c r="O668" t="s">
        <v>103</v>
      </c>
      <c r="P668" t="s">
        <v>21</v>
      </c>
      <c r="Q668" t="s">
        <v>30</v>
      </c>
      <c r="R668" t="str">
        <f>VLOOKUP($O668,'Mapa Oficinas'!$A$7:$C$46,2,FALSE)</f>
        <v>CABA</v>
      </c>
      <c r="S668" t="str">
        <f>VLOOKUP($O668,'Mapa Oficinas'!$A$7:$C$46,3,FALSE)</f>
        <v>Barrio Parque</v>
      </c>
    </row>
    <row r="669" spans="1:19" x14ac:dyDescent="0.2">
      <c r="A669" s="1">
        <v>45797</v>
      </c>
      <c r="B669" t="s">
        <v>6640</v>
      </c>
      <c r="D669" t="s">
        <v>6640</v>
      </c>
      <c r="E669" t="s">
        <v>16</v>
      </c>
      <c r="F669" t="s">
        <v>58</v>
      </c>
      <c r="G669" s="14">
        <v>360000</v>
      </c>
      <c r="H669" s="14">
        <v>360000</v>
      </c>
      <c r="I669" t="s">
        <v>22</v>
      </c>
      <c r="J669" t="s">
        <v>22</v>
      </c>
      <c r="K669" t="s">
        <v>6640</v>
      </c>
      <c r="L669" t="s">
        <v>960</v>
      </c>
      <c r="M669" t="s">
        <v>19</v>
      </c>
      <c r="N669">
        <v>2</v>
      </c>
      <c r="O669" t="s">
        <v>35</v>
      </c>
      <c r="P669" t="s">
        <v>21</v>
      </c>
      <c r="Q669" t="s">
        <v>30</v>
      </c>
      <c r="R669" t="str">
        <f>VLOOKUP($O669,'Mapa Oficinas'!$A$7:$C$46,2,FALSE)</f>
        <v>Zona Norte (GBA)</v>
      </c>
      <c r="S669" t="str">
        <f>VLOOKUP($O669,'Mapa Oficinas'!$A$7:$C$46,3,FALSE)</f>
        <v>Vicente López</v>
      </c>
    </row>
    <row r="670" spans="1:19" x14ac:dyDescent="0.2">
      <c r="A670" s="1">
        <v>45797</v>
      </c>
      <c r="D670" t="s">
        <v>6648</v>
      </c>
      <c r="E670" t="s">
        <v>16</v>
      </c>
      <c r="F670" t="s">
        <v>134</v>
      </c>
      <c r="G670" s="14">
        <v>3200000</v>
      </c>
      <c r="H670" s="14">
        <v>2793333</v>
      </c>
      <c r="I670" t="s">
        <v>22</v>
      </c>
      <c r="J670" t="s">
        <v>22</v>
      </c>
      <c r="K670" t="s">
        <v>6649</v>
      </c>
      <c r="L670" t="s">
        <v>1983</v>
      </c>
      <c r="M670" t="s">
        <v>28</v>
      </c>
      <c r="N670">
        <v>2</v>
      </c>
      <c r="O670" t="s">
        <v>98</v>
      </c>
      <c r="P670" t="s">
        <v>44</v>
      </c>
      <c r="Q670" t="s">
        <v>30</v>
      </c>
      <c r="R670" t="str">
        <f>VLOOKUP($O670,'Mapa Oficinas'!$A$7:$C$46,2,FALSE)</f>
        <v>Interior - Neuquén</v>
      </c>
      <c r="S670" t="str">
        <f>VLOOKUP($O670,'Mapa Oficinas'!$A$7:$C$46,3,FALSE)</f>
        <v>Villa La Angostura</v>
      </c>
    </row>
    <row r="671" spans="1:19" x14ac:dyDescent="0.2">
      <c r="A671" s="1">
        <v>45798</v>
      </c>
      <c r="B671" t="s">
        <v>6607</v>
      </c>
      <c r="D671" t="s">
        <v>6608</v>
      </c>
      <c r="E671" t="s">
        <v>16</v>
      </c>
      <c r="F671" t="s">
        <v>47</v>
      </c>
      <c r="G671" s="14">
        <v>51000</v>
      </c>
      <c r="H671" s="14">
        <v>51000</v>
      </c>
      <c r="I671" t="s">
        <v>22</v>
      </c>
      <c r="J671" t="s">
        <v>22</v>
      </c>
      <c r="L671" t="s">
        <v>191</v>
      </c>
      <c r="M671" t="s">
        <v>19</v>
      </c>
      <c r="N671">
        <v>2</v>
      </c>
      <c r="O671" t="s">
        <v>359</v>
      </c>
      <c r="P671" t="s">
        <v>21</v>
      </c>
      <c r="Q671" t="s">
        <v>30</v>
      </c>
      <c r="R671" t="str">
        <f>VLOOKUP($O671,'Mapa Oficinas'!$A$7:$C$46,2,FALSE)</f>
        <v>CABA</v>
      </c>
      <c r="S671" t="str">
        <f>VLOOKUP($O671,'Mapa Oficinas'!$A$7:$C$46,3,FALSE)</f>
        <v>Palermo</v>
      </c>
    </row>
    <row r="672" spans="1:19" x14ac:dyDescent="0.2">
      <c r="A672" s="1">
        <v>45798</v>
      </c>
      <c r="B672" t="s">
        <v>6618</v>
      </c>
      <c r="D672" t="s">
        <v>6619</v>
      </c>
      <c r="E672" t="s">
        <v>16</v>
      </c>
      <c r="F672" t="s">
        <v>17</v>
      </c>
      <c r="G672" s="14">
        <v>75000</v>
      </c>
      <c r="H672" s="14">
        <v>65000</v>
      </c>
      <c r="I672" t="s">
        <v>22</v>
      </c>
      <c r="J672" t="s">
        <v>22</v>
      </c>
      <c r="K672" t="s">
        <v>6620</v>
      </c>
      <c r="L672" t="s">
        <v>1598</v>
      </c>
      <c r="M672" t="s">
        <v>72</v>
      </c>
      <c r="N672">
        <v>2</v>
      </c>
      <c r="O672" t="s">
        <v>151</v>
      </c>
      <c r="P672" t="s">
        <v>21</v>
      </c>
      <c r="Q672" t="s">
        <v>30</v>
      </c>
      <c r="R672" t="str">
        <f>VLOOKUP($O672,'Mapa Oficinas'!$A$7:$C$46,2,FALSE)</f>
        <v>Interior - Neuquén</v>
      </c>
      <c r="S672" t="str">
        <f>VLOOKUP($O672,'Mapa Oficinas'!$A$7:$C$46,3,FALSE)</f>
        <v>Capital Neuquén</v>
      </c>
    </row>
    <row r="673" spans="1:19" x14ac:dyDescent="0.2">
      <c r="A673" s="1">
        <v>45798</v>
      </c>
      <c r="B673" t="s">
        <v>6597</v>
      </c>
      <c r="D673" t="s">
        <v>6597</v>
      </c>
      <c r="E673" t="s">
        <v>16</v>
      </c>
      <c r="F673" t="s">
        <v>17</v>
      </c>
      <c r="G673" s="14">
        <v>73500</v>
      </c>
      <c r="H673" s="14">
        <v>73500</v>
      </c>
      <c r="I673" t="s">
        <v>22</v>
      </c>
      <c r="J673" t="s">
        <v>22</v>
      </c>
      <c r="K673" t="s">
        <v>6597</v>
      </c>
      <c r="M673" t="s">
        <v>19</v>
      </c>
      <c r="N673">
        <v>2</v>
      </c>
      <c r="O673" t="s">
        <v>50</v>
      </c>
      <c r="P673" t="s">
        <v>21</v>
      </c>
      <c r="Q673" t="s">
        <v>30</v>
      </c>
      <c r="R673" t="str">
        <f>VLOOKUP($O673,'Mapa Oficinas'!$A$7:$C$46,2,FALSE)</f>
        <v>CABA</v>
      </c>
      <c r="S673" t="str">
        <f>VLOOKUP($O673,'Mapa Oficinas'!$A$7:$C$46,3,FALSE)</f>
        <v>Villa Urquiza</v>
      </c>
    </row>
    <row r="674" spans="1:19" x14ac:dyDescent="0.2">
      <c r="A674" s="1">
        <v>45798</v>
      </c>
      <c r="B674" t="s">
        <v>6604</v>
      </c>
      <c r="D674" t="s">
        <v>6605</v>
      </c>
      <c r="E674" t="s">
        <v>16</v>
      </c>
      <c r="F674" t="s">
        <v>17</v>
      </c>
      <c r="G674" s="14">
        <v>85000</v>
      </c>
      <c r="H674" s="14">
        <v>78000</v>
      </c>
      <c r="I674" t="s">
        <v>22</v>
      </c>
      <c r="J674" t="s">
        <v>22</v>
      </c>
      <c r="K674" t="s">
        <v>6606</v>
      </c>
      <c r="L674" t="s">
        <v>170</v>
      </c>
      <c r="M674" t="s">
        <v>72</v>
      </c>
      <c r="N674">
        <v>2</v>
      </c>
      <c r="O674" t="s">
        <v>171</v>
      </c>
      <c r="P674" t="s">
        <v>276</v>
      </c>
      <c r="Q674" t="s">
        <v>30</v>
      </c>
      <c r="R674" t="str">
        <f>VLOOKUP($O674,'Mapa Oficinas'!$A$7:$C$46,2,FALSE)</f>
        <v>Zona Sur (GBA)</v>
      </c>
      <c r="S674" t="str">
        <f>VLOOKUP($O674,'Mapa Oficinas'!$A$7:$C$46,3,FALSE)</f>
        <v>La Plata</v>
      </c>
    </row>
    <row r="675" spans="1:19" x14ac:dyDescent="0.2">
      <c r="A675" s="1">
        <v>45798</v>
      </c>
      <c r="B675" t="s">
        <v>6615</v>
      </c>
      <c r="D675" t="s">
        <v>6616</v>
      </c>
      <c r="E675" t="s">
        <v>16</v>
      </c>
      <c r="F675" t="s">
        <v>17</v>
      </c>
      <c r="G675" s="14">
        <v>85000</v>
      </c>
      <c r="H675" s="14">
        <v>80000</v>
      </c>
      <c r="I675" t="s">
        <v>22</v>
      </c>
      <c r="J675" t="s">
        <v>22</v>
      </c>
      <c r="K675" t="s">
        <v>6617</v>
      </c>
      <c r="L675" t="s">
        <v>170</v>
      </c>
      <c r="M675" t="s">
        <v>28</v>
      </c>
      <c r="N675">
        <v>2</v>
      </c>
      <c r="O675" t="s">
        <v>171</v>
      </c>
      <c r="P675" t="s">
        <v>21</v>
      </c>
      <c r="Q675" t="s">
        <v>30</v>
      </c>
      <c r="R675" t="str">
        <f>VLOOKUP($O675,'Mapa Oficinas'!$A$7:$C$46,2,FALSE)</f>
        <v>Zona Sur (GBA)</v>
      </c>
      <c r="S675" t="str">
        <f>VLOOKUP($O675,'Mapa Oficinas'!$A$7:$C$46,3,FALSE)</f>
        <v>La Plata</v>
      </c>
    </row>
    <row r="676" spans="1:19" x14ac:dyDescent="0.2">
      <c r="A676" s="1">
        <v>45798</v>
      </c>
      <c r="D676" t="s">
        <v>6625</v>
      </c>
      <c r="E676" t="s">
        <v>16</v>
      </c>
      <c r="F676" t="s">
        <v>17</v>
      </c>
      <c r="G676" s="14">
        <v>96000</v>
      </c>
      <c r="H676" s="14">
        <v>96000</v>
      </c>
      <c r="I676" t="s">
        <v>22</v>
      </c>
      <c r="J676" t="s">
        <v>22</v>
      </c>
      <c r="K676" t="s">
        <v>6626</v>
      </c>
      <c r="L676" t="s">
        <v>442</v>
      </c>
      <c r="M676" t="s">
        <v>13</v>
      </c>
      <c r="N676">
        <v>2</v>
      </c>
      <c r="O676" t="s">
        <v>98</v>
      </c>
      <c r="P676" t="s">
        <v>41</v>
      </c>
      <c r="Q676" t="s">
        <v>30</v>
      </c>
      <c r="R676" t="str">
        <f>VLOOKUP($O676,'Mapa Oficinas'!$A$7:$C$46,2,FALSE)</f>
        <v>Interior - Neuquén</v>
      </c>
      <c r="S676" t="str">
        <f>VLOOKUP($O676,'Mapa Oficinas'!$A$7:$C$46,3,FALSE)</f>
        <v>Villa La Angostura</v>
      </c>
    </row>
    <row r="677" spans="1:19" x14ac:dyDescent="0.2">
      <c r="A677" s="1">
        <v>45798</v>
      </c>
      <c r="B677" t="s">
        <v>6596</v>
      </c>
      <c r="D677" t="s">
        <v>1476</v>
      </c>
      <c r="E677" t="s">
        <v>16</v>
      </c>
      <c r="F677" t="s">
        <v>134</v>
      </c>
      <c r="G677" s="14">
        <v>92800</v>
      </c>
      <c r="H677" s="14">
        <v>101043</v>
      </c>
      <c r="I677" t="s">
        <v>22</v>
      </c>
      <c r="J677" t="s">
        <v>22</v>
      </c>
      <c r="K677" t="s">
        <v>1477</v>
      </c>
      <c r="L677" t="s">
        <v>136</v>
      </c>
      <c r="M677" t="s">
        <v>19</v>
      </c>
      <c r="N677">
        <v>2</v>
      </c>
      <c r="O677" t="s">
        <v>130</v>
      </c>
      <c r="P677" t="s">
        <v>41</v>
      </c>
      <c r="Q677" t="s">
        <v>30</v>
      </c>
      <c r="R677" t="str">
        <f>VLOOKUP($O677,'Mapa Oficinas'!$A$7:$C$46,2,FALSE)</f>
        <v>Interior - Río Negro</v>
      </c>
      <c r="S677" t="str">
        <f>VLOOKUP($O677,'Mapa Oficinas'!$A$7:$C$46,3,FALSE)</f>
        <v>Bariloche</v>
      </c>
    </row>
    <row r="678" spans="1:19" x14ac:dyDescent="0.2">
      <c r="A678" s="1">
        <v>45798</v>
      </c>
      <c r="B678" t="s">
        <v>6596</v>
      </c>
      <c r="D678" t="s">
        <v>1476</v>
      </c>
      <c r="E678" t="s">
        <v>16</v>
      </c>
      <c r="F678" t="s">
        <v>134</v>
      </c>
      <c r="G678" s="14">
        <v>92800</v>
      </c>
      <c r="H678" s="14">
        <v>104763</v>
      </c>
      <c r="I678" t="s">
        <v>22</v>
      </c>
      <c r="J678" t="s">
        <v>22</v>
      </c>
      <c r="K678" t="s">
        <v>1477</v>
      </c>
      <c r="L678" t="s">
        <v>136</v>
      </c>
      <c r="M678" t="s">
        <v>19</v>
      </c>
      <c r="N678">
        <v>2</v>
      </c>
      <c r="O678" t="s">
        <v>130</v>
      </c>
      <c r="P678" t="s">
        <v>41</v>
      </c>
      <c r="Q678" t="s">
        <v>30</v>
      </c>
      <c r="R678" t="str">
        <f>VLOOKUP($O678,'Mapa Oficinas'!$A$7:$C$46,2,FALSE)</f>
        <v>Interior - Río Negro</v>
      </c>
      <c r="S678" t="str">
        <f>VLOOKUP($O678,'Mapa Oficinas'!$A$7:$C$46,3,FALSE)</f>
        <v>Bariloche</v>
      </c>
    </row>
    <row r="679" spans="1:19" x14ac:dyDescent="0.2">
      <c r="A679" s="1">
        <v>45798</v>
      </c>
      <c r="B679" t="s">
        <v>6601</v>
      </c>
      <c r="D679" t="s">
        <v>6602</v>
      </c>
      <c r="E679" t="s">
        <v>16</v>
      </c>
      <c r="F679" t="s">
        <v>17</v>
      </c>
      <c r="G679" s="14">
        <v>112000</v>
      </c>
      <c r="H679" s="14">
        <v>110000</v>
      </c>
      <c r="I679" t="s">
        <v>22</v>
      </c>
      <c r="J679" t="s">
        <v>22</v>
      </c>
      <c r="K679" t="s">
        <v>6603</v>
      </c>
      <c r="L679" t="s">
        <v>205</v>
      </c>
      <c r="M679" t="s">
        <v>19</v>
      </c>
      <c r="N679">
        <v>2</v>
      </c>
      <c r="O679" t="s">
        <v>252</v>
      </c>
      <c r="P679" t="s">
        <v>21</v>
      </c>
      <c r="Q679" t="s">
        <v>30</v>
      </c>
      <c r="R679" t="str">
        <f>VLOOKUP($O679,'Mapa Oficinas'!$A$7:$C$46,2,FALSE)</f>
        <v>CABA</v>
      </c>
      <c r="S679" t="str">
        <f>VLOOKUP($O679,'Mapa Oficinas'!$A$7:$C$46,3,FALSE)</f>
        <v>Belgrano</v>
      </c>
    </row>
    <row r="680" spans="1:19" x14ac:dyDescent="0.2">
      <c r="A680" s="1">
        <v>45798</v>
      </c>
      <c r="B680" t="s">
        <v>6598</v>
      </c>
      <c r="D680" t="s">
        <v>6599</v>
      </c>
      <c r="E680" t="s">
        <v>16</v>
      </c>
      <c r="F680" t="s">
        <v>17</v>
      </c>
      <c r="G680" s="14">
        <v>125000</v>
      </c>
      <c r="H680" s="14">
        <v>116500</v>
      </c>
      <c r="I680" t="s">
        <v>22</v>
      </c>
      <c r="J680" t="s">
        <v>22</v>
      </c>
      <c r="K680" t="s">
        <v>6600</v>
      </c>
      <c r="L680" t="s">
        <v>277</v>
      </c>
      <c r="M680" t="s">
        <v>72</v>
      </c>
      <c r="N680">
        <v>2</v>
      </c>
      <c r="O680" t="s">
        <v>20</v>
      </c>
      <c r="P680" t="s">
        <v>276</v>
      </c>
      <c r="Q680" t="s">
        <v>30</v>
      </c>
      <c r="R680" t="str">
        <f>VLOOKUP($O680,'Mapa Oficinas'!$A$7:$C$46,2,FALSE)</f>
        <v>CABA</v>
      </c>
      <c r="S680" t="str">
        <f>VLOOKUP($O680,'Mapa Oficinas'!$A$7:$C$46,3,FALSE)</f>
        <v>Palermo</v>
      </c>
    </row>
    <row r="681" spans="1:19" x14ac:dyDescent="0.2">
      <c r="A681" s="1">
        <v>45798</v>
      </c>
      <c r="B681" t="s">
        <v>6612</v>
      </c>
      <c r="D681" t="s">
        <v>6613</v>
      </c>
      <c r="E681" t="s">
        <v>16</v>
      </c>
      <c r="F681" t="s">
        <v>17</v>
      </c>
      <c r="G681" s="14">
        <v>220000</v>
      </c>
      <c r="H681" s="14">
        <v>170000</v>
      </c>
      <c r="I681" t="s">
        <v>22</v>
      </c>
      <c r="J681" t="s">
        <v>22</v>
      </c>
      <c r="K681" t="s">
        <v>6613</v>
      </c>
      <c r="L681" t="s">
        <v>6614</v>
      </c>
      <c r="M681" t="s">
        <v>28</v>
      </c>
      <c r="N681">
        <v>2</v>
      </c>
      <c r="O681" t="s">
        <v>142</v>
      </c>
      <c r="P681" t="s">
        <v>21</v>
      </c>
      <c r="Q681" t="s">
        <v>30</v>
      </c>
      <c r="R681" t="str">
        <f>VLOOKUP($O681,'Mapa Oficinas'!$A$7:$C$46,2,FALSE)</f>
        <v>Zona Norte (GBA)</v>
      </c>
      <c r="S681" t="str">
        <f>VLOOKUP($O681,'Mapa Oficinas'!$A$7:$C$46,3,FALSE)</f>
        <v>Nordelta</v>
      </c>
    </row>
    <row r="682" spans="1:19" x14ac:dyDescent="0.2">
      <c r="A682" s="1">
        <v>45798</v>
      </c>
      <c r="B682" t="s">
        <v>6621</v>
      </c>
      <c r="D682" t="s">
        <v>6622</v>
      </c>
      <c r="E682" t="s">
        <v>16</v>
      </c>
      <c r="F682" t="s">
        <v>17</v>
      </c>
      <c r="G682" s="14">
        <v>230000</v>
      </c>
      <c r="H682" s="14">
        <v>216500</v>
      </c>
      <c r="I682" t="s">
        <v>22</v>
      </c>
      <c r="J682" t="s">
        <v>22</v>
      </c>
      <c r="K682" t="s">
        <v>6623</v>
      </c>
      <c r="L682" t="s">
        <v>6624</v>
      </c>
      <c r="M682" t="s">
        <v>28</v>
      </c>
      <c r="N682">
        <v>2</v>
      </c>
      <c r="O682" t="s">
        <v>142</v>
      </c>
      <c r="P682" t="s">
        <v>276</v>
      </c>
      <c r="Q682" t="s">
        <v>30</v>
      </c>
      <c r="R682" t="str">
        <f>VLOOKUP($O682,'Mapa Oficinas'!$A$7:$C$46,2,FALSE)</f>
        <v>Zona Norte (GBA)</v>
      </c>
      <c r="S682" t="str">
        <f>VLOOKUP($O682,'Mapa Oficinas'!$A$7:$C$46,3,FALSE)</f>
        <v>Nordelta</v>
      </c>
    </row>
    <row r="683" spans="1:19" x14ac:dyDescent="0.2">
      <c r="A683" s="1">
        <v>45798</v>
      </c>
      <c r="B683" t="s">
        <v>6609</v>
      </c>
      <c r="D683" t="s">
        <v>6610</v>
      </c>
      <c r="E683" t="s">
        <v>16</v>
      </c>
      <c r="F683" t="s">
        <v>17</v>
      </c>
      <c r="G683" s="14">
        <v>242000</v>
      </c>
      <c r="H683" s="14">
        <v>230000</v>
      </c>
      <c r="I683" t="s">
        <v>22</v>
      </c>
      <c r="J683" t="s">
        <v>22</v>
      </c>
      <c r="K683" t="s">
        <v>6611</v>
      </c>
      <c r="L683" t="s">
        <v>102</v>
      </c>
      <c r="M683" t="s">
        <v>19</v>
      </c>
      <c r="N683">
        <v>2</v>
      </c>
      <c r="O683" t="s">
        <v>142</v>
      </c>
      <c r="P683" t="s">
        <v>276</v>
      </c>
      <c r="Q683" t="s">
        <v>30</v>
      </c>
      <c r="R683" t="str">
        <f>VLOOKUP($O683,'Mapa Oficinas'!$A$7:$C$46,2,FALSE)</f>
        <v>Zona Norte (GBA)</v>
      </c>
      <c r="S683" t="str">
        <f>VLOOKUP($O683,'Mapa Oficinas'!$A$7:$C$46,3,FALSE)</f>
        <v>Nordelta</v>
      </c>
    </row>
    <row r="684" spans="1:19" x14ac:dyDescent="0.2">
      <c r="A684" s="1">
        <v>45799</v>
      </c>
      <c r="B684" t="s">
        <v>6593</v>
      </c>
      <c r="D684" t="s">
        <v>6594</v>
      </c>
      <c r="E684" t="s">
        <v>16</v>
      </c>
      <c r="F684" t="s">
        <v>17</v>
      </c>
      <c r="G684" s="14">
        <v>59000</v>
      </c>
      <c r="H684" s="14">
        <v>53000</v>
      </c>
      <c r="I684" t="s">
        <v>22</v>
      </c>
      <c r="J684" t="s">
        <v>22</v>
      </c>
      <c r="K684" t="s">
        <v>6595</v>
      </c>
      <c r="L684" t="s">
        <v>200</v>
      </c>
      <c r="M684" t="s">
        <v>19</v>
      </c>
      <c r="N684">
        <v>2</v>
      </c>
      <c r="O684" t="s">
        <v>20</v>
      </c>
      <c r="P684" t="s">
        <v>21</v>
      </c>
      <c r="Q684" t="s">
        <v>30</v>
      </c>
      <c r="R684" t="str">
        <f>VLOOKUP($O684,'Mapa Oficinas'!$A$7:$C$46,2,FALSE)</f>
        <v>CABA</v>
      </c>
      <c r="S684" t="str">
        <f>VLOOKUP($O684,'Mapa Oficinas'!$A$7:$C$46,3,FALSE)</f>
        <v>Palermo</v>
      </c>
    </row>
    <row r="685" spans="1:19" x14ac:dyDescent="0.2">
      <c r="A685" s="1">
        <v>45799</v>
      </c>
      <c r="B685">
        <v>10373</v>
      </c>
      <c r="D685" t="s">
        <v>6576</v>
      </c>
      <c r="E685" t="s">
        <v>16</v>
      </c>
      <c r="F685" t="s">
        <v>17</v>
      </c>
      <c r="G685" s="14">
        <v>0</v>
      </c>
      <c r="H685" s="14">
        <v>68000</v>
      </c>
      <c r="I685" t="s">
        <v>22</v>
      </c>
      <c r="J685" t="s">
        <v>22</v>
      </c>
      <c r="L685" t="s">
        <v>164</v>
      </c>
      <c r="M685" t="s">
        <v>19</v>
      </c>
      <c r="N685">
        <v>2</v>
      </c>
      <c r="O685" t="s">
        <v>103</v>
      </c>
      <c r="P685" t="s">
        <v>276</v>
      </c>
      <c r="Q685" t="s">
        <v>30</v>
      </c>
      <c r="R685" t="str">
        <f>VLOOKUP($O685,'Mapa Oficinas'!$A$7:$C$46,2,FALSE)</f>
        <v>CABA</v>
      </c>
      <c r="S685" t="str">
        <f>VLOOKUP($O685,'Mapa Oficinas'!$A$7:$C$46,3,FALSE)</f>
        <v>Barrio Parque</v>
      </c>
    </row>
    <row r="686" spans="1:19" x14ac:dyDescent="0.2">
      <c r="A686" s="1">
        <v>45799</v>
      </c>
      <c r="B686">
        <v>10374</v>
      </c>
      <c r="D686" t="s">
        <v>6575</v>
      </c>
      <c r="E686" t="s">
        <v>16</v>
      </c>
      <c r="F686" t="s">
        <v>17</v>
      </c>
      <c r="G686" s="14">
        <v>0</v>
      </c>
      <c r="H686" s="14">
        <v>68000</v>
      </c>
      <c r="I686" t="s">
        <v>22</v>
      </c>
      <c r="J686" t="s">
        <v>22</v>
      </c>
      <c r="L686" t="s">
        <v>164</v>
      </c>
      <c r="M686" t="s">
        <v>19</v>
      </c>
      <c r="N686">
        <v>2</v>
      </c>
      <c r="O686" t="s">
        <v>103</v>
      </c>
      <c r="P686" t="s">
        <v>276</v>
      </c>
      <c r="Q686" t="s">
        <v>30</v>
      </c>
      <c r="R686" t="str">
        <f>VLOOKUP($O686,'Mapa Oficinas'!$A$7:$C$46,2,FALSE)</f>
        <v>CABA</v>
      </c>
      <c r="S686" t="str">
        <f>VLOOKUP($O686,'Mapa Oficinas'!$A$7:$C$46,3,FALSE)</f>
        <v>Barrio Parque</v>
      </c>
    </row>
    <row r="687" spans="1:19" x14ac:dyDescent="0.2">
      <c r="A687" s="1">
        <v>45799</v>
      </c>
      <c r="B687" t="s">
        <v>6587</v>
      </c>
      <c r="D687" t="s">
        <v>6588</v>
      </c>
      <c r="E687" t="s">
        <v>16</v>
      </c>
      <c r="F687" t="s">
        <v>17</v>
      </c>
      <c r="G687" s="14">
        <v>80000</v>
      </c>
      <c r="H687" s="14">
        <v>75000</v>
      </c>
      <c r="I687" t="s">
        <v>22</v>
      </c>
      <c r="J687" t="s">
        <v>22</v>
      </c>
      <c r="K687" t="s">
        <v>6589</v>
      </c>
      <c r="L687" t="s">
        <v>3705</v>
      </c>
      <c r="M687" t="s">
        <v>28</v>
      </c>
      <c r="N687">
        <v>2</v>
      </c>
      <c r="O687" t="s">
        <v>151</v>
      </c>
      <c r="P687" t="s">
        <v>21</v>
      </c>
      <c r="Q687" t="s">
        <v>30</v>
      </c>
      <c r="R687" t="str">
        <f>VLOOKUP($O687,'Mapa Oficinas'!$A$7:$C$46,2,FALSE)</f>
        <v>Interior - Neuquén</v>
      </c>
      <c r="S687" t="str">
        <f>VLOOKUP($O687,'Mapa Oficinas'!$A$7:$C$46,3,FALSE)</f>
        <v>Capital Neuquén</v>
      </c>
    </row>
    <row r="688" spans="1:19" x14ac:dyDescent="0.2">
      <c r="A688" s="1">
        <v>45799</v>
      </c>
      <c r="B688" t="s">
        <v>6579</v>
      </c>
      <c r="D688" t="s">
        <v>6580</v>
      </c>
      <c r="E688" t="s">
        <v>16</v>
      </c>
      <c r="F688" t="s">
        <v>17</v>
      </c>
      <c r="G688" s="14">
        <v>80000</v>
      </c>
      <c r="H688" s="14">
        <v>75500</v>
      </c>
      <c r="I688" t="s">
        <v>22</v>
      </c>
      <c r="J688" t="s">
        <v>22</v>
      </c>
      <c r="K688" t="s">
        <v>6581</v>
      </c>
      <c r="L688" t="s">
        <v>2412</v>
      </c>
      <c r="M688" t="s">
        <v>19</v>
      </c>
      <c r="N688">
        <v>2</v>
      </c>
      <c r="O688" t="s">
        <v>103</v>
      </c>
      <c r="P688" t="s">
        <v>21</v>
      </c>
      <c r="Q688" t="s">
        <v>30</v>
      </c>
      <c r="R688" t="str">
        <f>VLOOKUP($O688,'Mapa Oficinas'!$A$7:$C$46,2,FALSE)</f>
        <v>CABA</v>
      </c>
      <c r="S688" t="str">
        <f>VLOOKUP($O688,'Mapa Oficinas'!$A$7:$C$46,3,FALSE)</f>
        <v>Barrio Parque</v>
      </c>
    </row>
    <row r="689" spans="1:19" x14ac:dyDescent="0.2">
      <c r="A689" s="1">
        <v>45799</v>
      </c>
      <c r="B689">
        <v>10364</v>
      </c>
      <c r="D689" t="s">
        <v>6577</v>
      </c>
      <c r="E689" t="s">
        <v>16</v>
      </c>
      <c r="F689" t="s">
        <v>17</v>
      </c>
      <c r="G689" s="14">
        <v>0</v>
      </c>
      <c r="H689" s="14">
        <v>86500</v>
      </c>
      <c r="I689" t="s">
        <v>22</v>
      </c>
      <c r="J689" t="s">
        <v>22</v>
      </c>
      <c r="L689" t="s">
        <v>164</v>
      </c>
      <c r="M689" t="s">
        <v>19</v>
      </c>
      <c r="N689">
        <v>2</v>
      </c>
      <c r="O689" t="s">
        <v>103</v>
      </c>
      <c r="P689" t="s">
        <v>21</v>
      </c>
      <c r="Q689" t="s">
        <v>30</v>
      </c>
      <c r="R689" t="str">
        <f>VLOOKUP($O689,'Mapa Oficinas'!$A$7:$C$46,2,FALSE)</f>
        <v>CABA</v>
      </c>
      <c r="S689" t="str">
        <f>VLOOKUP($O689,'Mapa Oficinas'!$A$7:$C$46,3,FALSE)</f>
        <v>Barrio Parque</v>
      </c>
    </row>
    <row r="690" spans="1:19" x14ac:dyDescent="0.2">
      <c r="A690" s="1">
        <v>45799</v>
      </c>
      <c r="B690" t="s">
        <v>6590</v>
      </c>
      <c r="D690" t="s">
        <v>6591</v>
      </c>
      <c r="E690" t="s">
        <v>16</v>
      </c>
      <c r="F690" t="s">
        <v>17</v>
      </c>
      <c r="G690" s="14">
        <v>96000</v>
      </c>
      <c r="H690" s="14">
        <v>95000</v>
      </c>
      <c r="I690" t="s">
        <v>22</v>
      </c>
      <c r="J690" t="s">
        <v>22</v>
      </c>
      <c r="K690" t="s">
        <v>6592</v>
      </c>
      <c r="L690" t="s">
        <v>1064</v>
      </c>
      <c r="M690" t="s">
        <v>19</v>
      </c>
      <c r="N690">
        <v>2</v>
      </c>
      <c r="O690" t="s">
        <v>198</v>
      </c>
      <c r="P690" t="s">
        <v>21</v>
      </c>
      <c r="Q690" t="s">
        <v>30</v>
      </c>
      <c r="R690" t="str">
        <f>VLOOKUP($O690,'Mapa Oficinas'!$A$7:$C$46,2,FALSE)</f>
        <v>CABA</v>
      </c>
      <c r="S690" t="str">
        <f>VLOOKUP($O690,'Mapa Oficinas'!$A$7:$C$46,3,FALSE)</f>
        <v>Caballito</v>
      </c>
    </row>
    <row r="691" spans="1:19" x14ac:dyDescent="0.2">
      <c r="A691" s="1">
        <v>45799</v>
      </c>
      <c r="B691">
        <v>10362</v>
      </c>
      <c r="D691" t="s">
        <v>6578</v>
      </c>
      <c r="E691" t="s">
        <v>16</v>
      </c>
      <c r="F691" t="s">
        <v>17</v>
      </c>
      <c r="G691" s="14">
        <v>0</v>
      </c>
      <c r="H691" s="14">
        <v>125000</v>
      </c>
      <c r="I691" t="s">
        <v>22</v>
      </c>
      <c r="J691" t="s">
        <v>22</v>
      </c>
      <c r="L691" t="s">
        <v>164</v>
      </c>
      <c r="M691" t="s">
        <v>19</v>
      </c>
      <c r="N691">
        <v>2</v>
      </c>
      <c r="O691" t="s">
        <v>103</v>
      </c>
      <c r="P691" t="s">
        <v>21</v>
      </c>
      <c r="Q691" t="s">
        <v>30</v>
      </c>
      <c r="R691" t="str">
        <f>VLOOKUP($O691,'Mapa Oficinas'!$A$7:$C$46,2,FALSE)</f>
        <v>CABA</v>
      </c>
      <c r="S691" t="str">
        <f>VLOOKUP($O691,'Mapa Oficinas'!$A$7:$C$46,3,FALSE)</f>
        <v>Barrio Parque</v>
      </c>
    </row>
    <row r="692" spans="1:19" x14ac:dyDescent="0.2">
      <c r="A692" s="1">
        <v>45799</v>
      </c>
      <c r="B692">
        <v>10355</v>
      </c>
      <c r="D692" t="s">
        <v>6582</v>
      </c>
      <c r="E692" t="s">
        <v>16</v>
      </c>
      <c r="F692" t="s">
        <v>17</v>
      </c>
      <c r="G692" s="14">
        <v>0</v>
      </c>
      <c r="H692" s="14">
        <v>220000</v>
      </c>
      <c r="I692" t="s">
        <v>22</v>
      </c>
      <c r="J692" t="s">
        <v>22</v>
      </c>
      <c r="K692" t="s">
        <v>6583</v>
      </c>
      <c r="L692" t="s">
        <v>277</v>
      </c>
      <c r="M692" t="s">
        <v>19</v>
      </c>
      <c r="N692">
        <v>1</v>
      </c>
      <c r="O692" t="s">
        <v>103</v>
      </c>
      <c r="P692" t="s">
        <v>146</v>
      </c>
      <c r="Q692" t="s">
        <v>30</v>
      </c>
      <c r="R692" t="str">
        <f>VLOOKUP($O692,'Mapa Oficinas'!$A$7:$C$46,2,FALSE)</f>
        <v>CABA</v>
      </c>
      <c r="S692" t="str">
        <f>VLOOKUP($O692,'Mapa Oficinas'!$A$7:$C$46,3,FALSE)</f>
        <v>Barrio Parque</v>
      </c>
    </row>
    <row r="693" spans="1:19" x14ac:dyDescent="0.2">
      <c r="A693" s="1">
        <v>45799</v>
      </c>
      <c r="B693" t="s">
        <v>6584</v>
      </c>
      <c r="D693" t="s">
        <v>6585</v>
      </c>
      <c r="E693" t="s">
        <v>16</v>
      </c>
      <c r="F693" t="s">
        <v>17</v>
      </c>
      <c r="G693" s="14">
        <v>295000</v>
      </c>
      <c r="H693" s="14">
        <v>280000</v>
      </c>
      <c r="I693" t="s">
        <v>22</v>
      </c>
      <c r="J693" t="s">
        <v>22</v>
      </c>
      <c r="K693" t="s">
        <v>6586</v>
      </c>
      <c r="L693" t="s">
        <v>271</v>
      </c>
      <c r="M693" t="s">
        <v>28</v>
      </c>
      <c r="N693">
        <v>2</v>
      </c>
      <c r="O693" t="s">
        <v>50</v>
      </c>
      <c r="P693" t="s">
        <v>21</v>
      </c>
      <c r="Q693" t="s">
        <v>30</v>
      </c>
      <c r="R693" t="str">
        <f>VLOOKUP($O693,'Mapa Oficinas'!$A$7:$C$46,2,FALSE)</f>
        <v>CABA</v>
      </c>
      <c r="S693" t="str">
        <f>VLOOKUP($O693,'Mapa Oficinas'!$A$7:$C$46,3,FALSE)</f>
        <v>Villa Urquiza</v>
      </c>
    </row>
    <row r="694" spans="1:19" x14ac:dyDescent="0.2">
      <c r="A694" s="1">
        <v>45800</v>
      </c>
      <c r="B694">
        <v>13</v>
      </c>
      <c r="D694" t="s">
        <v>6573</v>
      </c>
      <c r="E694" t="s">
        <v>16</v>
      </c>
      <c r="F694" t="s">
        <v>82</v>
      </c>
      <c r="G694" s="14">
        <v>78970</v>
      </c>
      <c r="H694" s="14">
        <v>78970</v>
      </c>
      <c r="I694" t="s">
        <v>22</v>
      </c>
      <c r="J694" t="s">
        <v>22</v>
      </c>
      <c r="K694" t="s">
        <v>6574</v>
      </c>
      <c r="L694" t="s">
        <v>967</v>
      </c>
      <c r="M694" t="s">
        <v>19</v>
      </c>
      <c r="N694">
        <v>2</v>
      </c>
      <c r="O694" t="s">
        <v>116</v>
      </c>
      <c r="P694" t="s">
        <v>21</v>
      </c>
      <c r="Q694" t="s">
        <v>30</v>
      </c>
      <c r="R694" t="str">
        <f>VLOOKUP($O694,'Mapa Oficinas'!$A$7:$C$46,2,FALSE)</f>
        <v>CABA</v>
      </c>
      <c r="S694" t="str">
        <f>VLOOKUP($O694,'Mapa Oficinas'!$A$7:$C$46,3,FALSE)</f>
        <v>Puerto Madero</v>
      </c>
    </row>
    <row r="695" spans="1:19" x14ac:dyDescent="0.2">
      <c r="A695" s="1">
        <v>45800</v>
      </c>
      <c r="B695" t="s">
        <v>6557</v>
      </c>
      <c r="D695" t="s">
        <v>6558</v>
      </c>
      <c r="E695" t="s">
        <v>16</v>
      </c>
      <c r="F695" t="s">
        <v>82</v>
      </c>
      <c r="G695" s="14">
        <v>88000</v>
      </c>
      <c r="H695" s="14">
        <v>83500</v>
      </c>
      <c r="I695" t="s">
        <v>22</v>
      </c>
      <c r="J695" t="s">
        <v>22</v>
      </c>
      <c r="K695" t="s">
        <v>6559</v>
      </c>
      <c r="L695" t="s">
        <v>170</v>
      </c>
      <c r="M695" t="s">
        <v>72</v>
      </c>
      <c r="N695">
        <v>1</v>
      </c>
      <c r="O695" t="s">
        <v>171</v>
      </c>
      <c r="P695" t="s">
        <v>146</v>
      </c>
      <c r="Q695" t="s">
        <v>30</v>
      </c>
      <c r="R695" t="str">
        <f>VLOOKUP($O695,'Mapa Oficinas'!$A$7:$C$46,2,FALSE)</f>
        <v>Zona Sur (GBA)</v>
      </c>
      <c r="S695" t="str">
        <f>VLOOKUP($O695,'Mapa Oficinas'!$A$7:$C$46,3,FALSE)</f>
        <v>La Plata</v>
      </c>
    </row>
    <row r="696" spans="1:19" x14ac:dyDescent="0.2">
      <c r="A696" s="1">
        <v>45800</v>
      </c>
      <c r="B696" t="s">
        <v>6553</v>
      </c>
      <c r="D696" t="s">
        <v>6554</v>
      </c>
      <c r="E696" t="s">
        <v>16</v>
      </c>
      <c r="F696" t="s">
        <v>58</v>
      </c>
      <c r="G696" s="14">
        <v>71900</v>
      </c>
      <c r="H696" s="14">
        <v>89000</v>
      </c>
      <c r="I696" t="s">
        <v>22</v>
      </c>
      <c r="J696" t="s">
        <v>22</v>
      </c>
      <c r="K696" t="s">
        <v>6555</v>
      </c>
      <c r="L696" t="s">
        <v>2361</v>
      </c>
      <c r="M696" t="s">
        <v>72</v>
      </c>
      <c r="N696">
        <v>2</v>
      </c>
      <c r="O696" t="s">
        <v>50</v>
      </c>
      <c r="P696" t="s">
        <v>21</v>
      </c>
      <c r="Q696" t="s">
        <v>30</v>
      </c>
      <c r="R696" t="str">
        <f>VLOOKUP($O696,'Mapa Oficinas'!$A$7:$C$46,2,FALSE)</f>
        <v>CABA</v>
      </c>
      <c r="S696" t="str">
        <f>VLOOKUP($O696,'Mapa Oficinas'!$A$7:$C$46,3,FALSE)</f>
        <v>Villa Urquiza</v>
      </c>
    </row>
    <row r="697" spans="1:19" x14ac:dyDescent="0.2">
      <c r="A697" s="1">
        <v>45800</v>
      </c>
      <c r="B697" t="s">
        <v>6567</v>
      </c>
      <c r="D697" t="s">
        <v>6568</v>
      </c>
      <c r="E697" t="s">
        <v>16</v>
      </c>
      <c r="F697" t="s">
        <v>17</v>
      </c>
      <c r="G697" s="14">
        <v>90000</v>
      </c>
      <c r="H697" s="14">
        <v>90000</v>
      </c>
      <c r="I697" t="s">
        <v>22</v>
      </c>
      <c r="J697" t="s">
        <v>22</v>
      </c>
      <c r="K697" t="s">
        <v>6569</v>
      </c>
      <c r="L697" t="s">
        <v>6433</v>
      </c>
      <c r="M697" t="s">
        <v>97</v>
      </c>
      <c r="N697">
        <v>2</v>
      </c>
      <c r="O697" t="s">
        <v>151</v>
      </c>
      <c r="P697" t="s">
        <v>276</v>
      </c>
      <c r="Q697" t="s">
        <v>30</v>
      </c>
      <c r="R697" t="str">
        <f>VLOOKUP($O697,'Mapa Oficinas'!$A$7:$C$46,2,FALSE)</f>
        <v>Interior - Neuquén</v>
      </c>
      <c r="S697" t="str">
        <f>VLOOKUP($O697,'Mapa Oficinas'!$A$7:$C$46,3,FALSE)</f>
        <v>Capital Neuquén</v>
      </c>
    </row>
    <row r="698" spans="1:19" x14ac:dyDescent="0.2">
      <c r="A698" s="1">
        <v>45800</v>
      </c>
      <c r="B698" t="s">
        <v>6570</v>
      </c>
      <c r="D698" t="s">
        <v>6571</v>
      </c>
      <c r="E698" t="s">
        <v>16</v>
      </c>
      <c r="F698" t="s">
        <v>17</v>
      </c>
      <c r="G698" s="14">
        <v>98000</v>
      </c>
      <c r="H698" s="14">
        <v>95000</v>
      </c>
      <c r="I698" t="s">
        <v>22</v>
      </c>
      <c r="J698" t="s">
        <v>22</v>
      </c>
      <c r="K698" t="s">
        <v>6572</v>
      </c>
      <c r="L698" t="s">
        <v>23</v>
      </c>
      <c r="M698" t="s">
        <v>28</v>
      </c>
      <c r="N698">
        <v>2</v>
      </c>
      <c r="O698" t="s">
        <v>116</v>
      </c>
      <c r="P698" t="s">
        <v>21</v>
      </c>
      <c r="Q698" t="s">
        <v>30</v>
      </c>
      <c r="R698" t="str">
        <f>VLOOKUP($O698,'Mapa Oficinas'!$A$7:$C$46,2,FALSE)</f>
        <v>CABA</v>
      </c>
      <c r="S698" t="str">
        <f>VLOOKUP($O698,'Mapa Oficinas'!$A$7:$C$46,3,FALSE)</f>
        <v>Puerto Madero</v>
      </c>
    </row>
    <row r="699" spans="1:19" x14ac:dyDescent="0.2">
      <c r="A699" s="1">
        <v>45800</v>
      </c>
      <c r="B699" t="s">
        <v>6550</v>
      </c>
      <c r="D699" t="s">
        <v>6551</v>
      </c>
      <c r="E699" t="s">
        <v>16</v>
      </c>
      <c r="F699" t="s">
        <v>82</v>
      </c>
      <c r="G699" s="14">
        <v>110000</v>
      </c>
      <c r="H699" s="14">
        <v>105000</v>
      </c>
      <c r="I699" t="s">
        <v>22</v>
      </c>
      <c r="J699" t="s">
        <v>22</v>
      </c>
      <c r="K699" t="s">
        <v>6552</v>
      </c>
      <c r="L699" t="s">
        <v>141</v>
      </c>
      <c r="M699" t="s">
        <v>19</v>
      </c>
      <c r="N699">
        <v>2</v>
      </c>
      <c r="O699" t="s">
        <v>103</v>
      </c>
      <c r="P699" t="s">
        <v>276</v>
      </c>
      <c r="Q699" t="s">
        <v>30</v>
      </c>
      <c r="R699" t="str">
        <f>VLOOKUP($O699,'Mapa Oficinas'!$A$7:$C$46,2,FALSE)</f>
        <v>CABA</v>
      </c>
      <c r="S699" t="str">
        <f>VLOOKUP($O699,'Mapa Oficinas'!$A$7:$C$46,3,FALSE)</f>
        <v>Barrio Parque</v>
      </c>
    </row>
    <row r="700" spans="1:19" x14ac:dyDescent="0.2">
      <c r="A700" s="1">
        <v>45800</v>
      </c>
      <c r="B700" t="s">
        <v>6563</v>
      </c>
      <c r="D700" t="s">
        <v>6564</v>
      </c>
      <c r="E700" t="s">
        <v>16</v>
      </c>
      <c r="F700" t="s">
        <v>17</v>
      </c>
      <c r="G700" s="14">
        <v>125000</v>
      </c>
      <c r="H700" s="14">
        <v>119000</v>
      </c>
      <c r="I700" t="s">
        <v>22</v>
      </c>
      <c r="J700" t="s">
        <v>22</v>
      </c>
      <c r="K700" t="s">
        <v>6565</v>
      </c>
      <c r="L700" t="s">
        <v>6566</v>
      </c>
      <c r="M700" t="s">
        <v>97</v>
      </c>
      <c r="N700">
        <v>2</v>
      </c>
      <c r="O700" t="s">
        <v>151</v>
      </c>
      <c r="P700" t="s">
        <v>21</v>
      </c>
      <c r="Q700" t="s">
        <v>30</v>
      </c>
      <c r="R700" t="str">
        <f>VLOOKUP($O700,'Mapa Oficinas'!$A$7:$C$46,2,FALSE)</f>
        <v>Interior - Neuquén</v>
      </c>
      <c r="S700" t="str">
        <f>VLOOKUP($O700,'Mapa Oficinas'!$A$7:$C$46,3,FALSE)</f>
        <v>Capital Neuquén</v>
      </c>
    </row>
    <row r="701" spans="1:19" x14ac:dyDescent="0.2">
      <c r="A701" s="1">
        <v>45800</v>
      </c>
      <c r="B701" t="s">
        <v>6560</v>
      </c>
      <c r="D701" t="s">
        <v>6561</v>
      </c>
      <c r="E701" t="s">
        <v>16</v>
      </c>
      <c r="F701" t="s">
        <v>17</v>
      </c>
      <c r="G701" s="14">
        <v>215000</v>
      </c>
      <c r="H701" s="14">
        <v>210000</v>
      </c>
      <c r="I701" t="s">
        <v>22</v>
      </c>
      <c r="J701" t="s">
        <v>22</v>
      </c>
      <c r="K701" t="s">
        <v>6562</v>
      </c>
      <c r="L701" t="s">
        <v>237</v>
      </c>
      <c r="M701" t="s">
        <v>19</v>
      </c>
      <c r="N701">
        <v>2</v>
      </c>
      <c r="O701" t="s">
        <v>50</v>
      </c>
      <c r="P701" t="s">
        <v>21</v>
      </c>
      <c r="Q701" t="s">
        <v>30</v>
      </c>
      <c r="R701" t="str">
        <f>VLOOKUP($O701,'Mapa Oficinas'!$A$7:$C$46,2,FALSE)</f>
        <v>CABA</v>
      </c>
      <c r="S701" t="str">
        <f>VLOOKUP($O701,'Mapa Oficinas'!$A$7:$C$46,3,FALSE)</f>
        <v>Villa Urquiza</v>
      </c>
    </row>
    <row r="702" spans="1:19" x14ac:dyDescent="0.2">
      <c r="A702" s="1">
        <v>45803</v>
      </c>
      <c r="B702" t="s">
        <v>6539</v>
      </c>
      <c r="D702" t="s">
        <v>6540</v>
      </c>
      <c r="E702" t="s">
        <v>16</v>
      </c>
      <c r="F702" t="s">
        <v>127</v>
      </c>
      <c r="G702" s="14">
        <v>38000</v>
      </c>
      <c r="H702" s="14">
        <v>38000</v>
      </c>
      <c r="I702" t="s">
        <v>22</v>
      </c>
      <c r="J702" t="s">
        <v>22</v>
      </c>
      <c r="K702" t="s">
        <v>6541</v>
      </c>
      <c r="L702" t="s">
        <v>1585</v>
      </c>
      <c r="M702" t="s">
        <v>97</v>
      </c>
      <c r="N702">
        <v>2</v>
      </c>
      <c r="O702" t="s">
        <v>367</v>
      </c>
      <c r="P702" t="s">
        <v>21</v>
      </c>
      <c r="Q702" t="s">
        <v>30</v>
      </c>
      <c r="R702" t="str">
        <f>VLOOKUP($O702,'Mapa Oficinas'!$A$7:$C$46,2,FALSE)</f>
        <v>Interior - Neuquén</v>
      </c>
      <c r="S702" t="str">
        <f>VLOOKUP($O702,'Mapa Oficinas'!$A$7:$C$46,3,FALSE)</f>
        <v>San Martín de los Andes</v>
      </c>
    </row>
    <row r="703" spans="1:19" x14ac:dyDescent="0.2">
      <c r="A703" s="1">
        <v>45803</v>
      </c>
      <c r="B703" t="s">
        <v>6536</v>
      </c>
      <c r="D703" t="s">
        <v>6537</v>
      </c>
      <c r="E703" t="s">
        <v>16</v>
      </c>
      <c r="F703" t="s">
        <v>243</v>
      </c>
      <c r="G703" s="14">
        <v>71500</v>
      </c>
      <c r="H703" s="14">
        <v>71500</v>
      </c>
      <c r="I703" t="s">
        <v>22</v>
      </c>
      <c r="J703" t="s">
        <v>22</v>
      </c>
      <c r="K703" t="s">
        <v>6538</v>
      </c>
      <c r="L703" t="s">
        <v>245</v>
      </c>
      <c r="M703" t="s">
        <v>19</v>
      </c>
      <c r="N703">
        <v>2</v>
      </c>
      <c r="O703" t="s">
        <v>246</v>
      </c>
      <c r="P703" t="s">
        <v>21</v>
      </c>
      <c r="Q703" t="s">
        <v>30</v>
      </c>
      <c r="R703" t="str">
        <f>VLOOKUP($O703,'Mapa Oficinas'!$A$7:$C$46,2,FALSE)</f>
        <v>Interior - Salta</v>
      </c>
      <c r="S703" t="str">
        <f>VLOOKUP($O703,'Mapa Oficinas'!$A$7:$C$46,3,FALSE)</f>
        <v>San Lorenzo Chico</v>
      </c>
    </row>
    <row r="704" spans="1:19" x14ac:dyDescent="0.2">
      <c r="A704" s="1">
        <v>45803</v>
      </c>
      <c r="B704" t="s">
        <v>6533</v>
      </c>
      <c r="D704" t="s">
        <v>6534</v>
      </c>
      <c r="E704" t="s">
        <v>16</v>
      </c>
      <c r="F704" t="s">
        <v>17</v>
      </c>
      <c r="G704" s="14">
        <v>109900</v>
      </c>
      <c r="H704" s="14">
        <v>109900</v>
      </c>
      <c r="I704" t="s">
        <v>22</v>
      </c>
      <c r="J704" t="s">
        <v>22</v>
      </c>
      <c r="K704" t="s">
        <v>6535</v>
      </c>
      <c r="L704" t="s">
        <v>217</v>
      </c>
      <c r="M704" t="s">
        <v>19</v>
      </c>
      <c r="N704">
        <v>2</v>
      </c>
      <c r="O704" t="s">
        <v>103</v>
      </c>
      <c r="P704" t="s">
        <v>21</v>
      </c>
      <c r="Q704" t="s">
        <v>30</v>
      </c>
      <c r="R704" t="str">
        <f>VLOOKUP($O704,'Mapa Oficinas'!$A$7:$C$46,2,FALSE)</f>
        <v>CABA</v>
      </c>
      <c r="S704" t="str">
        <f>VLOOKUP($O704,'Mapa Oficinas'!$A$7:$C$46,3,FALSE)</f>
        <v>Barrio Parque</v>
      </c>
    </row>
    <row r="705" spans="1:19" x14ac:dyDescent="0.2">
      <c r="A705" s="1">
        <v>45803</v>
      </c>
      <c r="B705" t="s">
        <v>6526</v>
      </c>
      <c r="D705" t="s">
        <v>6527</v>
      </c>
      <c r="E705" t="s">
        <v>16</v>
      </c>
      <c r="F705" t="s">
        <v>134</v>
      </c>
      <c r="G705" s="14">
        <v>130000</v>
      </c>
      <c r="H705" s="14">
        <v>130000</v>
      </c>
      <c r="I705" t="s">
        <v>22</v>
      </c>
      <c r="J705" t="s">
        <v>22</v>
      </c>
      <c r="L705" t="s">
        <v>129</v>
      </c>
      <c r="M705" t="s">
        <v>72</v>
      </c>
      <c r="N705">
        <v>1</v>
      </c>
      <c r="O705" t="s">
        <v>130</v>
      </c>
      <c r="P705" t="s">
        <v>131</v>
      </c>
      <c r="Q705" t="s">
        <v>30</v>
      </c>
      <c r="R705" t="str">
        <f>VLOOKUP($O705,'Mapa Oficinas'!$A$7:$C$46,2,FALSE)</f>
        <v>Interior - Río Negro</v>
      </c>
      <c r="S705" t="str">
        <f>VLOOKUP($O705,'Mapa Oficinas'!$A$7:$C$46,3,FALSE)</f>
        <v>Bariloche</v>
      </c>
    </row>
    <row r="706" spans="1:19" x14ac:dyDescent="0.2">
      <c r="A706" s="1">
        <v>45803</v>
      </c>
      <c r="B706" t="s">
        <v>6528</v>
      </c>
      <c r="D706" t="s">
        <v>6529</v>
      </c>
      <c r="E706" t="s">
        <v>16</v>
      </c>
      <c r="F706" t="s">
        <v>184</v>
      </c>
      <c r="G706" s="14">
        <v>650000</v>
      </c>
      <c r="H706" s="14">
        <v>650000</v>
      </c>
      <c r="I706" t="s">
        <v>22</v>
      </c>
      <c r="J706" t="s">
        <v>22</v>
      </c>
      <c r="K706" t="s">
        <v>6530</v>
      </c>
      <c r="L706" t="s">
        <v>307</v>
      </c>
      <c r="M706" t="s">
        <v>28</v>
      </c>
      <c r="N706">
        <v>2</v>
      </c>
      <c r="O706" t="s">
        <v>130</v>
      </c>
      <c r="P706" t="s">
        <v>41</v>
      </c>
      <c r="Q706" t="s">
        <v>30</v>
      </c>
      <c r="R706" t="str">
        <f>VLOOKUP($O706,'Mapa Oficinas'!$A$7:$C$46,2,FALSE)</f>
        <v>Interior - Río Negro</v>
      </c>
      <c r="S706" t="str">
        <f>VLOOKUP($O706,'Mapa Oficinas'!$A$7:$C$46,3,FALSE)</f>
        <v>Bariloche</v>
      </c>
    </row>
    <row r="707" spans="1:19" x14ac:dyDescent="0.2">
      <c r="A707" s="1">
        <v>45804</v>
      </c>
      <c r="B707" t="s">
        <v>6511</v>
      </c>
      <c r="D707" t="s">
        <v>6512</v>
      </c>
      <c r="E707" t="s">
        <v>16</v>
      </c>
      <c r="F707" t="s">
        <v>17</v>
      </c>
      <c r="G707" s="14">
        <v>108000</v>
      </c>
      <c r="H707" s="14">
        <v>102000</v>
      </c>
      <c r="I707" t="s">
        <v>22</v>
      </c>
      <c r="J707" t="s">
        <v>22</v>
      </c>
      <c r="K707" t="s">
        <v>6513</v>
      </c>
      <c r="L707" t="s">
        <v>4609</v>
      </c>
      <c r="M707" t="s">
        <v>19</v>
      </c>
      <c r="N707">
        <v>2</v>
      </c>
      <c r="O707" t="s">
        <v>116</v>
      </c>
      <c r="P707" t="s">
        <v>21</v>
      </c>
      <c r="Q707" t="s">
        <v>30</v>
      </c>
      <c r="R707" t="str">
        <f>VLOOKUP($O707,'Mapa Oficinas'!$A$7:$C$46,2,FALSE)</f>
        <v>CABA</v>
      </c>
      <c r="S707" t="str">
        <f>VLOOKUP($O707,'Mapa Oficinas'!$A$7:$C$46,3,FALSE)</f>
        <v>Puerto Madero</v>
      </c>
    </row>
    <row r="708" spans="1:19" x14ac:dyDescent="0.2">
      <c r="A708" s="1">
        <v>45804</v>
      </c>
      <c r="B708" t="s">
        <v>6514</v>
      </c>
      <c r="D708" t="s">
        <v>6515</v>
      </c>
      <c r="E708" t="s">
        <v>16</v>
      </c>
      <c r="F708" t="s">
        <v>17</v>
      </c>
      <c r="G708" s="14">
        <v>135000</v>
      </c>
      <c r="H708" s="14">
        <v>130000</v>
      </c>
      <c r="I708" t="s">
        <v>22</v>
      </c>
      <c r="J708" t="s">
        <v>22</v>
      </c>
      <c r="K708" t="s">
        <v>6516</v>
      </c>
      <c r="L708" t="s">
        <v>700</v>
      </c>
      <c r="M708" t="s">
        <v>19</v>
      </c>
      <c r="N708">
        <v>2</v>
      </c>
      <c r="O708" t="s">
        <v>201</v>
      </c>
      <c r="P708" t="s">
        <v>21</v>
      </c>
      <c r="Q708" t="s">
        <v>30</v>
      </c>
      <c r="R708" t="str">
        <f>VLOOKUP($O708,'Mapa Oficinas'!$A$7:$C$46,2,FALSE)</f>
        <v>CABA</v>
      </c>
      <c r="S708" t="str">
        <f>VLOOKUP($O708,'Mapa Oficinas'!$A$7:$C$46,3,FALSE)</f>
        <v>Recoleta</v>
      </c>
    </row>
    <row r="709" spans="1:19" x14ac:dyDescent="0.2">
      <c r="A709" s="1">
        <v>45804</v>
      </c>
      <c r="B709" t="s">
        <v>6517</v>
      </c>
      <c r="D709" t="s">
        <v>6518</v>
      </c>
      <c r="E709" t="s">
        <v>16</v>
      </c>
      <c r="F709" t="s">
        <v>243</v>
      </c>
      <c r="G709" s="14">
        <v>135000</v>
      </c>
      <c r="H709" s="14">
        <v>130000</v>
      </c>
      <c r="I709" t="s">
        <v>22</v>
      </c>
      <c r="J709" t="s">
        <v>22</v>
      </c>
      <c r="K709" t="s">
        <v>6519</v>
      </c>
      <c r="L709" t="s">
        <v>2998</v>
      </c>
      <c r="M709" t="s">
        <v>28</v>
      </c>
      <c r="N709">
        <v>2</v>
      </c>
      <c r="O709" t="s">
        <v>246</v>
      </c>
      <c r="P709" t="s">
        <v>21</v>
      </c>
      <c r="Q709" t="s">
        <v>30</v>
      </c>
      <c r="R709" t="str">
        <f>VLOOKUP($O709,'Mapa Oficinas'!$A$7:$C$46,2,FALSE)</f>
        <v>Interior - Salta</v>
      </c>
      <c r="S709" t="str">
        <f>VLOOKUP($O709,'Mapa Oficinas'!$A$7:$C$46,3,FALSE)</f>
        <v>San Lorenzo Chico</v>
      </c>
    </row>
    <row r="710" spans="1:19" x14ac:dyDescent="0.2">
      <c r="A710" s="1">
        <v>45804</v>
      </c>
      <c r="B710" t="s">
        <v>6520</v>
      </c>
      <c r="D710" t="s">
        <v>6521</v>
      </c>
      <c r="E710" t="s">
        <v>16</v>
      </c>
      <c r="F710" t="s">
        <v>17</v>
      </c>
      <c r="G710" s="14">
        <v>150000</v>
      </c>
      <c r="H710" s="14">
        <v>150000</v>
      </c>
      <c r="I710" t="s">
        <v>22</v>
      </c>
      <c r="J710" t="s">
        <v>22</v>
      </c>
      <c r="K710" t="s">
        <v>6522</v>
      </c>
      <c r="L710" t="s">
        <v>821</v>
      </c>
      <c r="M710" t="s">
        <v>28</v>
      </c>
      <c r="N710">
        <v>2</v>
      </c>
      <c r="O710" t="s">
        <v>151</v>
      </c>
      <c r="P710" t="s">
        <v>21</v>
      </c>
      <c r="Q710" t="s">
        <v>30</v>
      </c>
      <c r="R710" t="str">
        <f>VLOOKUP($O710,'Mapa Oficinas'!$A$7:$C$46,2,FALSE)</f>
        <v>Interior - Neuquén</v>
      </c>
      <c r="S710" t="str">
        <f>VLOOKUP($O710,'Mapa Oficinas'!$A$7:$C$46,3,FALSE)</f>
        <v>Capital Neuquén</v>
      </c>
    </row>
    <row r="711" spans="1:19" x14ac:dyDescent="0.2">
      <c r="A711" s="1">
        <v>45805</v>
      </c>
      <c r="B711" t="s">
        <v>6479</v>
      </c>
      <c r="D711" t="s">
        <v>6114</v>
      </c>
      <c r="E711" t="s">
        <v>16</v>
      </c>
      <c r="F711" t="s">
        <v>17</v>
      </c>
      <c r="G711" s="14">
        <v>51500</v>
      </c>
      <c r="H711" s="14">
        <v>51500</v>
      </c>
      <c r="I711" t="s">
        <v>22</v>
      </c>
      <c r="J711" t="s">
        <v>22</v>
      </c>
      <c r="K711" t="s">
        <v>6115</v>
      </c>
      <c r="L711" t="s">
        <v>1353</v>
      </c>
      <c r="M711" t="s">
        <v>19</v>
      </c>
      <c r="N711">
        <v>2</v>
      </c>
      <c r="O711" t="s">
        <v>151</v>
      </c>
      <c r="P711" t="s">
        <v>41</v>
      </c>
      <c r="Q711" t="s">
        <v>30</v>
      </c>
      <c r="R711" t="str">
        <f>VLOOKUP($O711,'Mapa Oficinas'!$A$7:$C$46,2,FALSE)</f>
        <v>Interior - Neuquén</v>
      </c>
      <c r="S711" t="str">
        <f>VLOOKUP($O711,'Mapa Oficinas'!$A$7:$C$46,3,FALSE)</f>
        <v>Capital Neuquén</v>
      </c>
    </row>
    <row r="712" spans="1:19" x14ac:dyDescent="0.2">
      <c r="A712" s="1">
        <v>45805</v>
      </c>
      <c r="B712" t="s">
        <v>6494</v>
      </c>
      <c r="D712" t="s">
        <v>6495</v>
      </c>
      <c r="E712" t="s">
        <v>16</v>
      </c>
      <c r="F712" t="s">
        <v>17</v>
      </c>
      <c r="G712" s="14">
        <v>30000</v>
      </c>
      <c r="H712" s="14">
        <v>60000</v>
      </c>
      <c r="I712" t="s">
        <v>22</v>
      </c>
      <c r="J712" t="s">
        <v>22</v>
      </c>
      <c r="L712" t="s">
        <v>189</v>
      </c>
      <c r="M712" t="s">
        <v>19</v>
      </c>
      <c r="N712">
        <v>1</v>
      </c>
      <c r="O712" t="s">
        <v>151</v>
      </c>
      <c r="P712" t="s">
        <v>146</v>
      </c>
      <c r="Q712" t="s">
        <v>30</v>
      </c>
      <c r="R712" t="str">
        <f>VLOOKUP($O712,'Mapa Oficinas'!$A$7:$C$46,2,FALSE)</f>
        <v>Interior - Neuquén</v>
      </c>
      <c r="S712" t="str">
        <f>VLOOKUP($O712,'Mapa Oficinas'!$A$7:$C$46,3,FALSE)</f>
        <v>Capital Neuquén</v>
      </c>
    </row>
    <row r="713" spans="1:19" x14ac:dyDescent="0.2">
      <c r="A713" s="1">
        <v>45805</v>
      </c>
      <c r="B713" t="s">
        <v>6491</v>
      </c>
      <c r="D713" t="s">
        <v>6492</v>
      </c>
      <c r="E713" t="s">
        <v>16</v>
      </c>
      <c r="F713" t="s">
        <v>17</v>
      </c>
      <c r="G713" s="14">
        <v>70000</v>
      </c>
      <c r="H713" s="14">
        <v>65000</v>
      </c>
      <c r="I713" t="s">
        <v>22</v>
      </c>
      <c r="J713" t="s">
        <v>22</v>
      </c>
      <c r="K713" t="s">
        <v>6493</v>
      </c>
      <c r="L713" t="s">
        <v>1598</v>
      </c>
      <c r="M713" t="s">
        <v>28</v>
      </c>
      <c r="N713">
        <v>2</v>
      </c>
      <c r="O713" t="s">
        <v>151</v>
      </c>
      <c r="P713" t="s">
        <v>41</v>
      </c>
      <c r="Q713" t="s">
        <v>30</v>
      </c>
      <c r="R713" t="str">
        <f>VLOOKUP($O713,'Mapa Oficinas'!$A$7:$C$46,2,FALSE)</f>
        <v>Interior - Neuquén</v>
      </c>
      <c r="S713" t="str">
        <f>VLOOKUP($O713,'Mapa Oficinas'!$A$7:$C$46,3,FALSE)</f>
        <v>Capital Neuquén</v>
      </c>
    </row>
    <row r="714" spans="1:19" x14ac:dyDescent="0.2">
      <c r="A714" s="1">
        <v>45805</v>
      </c>
      <c r="D714" t="s">
        <v>6474</v>
      </c>
      <c r="E714" t="s">
        <v>16</v>
      </c>
      <c r="F714" t="s">
        <v>17</v>
      </c>
      <c r="G714" s="14">
        <v>76000</v>
      </c>
      <c r="H714" s="14">
        <v>76000</v>
      </c>
      <c r="I714" t="s">
        <v>22</v>
      </c>
      <c r="J714" t="s">
        <v>22</v>
      </c>
      <c r="K714" t="s">
        <v>6475</v>
      </c>
      <c r="L714" t="s">
        <v>1564</v>
      </c>
      <c r="M714" t="s">
        <v>19</v>
      </c>
      <c r="N714">
        <v>1</v>
      </c>
      <c r="O714" t="s">
        <v>201</v>
      </c>
      <c r="P714" t="s">
        <v>146</v>
      </c>
      <c r="Q714" t="s">
        <v>30</v>
      </c>
      <c r="R714" t="str">
        <f>VLOOKUP($O714,'Mapa Oficinas'!$A$7:$C$46,2,FALSE)</f>
        <v>CABA</v>
      </c>
      <c r="S714" t="str">
        <f>VLOOKUP($O714,'Mapa Oficinas'!$A$7:$C$46,3,FALSE)</f>
        <v>Recoleta</v>
      </c>
    </row>
    <row r="715" spans="1:19" x14ac:dyDescent="0.2">
      <c r="A715" s="1">
        <v>45805</v>
      </c>
      <c r="B715" t="s">
        <v>6476</v>
      </c>
      <c r="D715" t="s">
        <v>6477</v>
      </c>
      <c r="E715" t="s">
        <v>16</v>
      </c>
      <c r="F715" t="s">
        <v>17</v>
      </c>
      <c r="G715" s="14">
        <v>99000</v>
      </c>
      <c r="H715" s="14">
        <v>91000</v>
      </c>
      <c r="I715" t="s">
        <v>22</v>
      </c>
      <c r="J715" t="s">
        <v>22</v>
      </c>
      <c r="K715" t="s">
        <v>6478</v>
      </c>
      <c r="L715" t="s">
        <v>37</v>
      </c>
      <c r="M715" t="s">
        <v>19</v>
      </c>
      <c r="N715">
        <v>2</v>
      </c>
      <c r="O715" t="s">
        <v>201</v>
      </c>
      <c r="P715" t="s">
        <v>276</v>
      </c>
      <c r="Q715" t="s">
        <v>30</v>
      </c>
      <c r="R715" t="str">
        <f>VLOOKUP($O715,'Mapa Oficinas'!$A$7:$C$46,2,FALSE)</f>
        <v>CABA</v>
      </c>
      <c r="S715" t="str">
        <f>VLOOKUP($O715,'Mapa Oficinas'!$A$7:$C$46,3,FALSE)</f>
        <v>Recoleta</v>
      </c>
    </row>
    <row r="716" spans="1:19" x14ac:dyDescent="0.2">
      <c r="A716" s="1">
        <v>45805</v>
      </c>
      <c r="B716" t="s">
        <v>6496</v>
      </c>
      <c r="D716" t="s">
        <v>6497</v>
      </c>
      <c r="E716" t="s">
        <v>16</v>
      </c>
      <c r="F716" t="s">
        <v>17</v>
      </c>
      <c r="G716" s="14">
        <v>170000</v>
      </c>
      <c r="H716" s="14">
        <v>165000</v>
      </c>
      <c r="I716" t="s">
        <v>22</v>
      </c>
      <c r="J716" t="s">
        <v>22</v>
      </c>
      <c r="K716" t="s">
        <v>6498</v>
      </c>
      <c r="L716" t="s">
        <v>226</v>
      </c>
      <c r="M716" t="s">
        <v>19</v>
      </c>
      <c r="N716">
        <v>2</v>
      </c>
      <c r="O716" t="s">
        <v>103</v>
      </c>
      <c r="P716" t="s">
        <v>276</v>
      </c>
      <c r="Q716" t="s">
        <v>30</v>
      </c>
      <c r="R716" t="str">
        <f>VLOOKUP($O716,'Mapa Oficinas'!$A$7:$C$46,2,FALSE)</f>
        <v>CABA</v>
      </c>
      <c r="S716" t="str">
        <f>VLOOKUP($O716,'Mapa Oficinas'!$A$7:$C$46,3,FALSE)</f>
        <v>Barrio Parque</v>
      </c>
    </row>
    <row r="717" spans="1:19" x14ac:dyDescent="0.2">
      <c r="A717" s="1">
        <v>45805</v>
      </c>
      <c r="B717" t="s">
        <v>6499</v>
      </c>
      <c r="D717" t="s">
        <v>6500</v>
      </c>
      <c r="E717" t="s">
        <v>16</v>
      </c>
      <c r="F717" t="s">
        <v>17</v>
      </c>
      <c r="G717" s="14">
        <v>180000</v>
      </c>
      <c r="H717" s="14">
        <v>174000</v>
      </c>
      <c r="I717" t="s">
        <v>22</v>
      </c>
      <c r="J717" t="s">
        <v>22</v>
      </c>
      <c r="K717" t="s">
        <v>6501</v>
      </c>
      <c r="L717" t="s">
        <v>226</v>
      </c>
      <c r="M717" t="s">
        <v>19</v>
      </c>
      <c r="N717">
        <v>2</v>
      </c>
      <c r="O717" t="s">
        <v>103</v>
      </c>
      <c r="P717" t="s">
        <v>21</v>
      </c>
      <c r="Q717" t="s">
        <v>30</v>
      </c>
      <c r="R717" t="str">
        <f>VLOOKUP($O717,'Mapa Oficinas'!$A$7:$C$46,2,FALSE)</f>
        <v>CABA</v>
      </c>
      <c r="S717" t="str">
        <f>VLOOKUP($O717,'Mapa Oficinas'!$A$7:$C$46,3,FALSE)</f>
        <v>Barrio Parque</v>
      </c>
    </row>
    <row r="718" spans="1:19" x14ac:dyDescent="0.2">
      <c r="A718" s="1">
        <v>45805</v>
      </c>
      <c r="B718" t="s">
        <v>6502</v>
      </c>
      <c r="D718" t="s">
        <v>6503</v>
      </c>
      <c r="E718" t="s">
        <v>16</v>
      </c>
      <c r="F718" t="s">
        <v>17</v>
      </c>
      <c r="G718" s="14">
        <v>198000</v>
      </c>
      <c r="H718" s="14">
        <v>180000</v>
      </c>
      <c r="I718" t="s">
        <v>22</v>
      </c>
      <c r="J718" t="s">
        <v>22</v>
      </c>
      <c r="K718" t="s">
        <v>6504</v>
      </c>
      <c r="L718" t="s">
        <v>4813</v>
      </c>
      <c r="M718" t="s">
        <v>19</v>
      </c>
      <c r="N718">
        <v>2</v>
      </c>
      <c r="O718" t="s">
        <v>103</v>
      </c>
      <c r="P718" t="s">
        <v>21</v>
      </c>
      <c r="Q718" t="s">
        <v>30</v>
      </c>
      <c r="R718" t="str">
        <f>VLOOKUP($O718,'Mapa Oficinas'!$A$7:$C$46,2,FALSE)</f>
        <v>CABA</v>
      </c>
      <c r="S718" t="str">
        <f>VLOOKUP($O718,'Mapa Oficinas'!$A$7:$C$46,3,FALSE)</f>
        <v>Barrio Parque</v>
      </c>
    </row>
    <row r="719" spans="1:19" x14ac:dyDescent="0.2">
      <c r="A719" s="1">
        <v>45805</v>
      </c>
      <c r="B719" t="s">
        <v>6488</v>
      </c>
      <c r="D719" t="s">
        <v>6489</v>
      </c>
      <c r="E719" t="s">
        <v>16</v>
      </c>
      <c r="F719" t="s">
        <v>17</v>
      </c>
      <c r="G719" s="14">
        <v>219000</v>
      </c>
      <c r="H719" s="14">
        <v>210000</v>
      </c>
      <c r="I719" t="s">
        <v>22</v>
      </c>
      <c r="J719" t="s">
        <v>22</v>
      </c>
      <c r="K719" t="s">
        <v>1145</v>
      </c>
      <c r="L719" t="s">
        <v>6490</v>
      </c>
      <c r="M719" t="s">
        <v>28</v>
      </c>
      <c r="N719">
        <v>2</v>
      </c>
      <c r="O719" t="s">
        <v>227</v>
      </c>
      <c r="P719" t="s">
        <v>21</v>
      </c>
      <c r="Q719" t="s">
        <v>30</v>
      </c>
      <c r="R719" t="str">
        <f>VLOOKUP($O719,'Mapa Oficinas'!$A$7:$C$46,2,FALSE)</f>
        <v>Zona Oeste (GBA)</v>
      </c>
      <c r="S719" t="str">
        <f>VLOOKUP($O719,'Mapa Oficinas'!$A$7:$C$46,3,FALSE)</f>
        <v>Parque Leloir</v>
      </c>
    </row>
    <row r="720" spans="1:19" x14ac:dyDescent="0.2">
      <c r="A720" s="1">
        <v>45805</v>
      </c>
      <c r="B720" t="s">
        <v>6481</v>
      </c>
      <c r="D720" t="s">
        <v>6482</v>
      </c>
      <c r="E720" t="s">
        <v>16</v>
      </c>
      <c r="F720" t="s">
        <v>17</v>
      </c>
      <c r="G720" s="14">
        <v>295000</v>
      </c>
      <c r="H720" s="14">
        <v>215000</v>
      </c>
      <c r="I720" t="s">
        <v>22</v>
      </c>
      <c r="J720" t="s">
        <v>22</v>
      </c>
      <c r="K720" t="s">
        <v>6483</v>
      </c>
      <c r="L720" t="s">
        <v>6484</v>
      </c>
      <c r="M720" t="s">
        <v>28</v>
      </c>
      <c r="N720">
        <v>2</v>
      </c>
      <c r="O720" t="s">
        <v>142</v>
      </c>
      <c r="P720" t="s">
        <v>276</v>
      </c>
      <c r="Q720" t="s">
        <v>30</v>
      </c>
      <c r="R720" t="str">
        <f>VLOOKUP($O720,'Mapa Oficinas'!$A$7:$C$46,2,FALSE)</f>
        <v>Zona Norte (GBA)</v>
      </c>
      <c r="S720" t="str">
        <f>VLOOKUP($O720,'Mapa Oficinas'!$A$7:$C$46,3,FALSE)</f>
        <v>Nordelta</v>
      </c>
    </row>
    <row r="721" spans="1:19" x14ac:dyDescent="0.2">
      <c r="A721" s="1">
        <v>45805</v>
      </c>
      <c r="B721" t="s">
        <v>6485</v>
      </c>
      <c r="D721" t="s">
        <v>6486</v>
      </c>
      <c r="E721" t="s">
        <v>16</v>
      </c>
      <c r="F721" t="s">
        <v>17</v>
      </c>
      <c r="G721" s="14">
        <v>280000</v>
      </c>
      <c r="H721" s="14">
        <v>220122</v>
      </c>
      <c r="I721" t="s">
        <v>22</v>
      </c>
      <c r="J721" t="s">
        <v>22</v>
      </c>
      <c r="K721" t="s">
        <v>6487</v>
      </c>
      <c r="L721" t="s">
        <v>2132</v>
      </c>
      <c r="M721" t="s">
        <v>19</v>
      </c>
      <c r="N721">
        <v>2</v>
      </c>
      <c r="O721" t="s">
        <v>142</v>
      </c>
      <c r="P721" t="s">
        <v>276</v>
      </c>
      <c r="Q721" t="s">
        <v>30</v>
      </c>
      <c r="R721" t="str">
        <f>VLOOKUP($O721,'Mapa Oficinas'!$A$7:$C$46,2,FALSE)</f>
        <v>Zona Norte (GBA)</v>
      </c>
      <c r="S721" t="str">
        <f>VLOOKUP($O721,'Mapa Oficinas'!$A$7:$C$46,3,FALSE)</f>
        <v>Nordelta</v>
      </c>
    </row>
    <row r="722" spans="1:19" x14ac:dyDescent="0.2">
      <c r="A722" s="1">
        <v>45805</v>
      </c>
      <c r="B722" t="s">
        <v>6505</v>
      </c>
      <c r="D722" t="s">
        <v>6506</v>
      </c>
      <c r="E722" t="s">
        <v>16</v>
      </c>
      <c r="F722" t="s">
        <v>17</v>
      </c>
      <c r="G722" s="14">
        <v>275000</v>
      </c>
      <c r="H722" s="14">
        <v>265000</v>
      </c>
      <c r="I722" t="s">
        <v>22</v>
      </c>
      <c r="J722" t="s">
        <v>22</v>
      </c>
      <c r="K722" t="s">
        <v>6507</v>
      </c>
      <c r="L722" t="s">
        <v>191</v>
      </c>
      <c r="M722" t="s">
        <v>19</v>
      </c>
      <c r="N722">
        <v>2</v>
      </c>
      <c r="O722" t="s">
        <v>20</v>
      </c>
      <c r="P722" t="s">
        <v>21</v>
      </c>
      <c r="Q722" t="s">
        <v>30</v>
      </c>
      <c r="R722" t="str">
        <f>VLOOKUP($O722,'Mapa Oficinas'!$A$7:$C$46,2,FALSE)</f>
        <v>CABA</v>
      </c>
      <c r="S722" t="str">
        <f>VLOOKUP($O722,'Mapa Oficinas'!$A$7:$C$46,3,FALSE)</f>
        <v>Palermo</v>
      </c>
    </row>
    <row r="723" spans="1:19" x14ac:dyDescent="0.2">
      <c r="A723" s="1">
        <v>45805</v>
      </c>
      <c r="B723" t="s">
        <v>6470</v>
      </c>
      <c r="D723" t="s">
        <v>6471</v>
      </c>
      <c r="E723" t="s">
        <v>16</v>
      </c>
      <c r="F723" t="s">
        <v>38</v>
      </c>
      <c r="G723" s="14">
        <v>394900</v>
      </c>
      <c r="H723" s="14">
        <v>370000</v>
      </c>
      <c r="I723" t="s">
        <v>22</v>
      </c>
      <c r="J723" t="s">
        <v>22</v>
      </c>
      <c r="K723" t="s">
        <v>6472</v>
      </c>
      <c r="L723" t="s">
        <v>6473</v>
      </c>
      <c r="M723" t="s">
        <v>28</v>
      </c>
      <c r="N723">
        <v>2</v>
      </c>
      <c r="O723" t="s">
        <v>87</v>
      </c>
      <c r="P723" t="s">
        <v>276</v>
      </c>
      <c r="Q723" t="s">
        <v>30</v>
      </c>
      <c r="R723" t="str">
        <f>VLOOKUP($O723,'Mapa Oficinas'!$A$7:$C$46,2,FALSE)</f>
        <v>Zona Norte (GBA)</v>
      </c>
      <c r="S723" t="str">
        <f>VLOOKUP($O723,'Mapa Oficinas'!$A$7:$C$46,3,FALSE)</f>
        <v>Tigre</v>
      </c>
    </row>
    <row r="724" spans="1:19" x14ac:dyDescent="0.2">
      <c r="A724" s="1">
        <v>45806</v>
      </c>
      <c r="B724" t="s">
        <v>6436</v>
      </c>
      <c r="D724" t="s">
        <v>6437</v>
      </c>
      <c r="E724" t="s">
        <v>16</v>
      </c>
      <c r="F724" t="s">
        <v>17</v>
      </c>
      <c r="G724" s="14">
        <v>75000</v>
      </c>
      <c r="H724" s="14">
        <v>69500</v>
      </c>
      <c r="I724" t="s">
        <v>22</v>
      </c>
      <c r="J724" t="s">
        <v>22</v>
      </c>
      <c r="K724" t="s">
        <v>6438</v>
      </c>
      <c r="L724" t="s">
        <v>111</v>
      </c>
      <c r="M724" t="s">
        <v>19</v>
      </c>
      <c r="N724">
        <v>2</v>
      </c>
      <c r="O724" t="s">
        <v>116</v>
      </c>
      <c r="P724" t="s">
        <v>21</v>
      </c>
      <c r="Q724" t="s">
        <v>30</v>
      </c>
      <c r="R724" t="str">
        <f>VLOOKUP($O724,'Mapa Oficinas'!$A$7:$C$46,2,FALSE)</f>
        <v>CABA</v>
      </c>
      <c r="S724" t="str">
        <f>VLOOKUP($O724,'Mapa Oficinas'!$A$7:$C$46,3,FALSE)</f>
        <v>Puerto Madero</v>
      </c>
    </row>
    <row r="725" spans="1:19" x14ac:dyDescent="0.2">
      <c r="A725" s="1">
        <v>45806</v>
      </c>
      <c r="B725" t="s">
        <v>6463</v>
      </c>
      <c r="D725" t="s">
        <v>6464</v>
      </c>
      <c r="E725" t="s">
        <v>16</v>
      </c>
      <c r="F725" t="s">
        <v>58</v>
      </c>
      <c r="G725" s="14">
        <v>89900</v>
      </c>
      <c r="H725" s="14">
        <v>85000</v>
      </c>
      <c r="I725" t="s">
        <v>22</v>
      </c>
      <c r="J725" t="s">
        <v>22</v>
      </c>
      <c r="K725" t="s">
        <v>4088</v>
      </c>
      <c r="L725" t="s">
        <v>867</v>
      </c>
      <c r="M725" t="s">
        <v>13</v>
      </c>
      <c r="N725">
        <v>2</v>
      </c>
      <c r="O725" t="s">
        <v>50</v>
      </c>
      <c r="P725" t="s">
        <v>1578</v>
      </c>
      <c r="Q725" t="s">
        <v>30</v>
      </c>
      <c r="R725" t="str">
        <f>VLOOKUP($O725,'Mapa Oficinas'!$A$7:$C$46,2,FALSE)</f>
        <v>CABA</v>
      </c>
      <c r="S725" t="str">
        <f>VLOOKUP($O725,'Mapa Oficinas'!$A$7:$C$46,3,FALSE)</f>
        <v>Villa Urquiza</v>
      </c>
    </row>
    <row r="726" spans="1:19" x14ac:dyDescent="0.2">
      <c r="A726" s="1">
        <v>45806</v>
      </c>
      <c r="B726" t="s">
        <v>6460</v>
      </c>
      <c r="D726" t="s">
        <v>6461</v>
      </c>
      <c r="E726" t="s">
        <v>16</v>
      </c>
      <c r="F726" t="s">
        <v>17</v>
      </c>
      <c r="G726" s="14">
        <v>140000</v>
      </c>
      <c r="H726" s="14">
        <v>125000</v>
      </c>
      <c r="I726" t="s">
        <v>22</v>
      </c>
      <c r="J726" t="s">
        <v>22</v>
      </c>
      <c r="K726" t="s">
        <v>6462</v>
      </c>
      <c r="L726" t="s">
        <v>727</v>
      </c>
      <c r="M726" t="s">
        <v>19</v>
      </c>
      <c r="N726">
        <v>2</v>
      </c>
      <c r="O726" t="s">
        <v>103</v>
      </c>
      <c r="P726" t="s">
        <v>21</v>
      </c>
      <c r="Q726" t="s">
        <v>30</v>
      </c>
      <c r="R726" t="str">
        <f>VLOOKUP($O726,'Mapa Oficinas'!$A$7:$C$46,2,FALSE)</f>
        <v>CABA</v>
      </c>
      <c r="S726" t="str">
        <f>VLOOKUP($O726,'Mapa Oficinas'!$A$7:$C$46,3,FALSE)</f>
        <v>Barrio Parque</v>
      </c>
    </row>
    <row r="727" spans="1:19" x14ac:dyDescent="0.2">
      <c r="A727" s="1">
        <v>45806</v>
      </c>
      <c r="B727" t="s">
        <v>6451</v>
      </c>
      <c r="D727" t="s">
        <v>6452</v>
      </c>
      <c r="E727" t="s">
        <v>16</v>
      </c>
      <c r="F727" t="s">
        <v>17</v>
      </c>
      <c r="G727" s="14">
        <v>125000</v>
      </c>
      <c r="H727" s="14">
        <v>125000</v>
      </c>
      <c r="I727" t="s">
        <v>22</v>
      </c>
      <c r="J727" t="s">
        <v>22</v>
      </c>
      <c r="K727" t="s">
        <v>6453</v>
      </c>
      <c r="L727" t="s">
        <v>6454</v>
      </c>
      <c r="M727" t="s">
        <v>19</v>
      </c>
      <c r="N727">
        <v>2</v>
      </c>
      <c r="O727" t="s">
        <v>142</v>
      </c>
      <c r="P727" t="s">
        <v>41</v>
      </c>
      <c r="Q727" t="s">
        <v>30</v>
      </c>
      <c r="R727" t="str">
        <f>VLOOKUP($O727,'Mapa Oficinas'!$A$7:$C$46,2,FALSE)</f>
        <v>Zona Norte (GBA)</v>
      </c>
      <c r="S727" t="str">
        <f>VLOOKUP($O727,'Mapa Oficinas'!$A$7:$C$46,3,FALSE)</f>
        <v>Nordelta</v>
      </c>
    </row>
    <row r="728" spans="1:19" x14ac:dyDescent="0.2">
      <c r="A728" s="1">
        <v>45806</v>
      </c>
      <c r="B728" t="s">
        <v>6467</v>
      </c>
      <c r="D728" t="s">
        <v>6468</v>
      </c>
      <c r="E728" t="s">
        <v>16</v>
      </c>
      <c r="F728" t="s">
        <v>127</v>
      </c>
      <c r="G728" s="14">
        <v>126000</v>
      </c>
      <c r="H728" s="14">
        <v>126000</v>
      </c>
      <c r="I728" t="s">
        <v>22</v>
      </c>
      <c r="J728" t="s">
        <v>22</v>
      </c>
      <c r="K728" t="s">
        <v>6469</v>
      </c>
      <c r="L728" t="s">
        <v>545</v>
      </c>
      <c r="M728" t="s">
        <v>72</v>
      </c>
      <c r="N728">
        <v>2</v>
      </c>
      <c r="O728" t="s">
        <v>116</v>
      </c>
      <c r="P728" t="s">
        <v>21</v>
      </c>
      <c r="Q728" t="s">
        <v>30</v>
      </c>
      <c r="R728" t="str">
        <f>VLOOKUP($O728,'Mapa Oficinas'!$A$7:$C$46,2,FALSE)</f>
        <v>CABA</v>
      </c>
      <c r="S728" t="str">
        <f>VLOOKUP($O728,'Mapa Oficinas'!$A$7:$C$46,3,FALSE)</f>
        <v>Puerto Madero</v>
      </c>
    </row>
    <row r="729" spans="1:19" x14ac:dyDescent="0.2">
      <c r="A729" s="1">
        <v>45806</v>
      </c>
      <c r="B729" t="s">
        <v>6445</v>
      </c>
      <c r="D729" t="s">
        <v>6446</v>
      </c>
      <c r="E729" t="s">
        <v>16</v>
      </c>
      <c r="F729" t="s">
        <v>17</v>
      </c>
      <c r="G729" s="14">
        <v>139800</v>
      </c>
      <c r="H729" s="14">
        <v>137000</v>
      </c>
      <c r="I729" t="s">
        <v>22</v>
      </c>
      <c r="J729" t="s">
        <v>22</v>
      </c>
      <c r="K729" t="s">
        <v>6447</v>
      </c>
      <c r="L729" t="s">
        <v>1177</v>
      </c>
      <c r="M729" t="s">
        <v>72</v>
      </c>
      <c r="N729">
        <v>2</v>
      </c>
      <c r="O729" t="s">
        <v>20</v>
      </c>
      <c r="P729" t="s">
        <v>21</v>
      </c>
      <c r="Q729" t="s">
        <v>30</v>
      </c>
      <c r="R729" t="str">
        <f>VLOOKUP($O729,'Mapa Oficinas'!$A$7:$C$46,2,FALSE)</f>
        <v>CABA</v>
      </c>
      <c r="S729" t="str">
        <f>VLOOKUP($O729,'Mapa Oficinas'!$A$7:$C$46,3,FALSE)</f>
        <v>Palermo</v>
      </c>
    </row>
    <row r="730" spans="1:19" x14ac:dyDescent="0.2">
      <c r="A730" s="1">
        <v>45806</v>
      </c>
      <c r="B730" t="s">
        <v>6458</v>
      </c>
      <c r="D730" t="s">
        <v>6459</v>
      </c>
      <c r="E730" t="s">
        <v>16</v>
      </c>
      <c r="F730" t="s">
        <v>47</v>
      </c>
      <c r="G730" s="14">
        <v>148000</v>
      </c>
      <c r="H730" s="14">
        <v>148000</v>
      </c>
      <c r="I730" t="s">
        <v>22</v>
      </c>
      <c r="J730" t="s">
        <v>22</v>
      </c>
      <c r="L730" t="s">
        <v>358</v>
      </c>
      <c r="M730" t="s">
        <v>97</v>
      </c>
      <c r="N730">
        <v>2</v>
      </c>
      <c r="O730" t="s">
        <v>359</v>
      </c>
      <c r="P730" t="s">
        <v>21</v>
      </c>
      <c r="Q730" t="s">
        <v>30</v>
      </c>
      <c r="R730" t="str">
        <f>VLOOKUP($O730,'Mapa Oficinas'!$A$7:$C$46,2,FALSE)</f>
        <v>CABA</v>
      </c>
      <c r="S730" t="str">
        <f>VLOOKUP($O730,'Mapa Oficinas'!$A$7:$C$46,3,FALSE)</f>
        <v>Palermo</v>
      </c>
    </row>
    <row r="731" spans="1:19" x14ac:dyDescent="0.2">
      <c r="A731" s="1">
        <v>45806</v>
      </c>
      <c r="B731" t="s">
        <v>6448</v>
      </c>
      <c r="D731" t="s">
        <v>6449</v>
      </c>
      <c r="E731" t="s">
        <v>16</v>
      </c>
      <c r="F731" t="s">
        <v>17</v>
      </c>
      <c r="G731" s="14">
        <v>153500</v>
      </c>
      <c r="H731" s="14">
        <v>150000</v>
      </c>
      <c r="I731" t="s">
        <v>22</v>
      </c>
      <c r="J731" t="s">
        <v>22</v>
      </c>
      <c r="K731" t="s">
        <v>6450</v>
      </c>
      <c r="L731" t="s">
        <v>727</v>
      </c>
      <c r="M731" t="s">
        <v>19</v>
      </c>
      <c r="N731">
        <v>2</v>
      </c>
      <c r="O731" t="s">
        <v>252</v>
      </c>
      <c r="P731" t="s">
        <v>21</v>
      </c>
      <c r="Q731" t="s">
        <v>30</v>
      </c>
      <c r="R731" t="str">
        <f>VLOOKUP($O731,'Mapa Oficinas'!$A$7:$C$46,2,FALSE)</f>
        <v>CABA</v>
      </c>
      <c r="S731" t="str">
        <f>VLOOKUP($O731,'Mapa Oficinas'!$A$7:$C$46,3,FALSE)</f>
        <v>Belgrano</v>
      </c>
    </row>
    <row r="732" spans="1:19" x14ac:dyDescent="0.2">
      <c r="A732" s="1">
        <v>45806</v>
      </c>
      <c r="B732" t="s">
        <v>6442</v>
      </c>
      <c r="D732" t="s">
        <v>6443</v>
      </c>
      <c r="E732" t="s">
        <v>16</v>
      </c>
      <c r="F732" t="s">
        <v>17</v>
      </c>
      <c r="G732" s="14">
        <v>159000</v>
      </c>
      <c r="H732" s="14">
        <v>150500</v>
      </c>
      <c r="I732" t="s">
        <v>22</v>
      </c>
      <c r="J732" t="s">
        <v>22</v>
      </c>
      <c r="K732" t="s">
        <v>6444</v>
      </c>
      <c r="L732" t="s">
        <v>1064</v>
      </c>
      <c r="M732" t="s">
        <v>19</v>
      </c>
      <c r="N732">
        <v>2</v>
      </c>
      <c r="O732" t="s">
        <v>252</v>
      </c>
      <c r="P732" t="s">
        <v>276</v>
      </c>
      <c r="Q732" t="s">
        <v>30</v>
      </c>
      <c r="R732" t="str">
        <f>VLOOKUP($O732,'Mapa Oficinas'!$A$7:$C$46,2,FALSE)</f>
        <v>CABA</v>
      </c>
      <c r="S732" t="str">
        <f>VLOOKUP($O732,'Mapa Oficinas'!$A$7:$C$46,3,FALSE)</f>
        <v>Belgrano</v>
      </c>
    </row>
    <row r="733" spans="1:19" x14ac:dyDescent="0.2">
      <c r="A733" s="1">
        <v>45806</v>
      </c>
      <c r="B733" t="s">
        <v>6455</v>
      </c>
      <c r="D733" t="s">
        <v>6456</v>
      </c>
      <c r="E733" t="s">
        <v>16</v>
      </c>
      <c r="F733" t="s">
        <v>17</v>
      </c>
      <c r="G733" s="14">
        <v>290000</v>
      </c>
      <c r="H733" s="14">
        <v>250000</v>
      </c>
      <c r="I733" t="s">
        <v>22</v>
      </c>
      <c r="J733" t="s">
        <v>22</v>
      </c>
      <c r="K733" t="s">
        <v>6457</v>
      </c>
      <c r="L733" t="s">
        <v>191</v>
      </c>
      <c r="M733" t="s">
        <v>19</v>
      </c>
      <c r="N733">
        <v>2</v>
      </c>
      <c r="O733" t="s">
        <v>201</v>
      </c>
      <c r="P733" t="s">
        <v>21</v>
      </c>
      <c r="Q733" t="s">
        <v>30</v>
      </c>
      <c r="R733" t="str">
        <f>VLOOKUP($O733,'Mapa Oficinas'!$A$7:$C$46,2,FALSE)</f>
        <v>CABA</v>
      </c>
      <c r="S733" t="str">
        <f>VLOOKUP($O733,'Mapa Oficinas'!$A$7:$C$46,3,FALSE)</f>
        <v>Recoleta</v>
      </c>
    </row>
    <row r="734" spans="1:19" x14ac:dyDescent="0.2">
      <c r="A734" s="1">
        <v>45806</v>
      </c>
      <c r="B734" t="s">
        <v>6439</v>
      </c>
      <c r="D734" t="s">
        <v>6440</v>
      </c>
      <c r="E734" t="s">
        <v>16</v>
      </c>
      <c r="F734" t="s">
        <v>134</v>
      </c>
      <c r="G734" s="14">
        <v>291964</v>
      </c>
      <c r="H734" s="14">
        <v>270559</v>
      </c>
      <c r="I734" t="s">
        <v>22</v>
      </c>
      <c r="J734" t="s">
        <v>22</v>
      </c>
      <c r="K734" t="s">
        <v>6441</v>
      </c>
      <c r="L734" t="s">
        <v>136</v>
      </c>
      <c r="M734" t="s">
        <v>19</v>
      </c>
      <c r="N734">
        <v>2</v>
      </c>
      <c r="O734" t="s">
        <v>130</v>
      </c>
      <c r="P734" t="s">
        <v>21</v>
      </c>
      <c r="Q734" t="s">
        <v>30</v>
      </c>
      <c r="R734" t="str">
        <f>VLOOKUP($O734,'Mapa Oficinas'!$A$7:$C$46,2,FALSE)</f>
        <v>Interior - Río Negro</v>
      </c>
      <c r="S734" t="str">
        <f>VLOOKUP($O734,'Mapa Oficinas'!$A$7:$C$46,3,FALSE)</f>
        <v>Bariloche</v>
      </c>
    </row>
    <row r="735" spans="1:19" x14ac:dyDescent="0.2">
      <c r="A735" s="1">
        <v>45806</v>
      </c>
      <c r="B735" t="s">
        <v>3322</v>
      </c>
      <c r="D735" t="s">
        <v>3323</v>
      </c>
      <c r="E735" t="s">
        <v>16</v>
      </c>
      <c r="F735" t="s">
        <v>17</v>
      </c>
      <c r="G735" s="14">
        <v>330000</v>
      </c>
      <c r="H735" s="14">
        <v>300000</v>
      </c>
      <c r="I735" t="s">
        <v>22</v>
      </c>
      <c r="J735" t="s">
        <v>22</v>
      </c>
      <c r="K735" t="s">
        <v>1790</v>
      </c>
      <c r="L735" t="s">
        <v>933</v>
      </c>
      <c r="M735" t="s">
        <v>19</v>
      </c>
      <c r="N735">
        <v>2</v>
      </c>
      <c r="O735" t="s">
        <v>87</v>
      </c>
      <c r="P735" t="s">
        <v>21</v>
      </c>
      <c r="Q735" t="s">
        <v>30</v>
      </c>
      <c r="R735" t="str">
        <f>VLOOKUP($O735,'Mapa Oficinas'!$A$7:$C$46,2,FALSE)</f>
        <v>Zona Norte (GBA)</v>
      </c>
      <c r="S735" t="str">
        <f>VLOOKUP($O735,'Mapa Oficinas'!$A$7:$C$46,3,FALSE)</f>
        <v>Tigre</v>
      </c>
    </row>
    <row r="736" spans="1:19" x14ac:dyDescent="0.2">
      <c r="A736" s="1">
        <v>45807</v>
      </c>
      <c r="B736" t="s">
        <v>6423</v>
      </c>
      <c r="D736" t="s">
        <v>6424</v>
      </c>
      <c r="E736" t="s">
        <v>16</v>
      </c>
      <c r="F736" t="s">
        <v>17</v>
      </c>
      <c r="G736" s="14">
        <v>43500</v>
      </c>
      <c r="H736" s="14">
        <v>43500</v>
      </c>
      <c r="I736" t="s">
        <v>22</v>
      </c>
      <c r="J736" t="s">
        <v>22</v>
      </c>
      <c r="K736" t="s">
        <v>6423</v>
      </c>
      <c r="L736" t="s">
        <v>604</v>
      </c>
      <c r="M736" t="s">
        <v>97</v>
      </c>
      <c r="N736">
        <v>2</v>
      </c>
      <c r="O736" t="s">
        <v>35</v>
      </c>
      <c r="P736" t="s">
        <v>21</v>
      </c>
      <c r="Q736" t="s">
        <v>30</v>
      </c>
      <c r="R736" t="str">
        <f>VLOOKUP($O736,'Mapa Oficinas'!$A$7:$C$46,2,FALSE)</f>
        <v>Zona Norte (GBA)</v>
      </c>
      <c r="S736" t="str">
        <f>VLOOKUP($O736,'Mapa Oficinas'!$A$7:$C$46,3,FALSE)</f>
        <v>Vicente López</v>
      </c>
    </row>
    <row r="737" spans="1:19" x14ac:dyDescent="0.2">
      <c r="A737" s="1">
        <v>45807</v>
      </c>
      <c r="B737" t="s">
        <v>6428</v>
      </c>
      <c r="D737" t="s">
        <v>6429</v>
      </c>
      <c r="E737" t="s">
        <v>16</v>
      </c>
      <c r="F737" t="s">
        <v>38</v>
      </c>
      <c r="G737" s="14">
        <v>45000</v>
      </c>
      <c r="H737" s="14">
        <v>43500</v>
      </c>
      <c r="I737" t="s">
        <v>22</v>
      </c>
      <c r="J737" t="s">
        <v>22</v>
      </c>
      <c r="L737" t="s">
        <v>1085</v>
      </c>
      <c r="M737" t="s">
        <v>97</v>
      </c>
      <c r="N737">
        <v>2</v>
      </c>
      <c r="O737" t="s">
        <v>40</v>
      </c>
      <c r="P737" t="s">
        <v>36</v>
      </c>
      <c r="Q737" t="s">
        <v>30</v>
      </c>
      <c r="R737" t="str">
        <f>VLOOKUP($O737,'Mapa Oficinas'!$A$7:$C$46,2,FALSE)</f>
        <v>Zona Norte (GBA)</v>
      </c>
      <c r="S737" t="str">
        <f>VLOOKUP($O737,'Mapa Oficinas'!$A$7:$C$46,3,FALSE)</f>
        <v>Pilar</v>
      </c>
    </row>
    <row r="738" spans="1:19" x14ac:dyDescent="0.2">
      <c r="A738" s="1">
        <v>45807</v>
      </c>
      <c r="B738" t="s">
        <v>6404</v>
      </c>
      <c r="D738" t="s">
        <v>6405</v>
      </c>
      <c r="E738" t="s">
        <v>16</v>
      </c>
      <c r="F738" t="s">
        <v>17</v>
      </c>
      <c r="G738" s="14">
        <v>59500</v>
      </c>
      <c r="H738" s="14">
        <v>57000</v>
      </c>
      <c r="I738" t="s">
        <v>22</v>
      </c>
      <c r="J738" t="s">
        <v>22</v>
      </c>
      <c r="K738" t="s">
        <v>6406</v>
      </c>
      <c r="L738" t="s">
        <v>2697</v>
      </c>
      <c r="M738" t="s">
        <v>72</v>
      </c>
      <c r="N738">
        <v>2</v>
      </c>
      <c r="O738" t="s">
        <v>171</v>
      </c>
      <c r="P738" t="s">
        <v>276</v>
      </c>
      <c r="Q738" t="s">
        <v>30</v>
      </c>
      <c r="R738" t="str">
        <f>VLOOKUP($O738,'Mapa Oficinas'!$A$7:$C$46,2,FALSE)</f>
        <v>Zona Sur (GBA)</v>
      </c>
      <c r="S738" t="str">
        <f>VLOOKUP($O738,'Mapa Oficinas'!$A$7:$C$46,3,FALSE)</f>
        <v>La Plata</v>
      </c>
    </row>
    <row r="739" spans="1:19" x14ac:dyDescent="0.2">
      <c r="A739" s="1">
        <v>45807</v>
      </c>
      <c r="B739" t="s">
        <v>6434</v>
      </c>
      <c r="D739" t="s">
        <v>6431</v>
      </c>
      <c r="E739" t="s">
        <v>16</v>
      </c>
      <c r="F739" t="s">
        <v>38</v>
      </c>
      <c r="G739" s="14">
        <v>74000</v>
      </c>
      <c r="H739" s="14">
        <v>68000</v>
      </c>
      <c r="I739" t="s">
        <v>22</v>
      </c>
      <c r="J739" t="s">
        <v>22</v>
      </c>
      <c r="K739" t="s">
        <v>6435</v>
      </c>
      <c r="L739" t="s">
        <v>6433</v>
      </c>
      <c r="M739" t="s">
        <v>19</v>
      </c>
      <c r="N739">
        <v>2</v>
      </c>
      <c r="O739" t="s">
        <v>367</v>
      </c>
      <c r="P739" t="s">
        <v>44</v>
      </c>
      <c r="Q739" t="s">
        <v>30</v>
      </c>
      <c r="R739" t="str">
        <f>VLOOKUP($O739,'Mapa Oficinas'!$A$7:$C$46,2,FALSE)</f>
        <v>Interior - Neuquén</v>
      </c>
      <c r="S739" t="str">
        <f>VLOOKUP($O739,'Mapa Oficinas'!$A$7:$C$46,3,FALSE)</f>
        <v>San Martín de los Andes</v>
      </c>
    </row>
    <row r="740" spans="1:19" x14ac:dyDescent="0.2">
      <c r="A740" s="1">
        <v>45807</v>
      </c>
      <c r="B740" t="s">
        <v>6410</v>
      </c>
      <c r="D740" t="s">
        <v>6411</v>
      </c>
      <c r="E740" t="s">
        <v>16</v>
      </c>
      <c r="F740" t="s">
        <v>47</v>
      </c>
      <c r="G740" s="14">
        <v>79000</v>
      </c>
      <c r="H740" s="14">
        <v>75000</v>
      </c>
      <c r="I740" t="s">
        <v>22</v>
      </c>
      <c r="J740" t="s">
        <v>22</v>
      </c>
      <c r="K740" t="s">
        <v>6412</v>
      </c>
      <c r="L740" t="s">
        <v>164</v>
      </c>
      <c r="M740" t="s">
        <v>19</v>
      </c>
      <c r="N740">
        <v>2</v>
      </c>
      <c r="O740" t="s">
        <v>50</v>
      </c>
      <c r="P740" t="s">
        <v>21</v>
      </c>
      <c r="Q740" t="s">
        <v>30</v>
      </c>
      <c r="R740" t="str">
        <f>VLOOKUP($O740,'Mapa Oficinas'!$A$7:$C$46,2,FALSE)</f>
        <v>CABA</v>
      </c>
      <c r="S740" t="str">
        <f>VLOOKUP($O740,'Mapa Oficinas'!$A$7:$C$46,3,FALSE)</f>
        <v>Villa Urquiza</v>
      </c>
    </row>
    <row r="741" spans="1:19" x14ac:dyDescent="0.2">
      <c r="A741" s="1">
        <v>45807</v>
      </c>
      <c r="B741" t="s">
        <v>6398</v>
      </c>
      <c r="D741" t="s">
        <v>6399</v>
      </c>
      <c r="E741" t="s">
        <v>16</v>
      </c>
      <c r="F741" t="s">
        <v>17</v>
      </c>
      <c r="G741" s="14">
        <v>83000</v>
      </c>
      <c r="H741" s="14">
        <v>83700</v>
      </c>
      <c r="I741" t="s">
        <v>22</v>
      </c>
      <c r="J741" t="s">
        <v>22</v>
      </c>
      <c r="K741" t="s">
        <v>6400</v>
      </c>
      <c r="L741" t="s">
        <v>318</v>
      </c>
      <c r="M741" t="s">
        <v>19</v>
      </c>
      <c r="N741">
        <v>2</v>
      </c>
      <c r="O741" t="s">
        <v>50</v>
      </c>
      <c r="P741" t="s">
        <v>21</v>
      </c>
      <c r="Q741" t="s">
        <v>30</v>
      </c>
      <c r="R741" t="str">
        <f>VLOOKUP($O741,'Mapa Oficinas'!$A$7:$C$46,2,FALSE)</f>
        <v>CABA</v>
      </c>
      <c r="S741" t="str">
        <f>VLOOKUP($O741,'Mapa Oficinas'!$A$7:$C$46,3,FALSE)</f>
        <v>Villa Urquiza</v>
      </c>
    </row>
    <row r="742" spans="1:19" x14ac:dyDescent="0.2">
      <c r="A742" s="1">
        <v>45807</v>
      </c>
      <c r="B742" t="s">
        <v>6420</v>
      </c>
      <c r="D742" t="s">
        <v>6421</v>
      </c>
      <c r="E742" t="s">
        <v>16</v>
      </c>
      <c r="F742" t="s">
        <v>17</v>
      </c>
      <c r="G742" s="14">
        <v>95000</v>
      </c>
      <c r="H742" s="14">
        <v>90000</v>
      </c>
      <c r="I742" t="s">
        <v>22</v>
      </c>
      <c r="J742" t="s">
        <v>22</v>
      </c>
      <c r="K742" t="s">
        <v>6422</v>
      </c>
      <c r="L742" t="s">
        <v>277</v>
      </c>
      <c r="M742" t="s">
        <v>19</v>
      </c>
      <c r="N742">
        <v>2</v>
      </c>
      <c r="O742" t="s">
        <v>103</v>
      </c>
      <c r="P742" t="s">
        <v>21</v>
      </c>
      <c r="Q742" t="s">
        <v>30</v>
      </c>
      <c r="R742" t="str">
        <f>VLOOKUP($O742,'Mapa Oficinas'!$A$7:$C$46,2,FALSE)</f>
        <v>CABA</v>
      </c>
      <c r="S742" t="str">
        <f>VLOOKUP($O742,'Mapa Oficinas'!$A$7:$C$46,3,FALSE)</f>
        <v>Barrio Parque</v>
      </c>
    </row>
    <row r="743" spans="1:19" x14ac:dyDescent="0.2">
      <c r="A743" s="1">
        <v>45807</v>
      </c>
      <c r="B743" t="s">
        <v>6413</v>
      </c>
      <c r="D743" t="s">
        <v>6414</v>
      </c>
      <c r="E743" t="s">
        <v>16</v>
      </c>
      <c r="F743" t="s">
        <v>17</v>
      </c>
      <c r="G743" s="14">
        <v>109000</v>
      </c>
      <c r="H743" s="14">
        <v>103000</v>
      </c>
      <c r="I743" t="s">
        <v>22</v>
      </c>
      <c r="J743" t="s">
        <v>22</v>
      </c>
      <c r="K743" t="s">
        <v>6415</v>
      </c>
      <c r="L743" t="s">
        <v>221</v>
      </c>
      <c r="M743" t="s">
        <v>19</v>
      </c>
      <c r="N743">
        <v>2</v>
      </c>
      <c r="O743" t="s">
        <v>103</v>
      </c>
      <c r="P743" t="s">
        <v>21</v>
      </c>
      <c r="Q743" t="s">
        <v>30</v>
      </c>
      <c r="R743" t="str">
        <f>VLOOKUP($O743,'Mapa Oficinas'!$A$7:$C$46,2,FALSE)</f>
        <v>CABA</v>
      </c>
      <c r="S743" t="str">
        <f>VLOOKUP($O743,'Mapa Oficinas'!$A$7:$C$46,3,FALSE)</f>
        <v>Barrio Parque</v>
      </c>
    </row>
    <row r="744" spans="1:19" x14ac:dyDescent="0.2">
      <c r="A744" s="1">
        <v>45807</v>
      </c>
      <c r="B744" t="s">
        <v>6395</v>
      </c>
      <c r="D744" t="s">
        <v>6396</v>
      </c>
      <c r="E744" t="s">
        <v>16</v>
      </c>
      <c r="F744" t="s">
        <v>47</v>
      </c>
      <c r="G744" s="14">
        <v>135000</v>
      </c>
      <c r="H744" s="14">
        <v>123000</v>
      </c>
      <c r="I744" t="s">
        <v>22</v>
      </c>
      <c r="J744" t="s">
        <v>22</v>
      </c>
      <c r="K744" t="s">
        <v>6397</v>
      </c>
      <c r="L744" t="s">
        <v>545</v>
      </c>
      <c r="M744" t="s">
        <v>72</v>
      </c>
      <c r="N744">
        <v>2</v>
      </c>
      <c r="O744" t="s">
        <v>50</v>
      </c>
      <c r="P744" t="s">
        <v>21</v>
      </c>
      <c r="Q744" t="s">
        <v>30</v>
      </c>
      <c r="R744" t="str">
        <f>VLOOKUP($O744,'Mapa Oficinas'!$A$7:$C$46,2,FALSE)</f>
        <v>CABA</v>
      </c>
      <c r="S744" t="str">
        <f>VLOOKUP($O744,'Mapa Oficinas'!$A$7:$C$46,3,FALSE)</f>
        <v>Villa Urquiza</v>
      </c>
    </row>
    <row r="745" spans="1:19" x14ac:dyDescent="0.2">
      <c r="A745" s="1">
        <v>45807</v>
      </c>
      <c r="B745" t="s">
        <v>6430</v>
      </c>
      <c r="D745" t="s">
        <v>6431</v>
      </c>
      <c r="E745" t="s">
        <v>16</v>
      </c>
      <c r="F745" t="s">
        <v>38</v>
      </c>
      <c r="G745" s="14">
        <v>125000</v>
      </c>
      <c r="H745" s="14">
        <v>136000</v>
      </c>
      <c r="I745" t="s">
        <v>22</v>
      </c>
      <c r="J745" t="s">
        <v>22</v>
      </c>
      <c r="K745" t="s">
        <v>6432</v>
      </c>
      <c r="L745" t="s">
        <v>6433</v>
      </c>
      <c r="M745" t="s">
        <v>19</v>
      </c>
      <c r="N745">
        <v>2</v>
      </c>
      <c r="O745" t="s">
        <v>367</v>
      </c>
      <c r="P745" t="s">
        <v>44</v>
      </c>
      <c r="Q745" t="s">
        <v>30</v>
      </c>
      <c r="R745" t="str">
        <f>VLOOKUP($O745,'Mapa Oficinas'!$A$7:$C$46,2,FALSE)</f>
        <v>Interior - Neuquén</v>
      </c>
      <c r="S745" t="str">
        <f>VLOOKUP($O745,'Mapa Oficinas'!$A$7:$C$46,3,FALSE)</f>
        <v>San Martín de los Andes</v>
      </c>
    </row>
    <row r="746" spans="1:19" x14ac:dyDescent="0.2">
      <c r="A746" s="1">
        <v>45807</v>
      </c>
      <c r="B746" t="s">
        <v>6407</v>
      </c>
      <c r="D746" t="s">
        <v>6408</v>
      </c>
      <c r="E746" t="s">
        <v>16</v>
      </c>
      <c r="F746" t="s">
        <v>17</v>
      </c>
      <c r="G746" s="14">
        <v>135000</v>
      </c>
      <c r="H746" s="14">
        <v>150000</v>
      </c>
      <c r="I746" t="s">
        <v>22</v>
      </c>
      <c r="J746" t="s">
        <v>22</v>
      </c>
      <c r="K746" t="s">
        <v>6409</v>
      </c>
      <c r="L746" t="s">
        <v>1941</v>
      </c>
      <c r="M746" t="s">
        <v>19</v>
      </c>
      <c r="N746">
        <v>2</v>
      </c>
      <c r="O746" t="s">
        <v>142</v>
      </c>
      <c r="P746" t="s">
        <v>41</v>
      </c>
      <c r="Q746" t="s">
        <v>30</v>
      </c>
      <c r="R746" t="str">
        <f>VLOOKUP($O746,'Mapa Oficinas'!$A$7:$C$46,2,FALSE)</f>
        <v>Zona Norte (GBA)</v>
      </c>
      <c r="S746" t="str">
        <f>VLOOKUP($O746,'Mapa Oficinas'!$A$7:$C$46,3,FALSE)</f>
        <v>Nordelta</v>
      </c>
    </row>
    <row r="747" spans="1:19" x14ac:dyDescent="0.2">
      <c r="A747" s="1">
        <v>45807</v>
      </c>
      <c r="B747" t="s">
        <v>6418</v>
      </c>
      <c r="D747" t="s">
        <v>6419</v>
      </c>
      <c r="E747" t="s">
        <v>16</v>
      </c>
      <c r="F747" t="s">
        <v>17</v>
      </c>
      <c r="G747" s="14">
        <v>165000</v>
      </c>
      <c r="H747" s="14">
        <v>160000</v>
      </c>
      <c r="I747" t="s">
        <v>22</v>
      </c>
      <c r="J747" t="s">
        <v>22</v>
      </c>
      <c r="K747" t="s">
        <v>1450</v>
      </c>
      <c r="L747" t="s">
        <v>205</v>
      </c>
      <c r="M747" t="s">
        <v>19</v>
      </c>
      <c r="N747">
        <v>2</v>
      </c>
      <c r="O747" t="s">
        <v>35</v>
      </c>
      <c r="P747" t="s">
        <v>41</v>
      </c>
      <c r="Q747" t="s">
        <v>30</v>
      </c>
      <c r="R747" t="str">
        <f>VLOOKUP($O747,'Mapa Oficinas'!$A$7:$C$46,2,FALSE)</f>
        <v>Zona Norte (GBA)</v>
      </c>
      <c r="S747" t="str">
        <f>VLOOKUP($O747,'Mapa Oficinas'!$A$7:$C$46,3,FALSE)</f>
        <v>Vicente López</v>
      </c>
    </row>
    <row r="748" spans="1:19" x14ac:dyDescent="0.2">
      <c r="A748" s="1">
        <v>45807</v>
      </c>
      <c r="B748">
        <v>10378</v>
      </c>
      <c r="D748" t="s">
        <v>6416</v>
      </c>
      <c r="E748" t="s">
        <v>16</v>
      </c>
      <c r="F748" t="s">
        <v>17</v>
      </c>
      <c r="G748" s="14">
        <v>0</v>
      </c>
      <c r="H748" s="14">
        <v>180000</v>
      </c>
      <c r="I748" t="s">
        <v>22</v>
      </c>
      <c r="J748" t="s">
        <v>22</v>
      </c>
      <c r="L748" t="s">
        <v>277</v>
      </c>
      <c r="M748" t="s">
        <v>19</v>
      </c>
      <c r="N748">
        <v>2</v>
      </c>
      <c r="O748" t="s">
        <v>103</v>
      </c>
      <c r="P748" t="s">
        <v>276</v>
      </c>
      <c r="Q748" t="s">
        <v>30</v>
      </c>
      <c r="R748" t="str">
        <f>VLOOKUP($O748,'Mapa Oficinas'!$A$7:$C$46,2,FALSE)</f>
        <v>CABA</v>
      </c>
      <c r="S748" t="str">
        <f>VLOOKUP($O748,'Mapa Oficinas'!$A$7:$C$46,3,FALSE)</f>
        <v>Barrio Parque</v>
      </c>
    </row>
    <row r="749" spans="1:19" x14ac:dyDescent="0.2">
      <c r="A749" s="1">
        <v>45807</v>
      </c>
      <c r="B749" t="s">
        <v>6401</v>
      </c>
      <c r="D749" t="s">
        <v>6402</v>
      </c>
      <c r="E749" t="s">
        <v>16</v>
      </c>
      <c r="F749" t="s">
        <v>58</v>
      </c>
      <c r="G749" s="14">
        <v>235000</v>
      </c>
      <c r="H749" s="14">
        <v>220000</v>
      </c>
      <c r="I749" t="s">
        <v>22</v>
      </c>
      <c r="J749" t="s">
        <v>22</v>
      </c>
      <c r="K749" t="s">
        <v>6403</v>
      </c>
      <c r="L749" t="s">
        <v>277</v>
      </c>
      <c r="M749" t="s">
        <v>19</v>
      </c>
      <c r="N749">
        <v>2</v>
      </c>
      <c r="O749" t="s">
        <v>50</v>
      </c>
      <c r="P749" t="s">
        <v>21</v>
      </c>
      <c r="Q749" t="s">
        <v>30</v>
      </c>
      <c r="R749" t="str">
        <f>VLOOKUP($O749,'Mapa Oficinas'!$A$7:$C$46,2,FALSE)</f>
        <v>CABA</v>
      </c>
      <c r="S749" t="str">
        <f>VLOOKUP($O749,'Mapa Oficinas'!$A$7:$C$46,3,FALSE)</f>
        <v>Villa Urquiza</v>
      </c>
    </row>
    <row r="750" spans="1:19" x14ac:dyDescent="0.2">
      <c r="A750" s="1">
        <v>45807</v>
      </c>
      <c r="B750" t="s">
        <v>6425</v>
      </c>
      <c r="D750" t="s">
        <v>6426</v>
      </c>
      <c r="E750" t="s">
        <v>16</v>
      </c>
      <c r="F750" t="s">
        <v>82</v>
      </c>
      <c r="G750" s="14">
        <v>295000</v>
      </c>
      <c r="H750" s="14">
        <v>295000</v>
      </c>
      <c r="I750" t="s">
        <v>22</v>
      </c>
      <c r="J750" t="s">
        <v>22</v>
      </c>
      <c r="K750" t="s">
        <v>6427</v>
      </c>
      <c r="L750" t="s">
        <v>1811</v>
      </c>
      <c r="M750" t="s">
        <v>28</v>
      </c>
      <c r="N750">
        <v>1</v>
      </c>
      <c r="O750" t="s">
        <v>171</v>
      </c>
      <c r="P750" t="s">
        <v>146</v>
      </c>
      <c r="Q750" t="s">
        <v>30</v>
      </c>
      <c r="R750" t="str">
        <f>VLOOKUP($O750,'Mapa Oficinas'!$A$7:$C$46,2,FALSE)</f>
        <v>Zona Sur (GBA)</v>
      </c>
      <c r="S750" t="str">
        <f>VLOOKUP($O750,'Mapa Oficinas'!$A$7:$C$46,3,FALSE)</f>
        <v>La Plata</v>
      </c>
    </row>
    <row r="751" spans="1:19" x14ac:dyDescent="0.2">
      <c r="A751" s="1">
        <v>45807</v>
      </c>
      <c r="B751">
        <v>10342</v>
      </c>
      <c r="D751" t="s">
        <v>6417</v>
      </c>
      <c r="E751" t="s">
        <v>16</v>
      </c>
      <c r="F751" t="s">
        <v>82</v>
      </c>
      <c r="G751" s="14">
        <v>0</v>
      </c>
      <c r="H751" s="14">
        <v>540000</v>
      </c>
      <c r="I751" t="s">
        <v>22</v>
      </c>
      <c r="J751" t="s">
        <v>22</v>
      </c>
      <c r="K751" t="s">
        <v>6417</v>
      </c>
      <c r="L751" t="s">
        <v>117</v>
      </c>
      <c r="M751" t="s">
        <v>19</v>
      </c>
      <c r="N751">
        <v>2</v>
      </c>
      <c r="O751" t="s">
        <v>103</v>
      </c>
      <c r="P751" t="s">
        <v>21</v>
      </c>
      <c r="Q751" t="s">
        <v>30</v>
      </c>
      <c r="R751" t="str">
        <f>VLOOKUP($O751,'Mapa Oficinas'!$A$7:$C$46,2,FALSE)</f>
        <v>CABA</v>
      </c>
      <c r="S751" t="str">
        <f>VLOOKUP($O751,'Mapa Oficinas'!$A$7:$C$46,3,FALSE)</f>
        <v>Barrio Parque</v>
      </c>
    </row>
    <row r="752" spans="1:19" x14ac:dyDescent="0.2">
      <c r="A752" s="1">
        <v>45808</v>
      </c>
      <c r="B752" t="s">
        <v>6392</v>
      </c>
      <c r="D752" t="s">
        <v>6393</v>
      </c>
      <c r="E752" t="s">
        <v>16</v>
      </c>
      <c r="F752" t="s">
        <v>17</v>
      </c>
      <c r="G752" s="14">
        <v>79000</v>
      </c>
      <c r="H752" s="14">
        <v>77000</v>
      </c>
      <c r="I752" t="s">
        <v>22</v>
      </c>
      <c r="J752" t="s">
        <v>22</v>
      </c>
      <c r="K752" t="s">
        <v>6394</v>
      </c>
      <c r="L752" t="s">
        <v>3865</v>
      </c>
      <c r="M752" t="s">
        <v>19</v>
      </c>
      <c r="N752">
        <v>2</v>
      </c>
      <c r="O752" t="s">
        <v>116</v>
      </c>
      <c r="P752" t="s">
        <v>21</v>
      </c>
      <c r="Q752" t="s">
        <v>30</v>
      </c>
      <c r="R752" t="str">
        <f>VLOOKUP($O752,'Mapa Oficinas'!$A$7:$C$46,2,FALSE)</f>
        <v>CABA</v>
      </c>
      <c r="S752" t="str">
        <f>VLOOKUP($O752,'Mapa Oficinas'!$A$7:$C$46,3,FALSE)</f>
        <v>Puerto Madero</v>
      </c>
    </row>
    <row r="753" spans="1:19" x14ac:dyDescent="0.2">
      <c r="A753" s="1">
        <v>45809</v>
      </c>
      <c r="B753" t="s">
        <v>6386</v>
      </c>
      <c r="D753" t="s">
        <v>6387</v>
      </c>
      <c r="E753" t="s">
        <v>16</v>
      </c>
      <c r="F753" t="s">
        <v>53</v>
      </c>
      <c r="G753" s="14">
        <v>59000</v>
      </c>
      <c r="H753" s="14">
        <v>55000</v>
      </c>
      <c r="I753" t="s">
        <v>22</v>
      </c>
      <c r="J753" t="s">
        <v>22</v>
      </c>
      <c r="K753" t="s">
        <v>6388</v>
      </c>
      <c r="L753" t="s">
        <v>287</v>
      </c>
      <c r="M753" t="s">
        <v>28</v>
      </c>
      <c r="N753">
        <v>2</v>
      </c>
      <c r="O753" t="s">
        <v>85</v>
      </c>
      <c r="P753" t="s">
        <v>41</v>
      </c>
      <c r="Q753" t="s">
        <v>30</v>
      </c>
      <c r="R753" t="str">
        <f>VLOOKUP($O753,'Mapa Oficinas'!$A$7:$C$46,2,FALSE)</f>
        <v>Interior - Jujuy</v>
      </c>
      <c r="S753" t="str">
        <f>VLOOKUP($O753,'Mapa Oficinas'!$A$7:$C$46,3,FALSE)</f>
        <v>Capital Jujuy</v>
      </c>
    </row>
    <row r="754" spans="1:19" x14ac:dyDescent="0.2">
      <c r="A754" s="1">
        <v>45809</v>
      </c>
      <c r="B754" t="s">
        <v>6389</v>
      </c>
      <c r="D754" t="s">
        <v>6390</v>
      </c>
      <c r="E754" t="s">
        <v>16</v>
      </c>
      <c r="F754" t="s">
        <v>17</v>
      </c>
      <c r="G754" s="14">
        <v>82214</v>
      </c>
      <c r="H754" s="14">
        <v>99714</v>
      </c>
      <c r="I754" t="s">
        <v>22</v>
      </c>
      <c r="J754" t="s">
        <v>22</v>
      </c>
      <c r="K754" t="s">
        <v>6391</v>
      </c>
      <c r="L754" t="s">
        <v>442</v>
      </c>
      <c r="M754" t="s">
        <v>19</v>
      </c>
      <c r="N754">
        <v>2</v>
      </c>
      <c r="O754" t="s">
        <v>98</v>
      </c>
      <c r="P754" t="s">
        <v>41</v>
      </c>
      <c r="Q754" t="s">
        <v>30</v>
      </c>
      <c r="R754" t="str">
        <f>VLOOKUP($O754,'Mapa Oficinas'!$A$7:$C$46,2,FALSE)</f>
        <v>Interior - Neuquén</v>
      </c>
      <c r="S754" t="str">
        <f>VLOOKUP($O754,'Mapa Oficinas'!$A$7:$C$46,3,FALSE)</f>
        <v>Villa La Angostura</v>
      </c>
    </row>
    <row r="755" spans="1:19" x14ac:dyDescent="0.2">
      <c r="A755" s="1">
        <v>45810</v>
      </c>
      <c r="B755" t="s">
        <v>6380</v>
      </c>
      <c r="D755" t="s">
        <v>6381</v>
      </c>
      <c r="E755" t="s">
        <v>16</v>
      </c>
      <c r="F755" t="s">
        <v>17</v>
      </c>
      <c r="G755" s="14">
        <v>44000</v>
      </c>
      <c r="H755" s="14">
        <v>40500</v>
      </c>
      <c r="I755" t="s">
        <v>22</v>
      </c>
      <c r="J755" t="s">
        <v>22</v>
      </c>
      <c r="K755" t="s">
        <v>6382</v>
      </c>
      <c r="L755" t="s">
        <v>308</v>
      </c>
      <c r="M755" t="s">
        <v>19</v>
      </c>
      <c r="N755">
        <v>2</v>
      </c>
      <c r="O755" t="s">
        <v>171</v>
      </c>
      <c r="P755" t="s">
        <v>41</v>
      </c>
      <c r="Q755" t="s">
        <v>30</v>
      </c>
      <c r="R755" t="str">
        <f>VLOOKUP($O755,'Mapa Oficinas'!$A$7:$C$46,2,FALSE)</f>
        <v>Zona Sur (GBA)</v>
      </c>
      <c r="S755" t="str">
        <f>VLOOKUP($O755,'Mapa Oficinas'!$A$7:$C$46,3,FALSE)</f>
        <v>La Plata</v>
      </c>
    </row>
    <row r="756" spans="1:19" x14ac:dyDescent="0.2">
      <c r="A756" s="1">
        <v>45810</v>
      </c>
      <c r="B756" t="s">
        <v>6383</v>
      </c>
      <c r="D756" t="s">
        <v>6384</v>
      </c>
      <c r="E756" t="s">
        <v>16</v>
      </c>
      <c r="F756" t="s">
        <v>58</v>
      </c>
      <c r="G756" s="14">
        <v>135000</v>
      </c>
      <c r="H756" s="14">
        <v>127500</v>
      </c>
      <c r="I756" t="s">
        <v>22</v>
      </c>
      <c r="J756" t="s">
        <v>22</v>
      </c>
      <c r="K756" t="s">
        <v>6385</v>
      </c>
      <c r="L756" t="s">
        <v>394</v>
      </c>
      <c r="M756" t="s">
        <v>28</v>
      </c>
      <c r="N756">
        <v>2</v>
      </c>
      <c r="O756" t="s">
        <v>73</v>
      </c>
      <c r="P756" t="s">
        <v>276</v>
      </c>
      <c r="Q756" t="s">
        <v>30</v>
      </c>
      <c r="R756" t="str">
        <f>VLOOKUP($O756,'Mapa Oficinas'!$A$7:$C$46,2,FALSE)</f>
        <v>CABA</v>
      </c>
      <c r="S756" t="str">
        <f>VLOOKUP($O756,'Mapa Oficinas'!$A$7:$C$46,3,FALSE)</f>
        <v>Recoleta</v>
      </c>
    </row>
    <row r="757" spans="1:19" x14ac:dyDescent="0.2">
      <c r="A757" s="1">
        <v>45811</v>
      </c>
      <c r="B757" t="s">
        <v>6369</v>
      </c>
      <c r="D757" t="s">
        <v>6370</v>
      </c>
      <c r="E757" t="s">
        <v>16</v>
      </c>
      <c r="F757" t="s">
        <v>17</v>
      </c>
      <c r="G757" s="14">
        <v>84999</v>
      </c>
      <c r="H757" s="14">
        <v>70000</v>
      </c>
      <c r="I757" t="s">
        <v>22</v>
      </c>
      <c r="J757" t="s">
        <v>22</v>
      </c>
      <c r="K757" t="s">
        <v>6371</v>
      </c>
      <c r="L757" t="s">
        <v>6372</v>
      </c>
      <c r="M757" t="s">
        <v>28</v>
      </c>
      <c r="N757">
        <v>2</v>
      </c>
      <c r="O757" t="s">
        <v>1081</v>
      </c>
      <c r="P757" t="s">
        <v>21</v>
      </c>
      <c r="Q757" t="s">
        <v>30</v>
      </c>
      <c r="R757" t="str">
        <f>VLOOKUP($O757,'Mapa Oficinas'!$A$7:$C$46,2,FALSE)</f>
        <v>Zona Sur (GBA)</v>
      </c>
      <c r="S757" t="str">
        <f>VLOOKUP($O757,'Mapa Oficinas'!$A$7:$C$46,3,FALSE)</f>
        <v>Canning</v>
      </c>
    </row>
    <row r="758" spans="1:19" x14ac:dyDescent="0.2">
      <c r="A758" s="1">
        <v>45811</v>
      </c>
      <c r="B758" t="s">
        <v>6373</v>
      </c>
      <c r="D758" t="s">
        <v>6374</v>
      </c>
      <c r="E758" t="s">
        <v>16</v>
      </c>
      <c r="F758" t="s">
        <v>17</v>
      </c>
      <c r="G758" s="14">
        <v>95000</v>
      </c>
      <c r="H758" s="14">
        <v>88000</v>
      </c>
      <c r="I758" t="s">
        <v>22</v>
      </c>
      <c r="J758" t="s">
        <v>22</v>
      </c>
      <c r="K758" t="s">
        <v>6375</v>
      </c>
      <c r="L758" t="s">
        <v>6376</v>
      </c>
      <c r="M758" t="s">
        <v>19</v>
      </c>
      <c r="N758">
        <v>2</v>
      </c>
      <c r="O758" t="s">
        <v>1081</v>
      </c>
      <c r="P758" t="s">
        <v>276</v>
      </c>
      <c r="Q758" t="s">
        <v>30</v>
      </c>
      <c r="R758" t="str">
        <f>VLOOKUP($O758,'Mapa Oficinas'!$A$7:$C$46,2,FALSE)</f>
        <v>Zona Sur (GBA)</v>
      </c>
      <c r="S758" t="str">
        <f>VLOOKUP($O758,'Mapa Oficinas'!$A$7:$C$46,3,FALSE)</f>
        <v>Canning</v>
      </c>
    </row>
    <row r="759" spans="1:19" x14ac:dyDescent="0.2">
      <c r="A759" s="1">
        <v>45811</v>
      </c>
      <c r="B759" t="s">
        <v>6377</v>
      </c>
      <c r="D759" t="s">
        <v>6378</v>
      </c>
      <c r="E759" t="s">
        <v>16</v>
      </c>
      <c r="F759" t="s">
        <v>17</v>
      </c>
      <c r="G759" s="14">
        <v>120000</v>
      </c>
      <c r="H759" s="14">
        <v>90000</v>
      </c>
      <c r="I759" t="s">
        <v>22</v>
      </c>
      <c r="J759" t="s">
        <v>22</v>
      </c>
      <c r="K759" t="s">
        <v>6379</v>
      </c>
      <c r="L759" t="s">
        <v>4390</v>
      </c>
      <c r="M759" t="s">
        <v>28</v>
      </c>
      <c r="N759">
        <v>1</v>
      </c>
      <c r="O759" t="s">
        <v>55</v>
      </c>
      <c r="P759" t="s">
        <v>66</v>
      </c>
      <c r="Q759" t="s">
        <v>30</v>
      </c>
      <c r="R759" t="str">
        <f>VLOOKUP($O759,'Mapa Oficinas'!$A$7:$C$46,2,FALSE)</f>
        <v>Interior - Santa Fe</v>
      </c>
      <c r="S759" t="str">
        <f>VLOOKUP($O759,'Mapa Oficinas'!$A$7:$C$46,3,FALSE)</f>
        <v>Capital Santa Fe</v>
      </c>
    </row>
    <row r="760" spans="1:19" x14ac:dyDescent="0.2">
      <c r="A760" s="1">
        <v>45811</v>
      </c>
      <c r="B760" t="s">
        <v>2885</v>
      </c>
      <c r="D760" t="s">
        <v>2886</v>
      </c>
      <c r="E760" t="s">
        <v>16</v>
      </c>
      <c r="F760" t="s">
        <v>47</v>
      </c>
      <c r="G760" s="14">
        <v>108000</v>
      </c>
      <c r="H760" s="14">
        <v>105000</v>
      </c>
      <c r="I760" t="s">
        <v>22</v>
      </c>
      <c r="J760" t="s">
        <v>22</v>
      </c>
      <c r="K760" t="s">
        <v>2662</v>
      </c>
      <c r="L760" t="s">
        <v>2663</v>
      </c>
      <c r="M760" t="s">
        <v>19</v>
      </c>
      <c r="N760">
        <v>2</v>
      </c>
      <c r="O760" t="s">
        <v>73</v>
      </c>
      <c r="P760" t="s">
        <v>21</v>
      </c>
      <c r="Q760" t="s">
        <v>30</v>
      </c>
      <c r="R760" t="str">
        <f>VLOOKUP($O760,'Mapa Oficinas'!$A$7:$C$46,2,FALSE)</f>
        <v>CABA</v>
      </c>
      <c r="S760" t="str">
        <f>VLOOKUP($O760,'Mapa Oficinas'!$A$7:$C$46,3,FALSE)</f>
        <v>Recoleta</v>
      </c>
    </row>
    <row r="761" spans="1:19" x14ac:dyDescent="0.2">
      <c r="A761" s="1">
        <v>45811</v>
      </c>
      <c r="B761" t="s">
        <v>5839</v>
      </c>
      <c r="D761" t="s">
        <v>5840</v>
      </c>
      <c r="E761" t="s">
        <v>16</v>
      </c>
      <c r="F761" t="s">
        <v>53</v>
      </c>
      <c r="G761" s="14">
        <v>155000</v>
      </c>
      <c r="H761" s="14">
        <v>145000</v>
      </c>
      <c r="I761" t="s">
        <v>22</v>
      </c>
      <c r="J761" t="s">
        <v>22</v>
      </c>
      <c r="K761" t="s">
        <v>5841</v>
      </c>
      <c r="L761" t="s">
        <v>1249</v>
      </c>
      <c r="M761" t="s">
        <v>28</v>
      </c>
      <c r="N761">
        <v>2</v>
      </c>
      <c r="O761" t="s">
        <v>87</v>
      </c>
      <c r="P761" t="s">
        <v>21</v>
      </c>
      <c r="Q761" t="s">
        <v>30</v>
      </c>
      <c r="R761" t="str">
        <f>VLOOKUP($O761,'Mapa Oficinas'!$A$7:$C$46,2,FALSE)</f>
        <v>Zona Norte (GBA)</v>
      </c>
      <c r="S761" t="str">
        <f>VLOOKUP($O761,'Mapa Oficinas'!$A$7:$C$46,3,FALSE)</f>
        <v>Tigre</v>
      </c>
    </row>
    <row r="762" spans="1:19" x14ac:dyDescent="0.2">
      <c r="A762" s="1">
        <v>45811</v>
      </c>
      <c r="B762" t="s">
        <v>6365</v>
      </c>
      <c r="D762" t="s">
        <v>6366</v>
      </c>
      <c r="E762" t="s">
        <v>16</v>
      </c>
      <c r="F762" t="s">
        <v>17</v>
      </c>
      <c r="G762" s="14">
        <v>165000</v>
      </c>
      <c r="H762" s="14">
        <v>165000</v>
      </c>
      <c r="I762" t="s">
        <v>22</v>
      </c>
      <c r="J762" t="s">
        <v>22</v>
      </c>
      <c r="K762" t="s">
        <v>6367</v>
      </c>
      <c r="L762" t="s">
        <v>6368</v>
      </c>
      <c r="M762" t="s">
        <v>28</v>
      </c>
      <c r="N762">
        <v>2</v>
      </c>
      <c r="O762" t="s">
        <v>142</v>
      </c>
      <c r="P762" t="s">
        <v>41</v>
      </c>
      <c r="Q762" t="s">
        <v>30</v>
      </c>
      <c r="R762" t="str">
        <f>VLOOKUP($O762,'Mapa Oficinas'!$A$7:$C$46,2,FALSE)</f>
        <v>Zona Norte (GBA)</v>
      </c>
      <c r="S762" t="str">
        <f>VLOOKUP($O762,'Mapa Oficinas'!$A$7:$C$46,3,FALSE)</f>
        <v>Nordelta</v>
      </c>
    </row>
    <row r="763" spans="1:19" x14ac:dyDescent="0.2">
      <c r="A763" s="1">
        <v>45812</v>
      </c>
      <c r="B763" t="s">
        <v>6362</v>
      </c>
      <c r="D763" t="s">
        <v>6363</v>
      </c>
      <c r="E763" t="s">
        <v>16</v>
      </c>
      <c r="F763" t="s">
        <v>17</v>
      </c>
      <c r="G763" s="14">
        <v>49000</v>
      </c>
      <c r="H763" s="14">
        <v>46000</v>
      </c>
      <c r="I763" t="s">
        <v>22</v>
      </c>
      <c r="J763" t="s">
        <v>22</v>
      </c>
      <c r="K763" t="s">
        <v>6364</v>
      </c>
      <c r="L763" t="s">
        <v>1459</v>
      </c>
      <c r="M763" t="s">
        <v>72</v>
      </c>
      <c r="N763">
        <v>2</v>
      </c>
      <c r="O763" t="s">
        <v>20</v>
      </c>
      <c r="P763" t="s">
        <v>21</v>
      </c>
      <c r="Q763" t="s">
        <v>30</v>
      </c>
      <c r="R763" t="str">
        <f>VLOOKUP($O763,'Mapa Oficinas'!$A$7:$C$46,2,FALSE)</f>
        <v>CABA</v>
      </c>
      <c r="S763" t="str">
        <f>VLOOKUP($O763,'Mapa Oficinas'!$A$7:$C$46,3,FALSE)</f>
        <v>Palermo</v>
      </c>
    </row>
    <row r="764" spans="1:19" x14ac:dyDescent="0.2">
      <c r="A764" s="1">
        <v>45812</v>
      </c>
      <c r="B764" t="s">
        <v>6349</v>
      </c>
      <c r="D764" t="s">
        <v>6350</v>
      </c>
      <c r="E764" t="s">
        <v>16</v>
      </c>
      <c r="F764" t="s">
        <v>17</v>
      </c>
      <c r="G764" s="14">
        <v>60000</v>
      </c>
      <c r="H764" s="14">
        <v>58000</v>
      </c>
      <c r="I764" t="s">
        <v>22</v>
      </c>
      <c r="J764" t="s">
        <v>22</v>
      </c>
      <c r="K764" t="s">
        <v>6351</v>
      </c>
      <c r="L764" t="s">
        <v>170</v>
      </c>
      <c r="M764" t="s">
        <v>72</v>
      </c>
      <c r="N764">
        <v>2</v>
      </c>
      <c r="O764" t="s">
        <v>171</v>
      </c>
      <c r="P764" t="s">
        <v>21</v>
      </c>
      <c r="Q764" t="s">
        <v>30</v>
      </c>
      <c r="R764" t="str">
        <f>VLOOKUP($O764,'Mapa Oficinas'!$A$7:$C$46,2,FALSE)</f>
        <v>Zona Sur (GBA)</v>
      </c>
      <c r="S764" t="str">
        <f>VLOOKUP($O764,'Mapa Oficinas'!$A$7:$C$46,3,FALSE)</f>
        <v>La Plata</v>
      </c>
    </row>
    <row r="765" spans="1:19" x14ac:dyDescent="0.2">
      <c r="A765" s="1">
        <v>45812</v>
      </c>
      <c r="B765">
        <v>10417</v>
      </c>
      <c r="D765" t="s">
        <v>6355</v>
      </c>
      <c r="E765" t="s">
        <v>16</v>
      </c>
      <c r="F765" t="s">
        <v>17</v>
      </c>
      <c r="G765" s="14">
        <v>0</v>
      </c>
      <c r="H765" s="14">
        <v>65000</v>
      </c>
      <c r="I765" t="s">
        <v>22</v>
      </c>
      <c r="J765" t="s">
        <v>22</v>
      </c>
      <c r="L765" t="s">
        <v>205</v>
      </c>
      <c r="M765" t="s">
        <v>19</v>
      </c>
      <c r="N765">
        <v>1</v>
      </c>
      <c r="O765" t="s">
        <v>103</v>
      </c>
      <c r="P765" t="s">
        <v>146</v>
      </c>
      <c r="Q765" t="s">
        <v>30</v>
      </c>
      <c r="R765" t="str">
        <f>VLOOKUP($O765,'Mapa Oficinas'!$A$7:$C$46,2,FALSE)</f>
        <v>CABA</v>
      </c>
      <c r="S765" t="str">
        <f>VLOOKUP($O765,'Mapa Oficinas'!$A$7:$C$46,3,FALSE)</f>
        <v>Barrio Parque</v>
      </c>
    </row>
    <row r="766" spans="1:19" x14ac:dyDescent="0.2">
      <c r="A766" s="1">
        <v>45812</v>
      </c>
      <c r="B766" t="s">
        <v>6352</v>
      </c>
      <c r="D766" t="s">
        <v>6353</v>
      </c>
      <c r="E766" t="s">
        <v>16</v>
      </c>
      <c r="F766" t="s">
        <v>184</v>
      </c>
      <c r="G766" s="14">
        <v>89000</v>
      </c>
      <c r="H766" s="14">
        <v>86000</v>
      </c>
      <c r="I766" t="s">
        <v>22</v>
      </c>
      <c r="J766" t="s">
        <v>18</v>
      </c>
      <c r="K766" t="s">
        <v>6354</v>
      </c>
      <c r="L766" t="s">
        <v>1571</v>
      </c>
      <c r="M766" t="s">
        <v>19</v>
      </c>
      <c r="N766">
        <v>2</v>
      </c>
      <c r="O766" t="s">
        <v>116</v>
      </c>
      <c r="P766" t="s">
        <v>41</v>
      </c>
      <c r="Q766" t="s">
        <v>30</v>
      </c>
      <c r="R766" t="str">
        <f>VLOOKUP($O766,'Mapa Oficinas'!$A$7:$C$46,2,FALSE)</f>
        <v>CABA</v>
      </c>
      <c r="S766" t="str">
        <f>VLOOKUP($O766,'Mapa Oficinas'!$A$7:$C$46,3,FALSE)</f>
        <v>Puerto Madero</v>
      </c>
    </row>
    <row r="767" spans="1:19" x14ac:dyDescent="0.2">
      <c r="A767" s="1">
        <v>45812</v>
      </c>
      <c r="B767" t="s">
        <v>6343</v>
      </c>
      <c r="D767" t="s">
        <v>6344</v>
      </c>
      <c r="E767" t="s">
        <v>16</v>
      </c>
      <c r="F767" t="s">
        <v>82</v>
      </c>
      <c r="G767" s="14">
        <v>105000</v>
      </c>
      <c r="H767" s="14">
        <v>91000</v>
      </c>
      <c r="I767" t="s">
        <v>22</v>
      </c>
      <c r="J767" t="s">
        <v>22</v>
      </c>
      <c r="K767" t="s">
        <v>6345</v>
      </c>
      <c r="L767" t="s">
        <v>1531</v>
      </c>
      <c r="M767" t="s">
        <v>28</v>
      </c>
      <c r="N767">
        <v>2</v>
      </c>
      <c r="O767" t="s">
        <v>85</v>
      </c>
      <c r="P767" t="s">
        <v>21</v>
      </c>
      <c r="Q767" t="s">
        <v>30</v>
      </c>
      <c r="R767" t="str">
        <f>VLOOKUP($O767,'Mapa Oficinas'!$A$7:$C$46,2,FALSE)</f>
        <v>Interior - Jujuy</v>
      </c>
      <c r="S767" t="str">
        <f>VLOOKUP($O767,'Mapa Oficinas'!$A$7:$C$46,3,FALSE)</f>
        <v>Capital Jujuy</v>
      </c>
    </row>
    <row r="768" spans="1:19" x14ac:dyDescent="0.2">
      <c r="A768" s="1">
        <v>45812</v>
      </c>
      <c r="B768" t="s">
        <v>6356</v>
      </c>
      <c r="D768" t="s">
        <v>6357</v>
      </c>
      <c r="E768" t="s">
        <v>16</v>
      </c>
      <c r="F768" t="s">
        <v>17</v>
      </c>
      <c r="G768" s="14">
        <v>100000</v>
      </c>
      <c r="H768" s="14">
        <v>99000</v>
      </c>
      <c r="I768" t="s">
        <v>22</v>
      </c>
      <c r="J768" t="s">
        <v>22</v>
      </c>
      <c r="K768" t="s">
        <v>6358</v>
      </c>
      <c r="L768" t="s">
        <v>226</v>
      </c>
      <c r="M768" t="s">
        <v>19</v>
      </c>
      <c r="N768">
        <v>2</v>
      </c>
      <c r="O768" t="s">
        <v>103</v>
      </c>
      <c r="P768" t="s">
        <v>21</v>
      </c>
      <c r="Q768" t="s">
        <v>30</v>
      </c>
      <c r="R768" t="str">
        <f>VLOOKUP($O768,'Mapa Oficinas'!$A$7:$C$46,2,FALSE)</f>
        <v>CABA</v>
      </c>
      <c r="S768" t="str">
        <f>VLOOKUP($O768,'Mapa Oficinas'!$A$7:$C$46,3,FALSE)</f>
        <v>Barrio Parque</v>
      </c>
    </row>
    <row r="769" spans="1:19" x14ac:dyDescent="0.2">
      <c r="A769" s="1">
        <v>45812</v>
      </c>
      <c r="B769" t="s">
        <v>6292</v>
      </c>
      <c r="D769" t="s">
        <v>6293</v>
      </c>
      <c r="E769" t="s">
        <v>16</v>
      </c>
      <c r="F769" t="s">
        <v>17</v>
      </c>
      <c r="G769" s="14">
        <v>160000</v>
      </c>
      <c r="H769" s="14">
        <v>158000</v>
      </c>
      <c r="I769" t="s">
        <v>22</v>
      </c>
      <c r="J769" t="s">
        <v>22</v>
      </c>
      <c r="K769" t="s">
        <v>6294</v>
      </c>
      <c r="L769" t="s">
        <v>6295</v>
      </c>
      <c r="M769" t="s">
        <v>72</v>
      </c>
      <c r="N769">
        <v>2</v>
      </c>
      <c r="O769" t="s">
        <v>142</v>
      </c>
      <c r="P769" t="s">
        <v>36</v>
      </c>
      <c r="Q769" t="s">
        <v>30</v>
      </c>
      <c r="R769" t="str">
        <f>VLOOKUP($O769,'Mapa Oficinas'!$A$7:$C$46,2,FALSE)</f>
        <v>Zona Norte (GBA)</v>
      </c>
      <c r="S769" t="str">
        <f>VLOOKUP($O769,'Mapa Oficinas'!$A$7:$C$46,3,FALSE)</f>
        <v>Nordelta</v>
      </c>
    </row>
    <row r="770" spans="1:19" x14ac:dyDescent="0.2">
      <c r="A770" s="1">
        <v>45812</v>
      </c>
      <c r="B770" t="s">
        <v>1217</v>
      </c>
      <c r="D770" t="s">
        <v>5241</v>
      </c>
      <c r="E770" t="s">
        <v>16</v>
      </c>
      <c r="F770" t="s">
        <v>38</v>
      </c>
      <c r="G770" s="14">
        <v>175000</v>
      </c>
      <c r="H770" s="14">
        <v>170000</v>
      </c>
      <c r="I770" t="s">
        <v>22</v>
      </c>
      <c r="J770" t="s">
        <v>22</v>
      </c>
      <c r="K770" t="s">
        <v>5242</v>
      </c>
      <c r="L770" t="s">
        <v>88</v>
      </c>
      <c r="M770" t="s">
        <v>19</v>
      </c>
      <c r="N770">
        <v>2</v>
      </c>
      <c r="O770" t="s">
        <v>40</v>
      </c>
      <c r="P770" t="s">
        <v>44</v>
      </c>
      <c r="Q770" t="s">
        <v>30</v>
      </c>
      <c r="R770" t="str">
        <f>VLOOKUP($O770,'Mapa Oficinas'!$A$7:$C$46,2,FALSE)</f>
        <v>Zona Norte (GBA)</v>
      </c>
      <c r="S770" t="str">
        <f>VLOOKUP($O770,'Mapa Oficinas'!$A$7:$C$46,3,FALSE)</f>
        <v>Pilar</v>
      </c>
    </row>
    <row r="771" spans="1:19" x14ac:dyDescent="0.2">
      <c r="A771" s="1">
        <v>45812</v>
      </c>
      <c r="B771" t="s">
        <v>6359</v>
      </c>
      <c r="D771" t="s">
        <v>6360</v>
      </c>
      <c r="E771" t="s">
        <v>16</v>
      </c>
      <c r="F771" t="s">
        <v>17</v>
      </c>
      <c r="G771" s="14">
        <v>349000</v>
      </c>
      <c r="H771" s="14">
        <v>335000</v>
      </c>
      <c r="I771" t="s">
        <v>22</v>
      </c>
      <c r="J771" t="s">
        <v>22</v>
      </c>
      <c r="K771" t="s">
        <v>6361</v>
      </c>
      <c r="L771" t="s">
        <v>277</v>
      </c>
      <c r="M771" t="s">
        <v>19</v>
      </c>
      <c r="N771">
        <v>2</v>
      </c>
      <c r="O771" t="s">
        <v>103</v>
      </c>
      <c r="P771" t="s">
        <v>276</v>
      </c>
      <c r="Q771" t="s">
        <v>30</v>
      </c>
      <c r="R771" t="str">
        <f>VLOOKUP($O771,'Mapa Oficinas'!$A$7:$C$46,2,FALSE)</f>
        <v>CABA</v>
      </c>
      <c r="S771" t="str">
        <f>VLOOKUP($O771,'Mapa Oficinas'!$A$7:$C$46,3,FALSE)</f>
        <v>Barrio Parque</v>
      </c>
    </row>
    <row r="772" spans="1:19" x14ac:dyDescent="0.2">
      <c r="A772" s="1">
        <v>45813</v>
      </c>
      <c r="B772" t="s">
        <v>6331</v>
      </c>
      <c r="D772" t="s">
        <v>6332</v>
      </c>
      <c r="E772" t="s">
        <v>16</v>
      </c>
      <c r="F772" t="s">
        <v>17</v>
      </c>
      <c r="G772" s="14">
        <v>47000</v>
      </c>
      <c r="H772" s="14">
        <v>47000</v>
      </c>
      <c r="I772" t="s">
        <v>22</v>
      </c>
      <c r="J772" t="s">
        <v>22</v>
      </c>
      <c r="K772" t="s">
        <v>6333</v>
      </c>
      <c r="L772" t="s">
        <v>181</v>
      </c>
      <c r="M772" t="s">
        <v>13</v>
      </c>
      <c r="N772">
        <v>2</v>
      </c>
      <c r="O772" t="s">
        <v>65</v>
      </c>
      <c r="P772" t="s">
        <v>21</v>
      </c>
      <c r="Q772" t="s">
        <v>30</v>
      </c>
      <c r="R772" t="str">
        <f>VLOOKUP($O772,'Mapa Oficinas'!$A$7:$C$46,2,FALSE)</f>
        <v>Interior - Mendoza</v>
      </c>
      <c r="S772" t="str">
        <f>VLOOKUP($O772,'Mapa Oficinas'!$A$7:$C$46,3,FALSE)</f>
        <v>Capital Mendoza</v>
      </c>
    </row>
    <row r="773" spans="1:19" x14ac:dyDescent="0.2">
      <c r="A773" s="1">
        <v>45813</v>
      </c>
      <c r="B773" t="s">
        <v>6325</v>
      </c>
      <c r="D773" t="s">
        <v>6326</v>
      </c>
      <c r="E773" t="s">
        <v>16</v>
      </c>
      <c r="F773" t="s">
        <v>17</v>
      </c>
      <c r="G773" s="14">
        <v>65000</v>
      </c>
      <c r="H773" s="14">
        <v>60000</v>
      </c>
      <c r="I773" t="s">
        <v>22</v>
      </c>
      <c r="J773" t="s">
        <v>22</v>
      </c>
      <c r="K773" t="s">
        <v>6326</v>
      </c>
      <c r="L773" t="s">
        <v>6327</v>
      </c>
      <c r="M773" t="s">
        <v>28</v>
      </c>
      <c r="N773">
        <v>2</v>
      </c>
      <c r="O773" t="s">
        <v>65</v>
      </c>
      <c r="P773" t="s">
        <v>21</v>
      </c>
      <c r="Q773" t="s">
        <v>30</v>
      </c>
      <c r="R773" t="str">
        <f>VLOOKUP($O773,'Mapa Oficinas'!$A$7:$C$46,2,FALSE)</f>
        <v>Interior - Mendoza</v>
      </c>
      <c r="S773" t="str">
        <f>VLOOKUP($O773,'Mapa Oficinas'!$A$7:$C$46,3,FALSE)</f>
        <v>Capital Mendoza</v>
      </c>
    </row>
    <row r="774" spans="1:19" x14ac:dyDescent="0.2">
      <c r="A774" s="1">
        <v>45813</v>
      </c>
      <c r="B774" t="s">
        <v>6310</v>
      </c>
      <c r="D774" t="s">
        <v>6311</v>
      </c>
      <c r="E774" t="s">
        <v>16</v>
      </c>
      <c r="F774" t="s">
        <v>38</v>
      </c>
      <c r="G774" s="14">
        <v>64000</v>
      </c>
      <c r="H774" s="14">
        <v>64000</v>
      </c>
      <c r="I774" t="s">
        <v>22</v>
      </c>
      <c r="J774" t="s">
        <v>22</v>
      </c>
      <c r="K774" t="s">
        <v>6312</v>
      </c>
      <c r="L774" t="s">
        <v>245</v>
      </c>
      <c r="M774" t="s">
        <v>19</v>
      </c>
      <c r="N774">
        <v>1</v>
      </c>
      <c r="O774" t="s">
        <v>246</v>
      </c>
      <c r="P774" t="s">
        <v>66</v>
      </c>
      <c r="Q774" t="s">
        <v>30</v>
      </c>
      <c r="R774" t="str">
        <f>VLOOKUP($O774,'Mapa Oficinas'!$A$7:$C$46,2,FALSE)</f>
        <v>Interior - Salta</v>
      </c>
      <c r="S774" t="str">
        <f>VLOOKUP($O774,'Mapa Oficinas'!$A$7:$C$46,3,FALSE)</f>
        <v>San Lorenzo Chico</v>
      </c>
    </row>
    <row r="775" spans="1:19" x14ac:dyDescent="0.2">
      <c r="A775" s="1">
        <v>45813</v>
      </c>
      <c r="B775" t="s">
        <v>6319</v>
      </c>
      <c r="D775" t="s">
        <v>6320</v>
      </c>
      <c r="E775" t="s">
        <v>16</v>
      </c>
      <c r="F775" t="s">
        <v>53</v>
      </c>
      <c r="G775" s="14">
        <v>77000</v>
      </c>
      <c r="H775" s="14">
        <v>66600</v>
      </c>
      <c r="I775" t="s">
        <v>22</v>
      </c>
      <c r="J775" t="s">
        <v>22</v>
      </c>
      <c r="K775" t="s">
        <v>6321</v>
      </c>
      <c r="L775" t="s">
        <v>593</v>
      </c>
      <c r="M775" t="s">
        <v>19</v>
      </c>
      <c r="N775">
        <v>2</v>
      </c>
      <c r="O775" t="s">
        <v>65</v>
      </c>
      <c r="P775" t="s">
        <v>276</v>
      </c>
      <c r="Q775" t="s">
        <v>30</v>
      </c>
      <c r="R775" t="str">
        <f>VLOOKUP($O775,'Mapa Oficinas'!$A$7:$C$46,2,FALSE)</f>
        <v>Interior - Mendoza</v>
      </c>
      <c r="S775" t="str">
        <f>VLOOKUP($O775,'Mapa Oficinas'!$A$7:$C$46,3,FALSE)</f>
        <v>Capital Mendoza</v>
      </c>
    </row>
    <row r="776" spans="1:19" x14ac:dyDescent="0.2">
      <c r="A776" s="1">
        <v>45813</v>
      </c>
      <c r="B776" t="s">
        <v>6313</v>
      </c>
      <c r="D776" t="s">
        <v>6314</v>
      </c>
      <c r="E776" t="s">
        <v>16</v>
      </c>
      <c r="F776" t="s">
        <v>17</v>
      </c>
      <c r="G776" s="14">
        <v>80000</v>
      </c>
      <c r="H776" s="14">
        <v>77500</v>
      </c>
      <c r="I776" t="s">
        <v>22</v>
      </c>
      <c r="J776" t="s">
        <v>22</v>
      </c>
      <c r="K776" t="s">
        <v>6315</v>
      </c>
      <c r="L776" t="s">
        <v>593</v>
      </c>
      <c r="M776" t="s">
        <v>19</v>
      </c>
      <c r="N776">
        <v>2</v>
      </c>
      <c r="O776" t="s">
        <v>65</v>
      </c>
      <c r="P776" t="s">
        <v>21</v>
      </c>
      <c r="Q776" t="s">
        <v>30</v>
      </c>
      <c r="R776" t="str">
        <f>VLOOKUP($O776,'Mapa Oficinas'!$A$7:$C$46,2,FALSE)</f>
        <v>Interior - Mendoza</v>
      </c>
      <c r="S776" t="str">
        <f>VLOOKUP($O776,'Mapa Oficinas'!$A$7:$C$46,3,FALSE)</f>
        <v>Capital Mendoza</v>
      </c>
    </row>
    <row r="777" spans="1:19" x14ac:dyDescent="0.2">
      <c r="A777" s="1">
        <v>45813</v>
      </c>
      <c r="B777" t="s">
        <v>6328</v>
      </c>
      <c r="D777" t="s">
        <v>6329</v>
      </c>
      <c r="E777" t="s">
        <v>16</v>
      </c>
      <c r="F777" t="s">
        <v>17</v>
      </c>
      <c r="G777" s="14">
        <v>100000</v>
      </c>
      <c r="H777" s="14">
        <v>85000</v>
      </c>
      <c r="I777" t="s">
        <v>22</v>
      </c>
      <c r="J777" t="s">
        <v>22</v>
      </c>
      <c r="K777" t="s">
        <v>6330</v>
      </c>
      <c r="L777" t="s">
        <v>593</v>
      </c>
      <c r="M777" t="s">
        <v>300</v>
      </c>
      <c r="N777">
        <v>2</v>
      </c>
      <c r="O777" t="s">
        <v>65</v>
      </c>
      <c r="P777" t="s">
        <v>21</v>
      </c>
      <c r="Q777" t="s">
        <v>30</v>
      </c>
      <c r="R777" t="str">
        <f>VLOOKUP($O777,'Mapa Oficinas'!$A$7:$C$46,2,FALSE)</f>
        <v>Interior - Mendoza</v>
      </c>
      <c r="S777" t="str">
        <f>VLOOKUP($O777,'Mapa Oficinas'!$A$7:$C$46,3,FALSE)</f>
        <v>Capital Mendoza</v>
      </c>
    </row>
    <row r="778" spans="1:19" x14ac:dyDescent="0.2">
      <c r="A778" s="1">
        <v>45813</v>
      </c>
      <c r="B778" t="s">
        <v>6341</v>
      </c>
      <c r="D778" t="s">
        <v>6342</v>
      </c>
      <c r="E778" t="s">
        <v>16</v>
      </c>
      <c r="F778" t="s">
        <v>17</v>
      </c>
      <c r="G778" s="14">
        <v>106000</v>
      </c>
      <c r="H778" s="14">
        <v>101000</v>
      </c>
      <c r="I778" t="s">
        <v>22</v>
      </c>
      <c r="J778" t="s">
        <v>22</v>
      </c>
      <c r="K778" t="s">
        <v>3641</v>
      </c>
      <c r="L778" t="s">
        <v>442</v>
      </c>
      <c r="M778" t="s">
        <v>19</v>
      </c>
      <c r="N778">
        <v>2</v>
      </c>
      <c r="O778" t="s">
        <v>98</v>
      </c>
      <c r="P778" t="s">
        <v>21</v>
      </c>
      <c r="Q778" t="s">
        <v>30</v>
      </c>
      <c r="R778" t="str">
        <f>VLOOKUP($O778,'Mapa Oficinas'!$A$7:$C$46,2,FALSE)</f>
        <v>Interior - Neuquén</v>
      </c>
      <c r="S778" t="str">
        <f>VLOOKUP($O778,'Mapa Oficinas'!$A$7:$C$46,3,FALSE)</f>
        <v>Villa La Angostura</v>
      </c>
    </row>
    <row r="779" spans="1:19" x14ac:dyDescent="0.2">
      <c r="A779" s="1">
        <v>45813</v>
      </c>
      <c r="B779">
        <v>17</v>
      </c>
      <c r="D779" t="s">
        <v>6339</v>
      </c>
      <c r="E779" t="s">
        <v>16</v>
      </c>
      <c r="F779" t="s">
        <v>82</v>
      </c>
      <c r="G779" s="14">
        <v>126000</v>
      </c>
      <c r="H779" s="14">
        <v>126000</v>
      </c>
      <c r="I779" t="s">
        <v>22</v>
      </c>
      <c r="J779" t="s">
        <v>22</v>
      </c>
      <c r="K779" t="s">
        <v>6340</v>
      </c>
      <c r="L779" t="s">
        <v>545</v>
      </c>
      <c r="M779" t="s">
        <v>72</v>
      </c>
      <c r="N779">
        <v>1</v>
      </c>
      <c r="O779" t="s">
        <v>116</v>
      </c>
      <c r="P779" t="s">
        <v>146</v>
      </c>
      <c r="Q779" t="s">
        <v>30</v>
      </c>
      <c r="R779" t="str">
        <f>VLOOKUP($O779,'Mapa Oficinas'!$A$7:$C$46,2,FALSE)</f>
        <v>CABA</v>
      </c>
      <c r="S779" t="str">
        <f>VLOOKUP($O779,'Mapa Oficinas'!$A$7:$C$46,3,FALSE)</f>
        <v>Puerto Madero</v>
      </c>
    </row>
    <row r="780" spans="1:19" x14ac:dyDescent="0.2">
      <c r="A780" s="1">
        <v>45813</v>
      </c>
      <c r="B780" t="s">
        <v>1217</v>
      </c>
      <c r="D780" t="s">
        <v>5241</v>
      </c>
      <c r="E780" t="s">
        <v>16</v>
      </c>
      <c r="F780" t="s">
        <v>38</v>
      </c>
      <c r="G780" s="14">
        <v>170000</v>
      </c>
      <c r="H780" s="14">
        <v>168000</v>
      </c>
      <c r="I780" t="s">
        <v>22</v>
      </c>
      <c r="J780" t="s">
        <v>22</v>
      </c>
      <c r="K780" t="s">
        <v>5242</v>
      </c>
      <c r="L780" t="s">
        <v>88</v>
      </c>
      <c r="M780" t="s">
        <v>19</v>
      </c>
      <c r="N780">
        <v>2</v>
      </c>
      <c r="O780" t="s">
        <v>40</v>
      </c>
      <c r="P780" t="s">
        <v>44</v>
      </c>
      <c r="Q780" t="s">
        <v>30</v>
      </c>
      <c r="R780" t="str">
        <f>VLOOKUP($O780,'Mapa Oficinas'!$A$7:$C$46,2,FALSE)</f>
        <v>Zona Norte (GBA)</v>
      </c>
      <c r="S780" t="str">
        <f>VLOOKUP($O780,'Mapa Oficinas'!$A$7:$C$46,3,FALSE)</f>
        <v>Pilar</v>
      </c>
    </row>
    <row r="781" spans="1:19" x14ac:dyDescent="0.2">
      <c r="A781" s="1">
        <v>45813</v>
      </c>
      <c r="B781" t="s">
        <v>6316</v>
      </c>
      <c r="D781" t="s">
        <v>6317</v>
      </c>
      <c r="E781" t="s">
        <v>16</v>
      </c>
      <c r="F781" t="s">
        <v>17</v>
      </c>
      <c r="G781" s="14">
        <v>220000</v>
      </c>
      <c r="H781" s="14">
        <v>212000</v>
      </c>
      <c r="I781" t="s">
        <v>22</v>
      </c>
      <c r="J781" t="s">
        <v>22</v>
      </c>
      <c r="K781" t="s">
        <v>6318</v>
      </c>
      <c r="L781" t="s">
        <v>1877</v>
      </c>
      <c r="M781" t="s">
        <v>28</v>
      </c>
      <c r="N781">
        <v>2</v>
      </c>
      <c r="O781" t="s">
        <v>65</v>
      </c>
      <c r="P781" t="s">
        <v>21</v>
      </c>
      <c r="Q781" t="s">
        <v>30</v>
      </c>
      <c r="R781" t="str">
        <f>VLOOKUP($O781,'Mapa Oficinas'!$A$7:$C$46,2,FALSE)</f>
        <v>Interior - Mendoza</v>
      </c>
      <c r="S781" t="str">
        <f>VLOOKUP($O781,'Mapa Oficinas'!$A$7:$C$46,3,FALSE)</f>
        <v>Capital Mendoza</v>
      </c>
    </row>
    <row r="782" spans="1:19" x14ac:dyDescent="0.2">
      <c r="A782" s="1">
        <v>45813</v>
      </c>
      <c r="B782">
        <v>10313</v>
      </c>
      <c r="D782" t="s">
        <v>6338</v>
      </c>
      <c r="E782" t="s">
        <v>16</v>
      </c>
      <c r="F782" t="s">
        <v>127</v>
      </c>
      <c r="G782" s="14">
        <v>0</v>
      </c>
      <c r="H782" s="14">
        <v>900000</v>
      </c>
      <c r="I782" t="s">
        <v>22</v>
      </c>
      <c r="J782" t="s">
        <v>22</v>
      </c>
      <c r="L782" t="s">
        <v>222</v>
      </c>
      <c r="M782" t="s">
        <v>28</v>
      </c>
      <c r="N782">
        <v>2</v>
      </c>
      <c r="O782" t="s">
        <v>103</v>
      </c>
      <c r="P782" t="s">
        <v>21</v>
      </c>
      <c r="Q782" t="s">
        <v>30</v>
      </c>
      <c r="R782" t="str">
        <f>VLOOKUP($O782,'Mapa Oficinas'!$A$7:$C$46,2,FALSE)</f>
        <v>CABA</v>
      </c>
      <c r="S782" t="str">
        <f>VLOOKUP($O782,'Mapa Oficinas'!$A$7:$C$46,3,FALSE)</f>
        <v>Barrio Parque</v>
      </c>
    </row>
    <row r="783" spans="1:19" x14ac:dyDescent="0.2">
      <c r="A783" s="1">
        <v>45814</v>
      </c>
      <c r="B783" t="s">
        <v>6281</v>
      </c>
      <c r="D783" t="s">
        <v>6282</v>
      </c>
      <c r="E783" t="s">
        <v>16</v>
      </c>
      <c r="F783" t="s">
        <v>82</v>
      </c>
      <c r="G783" s="14">
        <v>43000</v>
      </c>
      <c r="H783" s="14">
        <v>40000</v>
      </c>
      <c r="I783" t="s">
        <v>22</v>
      </c>
      <c r="J783" t="s">
        <v>22</v>
      </c>
      <c r="K783" t="s">
        <v>6283</v>
      </c>
      <c r="L783" t="s">
        <v>2557</v>
      </c>
      <c r="M783" t="s">
        <v>19</v>
      </c>
      <c r="N783">
        <v>2</v>
      </c>
      <c r="O783" t="s">
        <v>85</v>
      </c>
      <c r="P783" t="s">
        <v>41</v>
      </c>
      <c r="Q783" t="s">
        <v>30</v>
      </c>
      <c r="R783" t="str">
        <f>VLOOKUP($O783,'Mapa Oficinas'!$A$7:$C$46,2,FALSE)</f>
        <v>Interior - Jujuy</v>
      </c>
      <c r="S783" t="str">
        <f>VLOOKUP($O783,'Mapa Oficinas'!$A$7:$C$46,3,FALSE)</f>
        <v>Capital Jujuy</v>
      </c>
    </row>
    <row r="784" spans="1:19" x14ac:dyDescent="0.2">
      <c r="A784" s="1">
        <v>45814</v>
      </c>
      <c r="B784" t="s">
        <v>6277</v>
      </c>
      <c r="D784" t="s">
        <v>6278</v>
      </c>
      <c r="E784" t="s">
        <v>16</v>
      </c>
      <c r="F784" t="s">
        <v>134</v>
      </c>
      <c r="G784" s="14">
        <v>50000</v>
      </c>
      <c r="H784" s="14">
        <v>42000</v>
      </c>
      <c r="I784" t="s">
        <v>22</v>
      </c>
      <c r="J784" t="s">
        <v>22</v>
      </c>
      <c r="K784" t="s">
        <v>6279</v>
      </c>
      <c r="L784" t="s">
        <v>6280</v>
      </c>
      <c r="M784" t="s">
        <v>28</v>
      </c>
      <c r="N784">
        <v>2</v>
      </c>
      <c r="O784" t="s">
        <v>130</v>
      </c>
      <c r="P784" t="s">
        <v>41</v>
      </c>
      <c r="Q784" t="s">
        <v>30</v>
      </c>
      <c r="R784" t="str">
        <f>VLOOKUP($O784,'Mapa Oficinas'!$A$7:$C$46,2,FALSE)</f>
        <v>Interior - Río Negro</v>
      </c>
      <c r="S784" t="str">
        <f>VLOOKUP($O784,'Mapa Oficinas'!$A$7:$C$46,3,FALSE)</f>
        <v>Bariloche</v>
      </c>
    </row>
    <row r="785" spans="1:19" x14ac:dyDescent="0.2">
      <c r="A785" s="1">
        <v>45814</v>
      </c>
      <c r="B785" t="s">
        <v>6308</v>
      </c>
      <c r="D785" t="s">
        <v>4760</v>
      </c>
      <c r="E785" t="s">
        <v>16</v>
      </c>
      <c r="F785" t="s">
        <v>53</v>
      </c>
      <c r="G785" s="14">
        <v>50000</v>
      </c>
      <c r="H785" s="14">
        <v>47000</v>
      </c>
      <c r="I785" t="s">
        <v>22</v>
      </c>
      <c r="J785" t="s">
        <v>22</v>
      </c>
      <c r="K785" t="s">
        <v>6309</v>
      </c>
      <c r="L785" t="s">
        <v>54</v>
      </c>
      <c r="M785" t="s">
        <v>19</v>
      </c>
      <c r="N785">
        <v>1</v>
      </c>
      <c r="O785" t="s">
        <v>55</v>
      </c>
      <c r="P785" t="s">
        <v>131</v>
      </c>
      <c r="Q785" t="s">
        <v>30</v>
      </c>
      <c r="R785" t="str">
        <f>VLOOKUP($O785,'Mapa Oficinas'!$A$7:$C$46,2,FALSE)</f>
        <v>Interior - Santa Fe</v>
      </c>
      <c r="S785" t="str">
        <f>VLOOKUP($O785,'Mapa Oficinas'!$A$7:$C$46,3,FALSE)</f>
        <v>Capital Santa Fe</v>
      </c>
    </row>
    <row r="786" spans="1:19" x14ac:dyDescent="0.2">
      <c r="A786" s="1">
        <v>45814</v>
      </c>
      <c r="B786" t="s">
        <v>6270</v>
      </c>
      <c r="D786" t="s">
        <v>6271</v>
      </c>
      <c r="E786" t="s">
        <v>16</v>
      </c>
      <c r="F786" t="s">
        <v>47</v>
      </c>
      <c r="G786" s="14">
        <v>80000</v>
      </c>
      <c r="H786" s="14">
        <v>80000</v>
      </c>
      <c r="I786" t="s">
        <v>22</v>
      </c>
      <c r="J786" t="s">
        <v>22</v>
      </c>
      <c r="K786" t="s">
        <v>6272</v>
      </c>
      <c r="L786" t="s">
        <v>6273</v>
      </c>
      <c r="M786" t="s">
        <v>28</v>
      </c>
      <c r="N786">
        <v>2</v>
      </c>
      <c r="O786" t="s">
        <v>50</v>
      </c>
      <c r="P786" t="s">
        <v>21</v>
      </c>
      <c r="Q786" t="s">
        <v>30</v>
      </c>
      <c r="R786" t="str">
        <f>VLOOKUP($O786,'Mapa Oficinas'!$A$7:$C$46,2,FALSE)</f>
        <v>CABA</v>
      </c>
      <c r="S786" t="str">
        <f>VLOOKUP($O786,'Mapa Oficinas'!$A$7:$C$46,3,FALSE)</f>
        <v>Villa Urquiza</v>
      </c>
    </row>
    <row r="787" spans="1:19" x14ac:dyDescent="0.2">
      <c r="A787" s="1">
        <v>45814</v>
      </c>
      <c r="B787" t="s">
        <v>6274</v>
      </c>
      <c r="D787" t="s">
        <v>6275</v>
      </c>
      <c r="E787" t="s">
        <v>16</v>
      </c>
      <c r="F787" t="s">
        <v>17</v>
      </c>
      <c r="G787" s="14">
        <v>89900</v>
      </c>
      <c r="H787" s="14">
        <v>90000</v>
      </c>
      <c r="I787" t="s">
        <v>22</v>
      </c>
      <c r="J787" t="s">
        <v>22</v>
      </c>
      <c r="K787" t="s">
        <v>6276</v>
      </c>
      <c r="L787" t="s">
        <v>1586</v>
      </c>
      <c r="M787" t="s">
        <v>19</v>
      </c>
      <c r="N787">
        <v>2</v>
      </c>
      <c r="O787" t="s">
        <v>50</v>
      </c>
      <c r="P787" t="s">
        <v>21</v>
      </c>
      <c r="Q787" t="s">
        <v>30</v>
      </c>
      <c r="R787" t="str">
        <f>VLOOKUP($O787,'Mapa Oficinas'!$A$7:$C$46,2,FALSE)</f>
        <v>CABA</v>
      </c>
      <c r="S787" t="str">
        <f>VLOOKUP($O787,'Mapa Oficinas'!$A$7:$C$46,3,FALSE)</f>
        <v>Villa Urquiza</v>
      </c>
    </row>
    <row r="788" spans="1:19" x14ac:dyDescent="0.2">
      <c r="A788" s="1">
        <v>45814</v>
      </c>
      <c r="B788" t="s">
        <v>6296</v>
      </c>
      <c r="D788" t="s">
        <v>6297</v>
      </c>
      <c r="E788" t="s">
        <v>16</v>
      </c>
      <c r="F788" t="s">
        <v>17</v>
      </c>
      <c r="G788" s="14">
        <v>140000</v>
      </c>
      <c r="H788" s="14">
        <v>140000</v>
      </c>
      <c r="I788" t="s">
        <v>22</v>
      </c>
      <c r="J788" t="s">
        <v>22</v>
      </c>
      <c r="K788" t="s">
        <v>6298</v>
      </c>
      <c r="L788" t="s">
        <v>503</v>
      </c>
      <c r="M788" t="s">
        <v>72</v>
      </c>
      <c r="N788">
        <v>2</v>
      </c>
      <c r="O788" t="s">
        <v>35</v>
      </c>
      <c r="P788" t="s">
        <v>21</v>
      </c>
      <c r="Q788" t="s">
        <v>30</v>
      </c>
      <c r="R788" t="str">
        <f>VLOOKUP($O788,'Mapa Oficinas'!$A$7:$C$46,2,FALSE)</f>
        <v>Zona Norte (GBA)</v>
      </c>
      <c r="S788" t="str">
        <f>VLOOKUP($O788,'Mapa Oficinas'!$A$7:$C$46,3,FALSE)</f>
        <v>Vicente López</v>
      </c>
    </row>
    <row r="789" spans="1:19" x14ac:dyDescent="0.2">
      <c r="A789" s="1">
        <v>45814</v>
      </c>
      <c r="B789" t="s">
        <v>6302</v>
      </c>
      <c r="D789" t="s">
        <v>6303</v>
      </c>
      <c r="E789" t="s">
        <v>16</v>
      </c>
      <c r="F789" t="s">
        <v>17</v>
      </c>
      <c r="G789" s="14">
        <v>165000</v>
      </c>
      <c r="H789" s="14">
        <v>145000</v>
      </c>
      <c r="I789" t="s">
        <v>22</v>
      </c>
      <c r="J789" t="s">
        <v>22</v>
      </c>
      <c r="K789" t="s">
        <v>6304</v>
      </c>
      <c r="L789" t="s">
        <v>545</v>
      </c>
      <c r="M789" t="s">
        <v>72</v>
      </c>
      <c r="N789">
        <v>2</v>
      </c>
      <c r="O789" t="s">
        <v>35</v>
      </c>
      <c r="P789" t="s">
        <v>21</v>
      </c>
      <c r="Q789" t="s">
        <v>30</v>
      </c>
      <c r="R789" t="str">
        <f>VLOOKUP($O789,'Mapa Oficinas'!$A$7:$C$46,2,FALSE)</f>
        <v>Zona Norte (GBA)</v>
      </c>
      <c r="S789" t="str">
        <f>VLOOKUP($O789,'Mapa Oficinas'!$A$7:$C$46,3,FALSE)</f>
        <v>Vicente López</v>
      </c>
    </row>
    <row r="790" spans="1:19" x14ac:dyDescent="0.2">
      <c r="A790" s="1">
        <v>45814</v>
      </c>
      <c r="B790" t="s">
        <v>6292</v>
      </c>
      <c r="D790" t="s">
        <v>6293</v>
      </c>
      <c r="E790" t="s">
        <v>16</v>
      </c>
      <c r="F790" t="s">
        <v>38</v>
      </c>
      <c r="G790" s="14">
        <v>160000</v>
      </c>
      <c r="H790" s="14">
        <v>158000</v>
      </c>
      <c r="I790" t="s">
        <v>22</v>
      </c>
      <c r="J790" t="s">
        <v>22</v>
      </c>
      <c r="K790" t="s">
        <v>6294</v>
      </c>
      <c r="L790" t="s">
        <v>6295</v>
      </c>
      <c r="M790" t="s">
        <v>72</v>
      </c>
      <c r="N790">
        <v>2</v>
      </c>
      <c r="O790" t="s">
        <v>156</v>
      </c>
      <c r="P790" t="s">
        <v>36</v>
      </c>
      <c r="Q790" t="s">
        <v>30</v>
      </c>
      <c r="R790" t="str">
        <f>VLOOKUP($O790,'Mapa Oficinas'!$A$7:$C$46,2,FALSE)</f>
        <v>Zona Norte (GBA)</v>
      </c>
      <c r="S790" t="str">
        <f>VLOOKUP($O790,'Mapa Oficinas'!$A$7:$C$46,3,FALSE)</f>
        <v>Pilar</v>
      </c>
    </row>
    <row r="791" spans="1:19" x14ac:dyDescent="0.2">
      <c r="A791" s="1">
        <v>45814</v>
      </c>
      <c r="B791" t="s">
        <v>6305</v>
      </c>
      <c r="D791" t="s">
        <v>6306</v>
      </c>
      <c r="E791" t="s">
        <v>16</v>
      </c>
      <c r="F791" t="s">
        <v>17</v>
      </c>
      <c r="G791" s="14">
        <v>206000</v>
      </c>
      <c r="H791" s="14">
        <v>206000</v>
      </c>
      <c r="I791" t="s">
        <v>22</v>
      </c>
      <c r="J791" t="s">
        <v>22</v>
      </c>
      <c r="K791" t="s">
        <v>6307</v>
      </c>
      <c r="L791" t="s">
        <v>282</v>
      </c>
      <c r="M791" t="s">
        <v>19</v>
      </c>
      <c r="N791">
        <v>2</v>
      </c>
      <c r="O791" t="s">
        <v>103</v>
      </c>
      <c r="P791" t="s">
        <v>276</v>
      </c>
      <c r="Q791" t="s">
        <v>30</v>
      </c>
      <c r="R791" t="str">
        <f>VLOOKUP($O791,'Mapa Oficinas'!$A$7:$C$46,2,FALSE)</f>
        <v>CABA</v>
      </c>
      <c r="S791" t="str">
        <f>VLOOKUP($O791,'Mapa Oficinas'!$A$7:$C$46,3,FALSE)</f>
        <v>Barrio Parque</v>
      </c>
    </row>
    <row r="792" spans="1:19" x14ac:dyDescent="0.2">
      <c r="A792" s="1">
        <v>45814</v>
      </c>
      <c r="B792" t="s">
        <v>6284</v>
      </c>
      <c r="D792" t="s">
        <v>6285</v>
      </c>
      <c r="E792" t="s">
        <v>16</v>
      </c>
      <c r="F792" t="s">
        <v>38</v>
      </c>
      <c r="G792" s="14">
        <v>230000</v>
      </c>
      <c r="H792" s="14">
        <v>223000</v>
      </c>
      <c r="I792" t="s">
        <v>22</v>
      </c>
      <c r="J792" t="s">
        <v>22</v>
      </c>
      <c r="K792" t="s">
        <v>6286</v>
      </c>
      <c r="L792" t="s">
        <v>6287</v>
      </c>
      <c r="M792" t="s">
        <v>28</v>
      </c>
      <c r="N792">
        <v>2</v>
      </c>
      <c r="O792" t="s">
        <v>40</v>
      </c>
      <c r="P792" t="s">
        <v>21</v>
      </c>
      <c r="Q792" t="s">
        <v>30</v>
      </c>
      <c r="R792" t="str">
        <f>VLOOKUP($O792,'Mapa Oficinas'!$A$7:$C$46,2,FALSE)</f>
        <v>Zona Norte (GBA)</v>
      </c>
      <c r="S792" t="str">
        <f>VLOOKUP($O792,'Mapa Oficinas'!$A$7:$C$46,3,FALSE)</f>
        <v>Pilar</v>
      </c>
    </row>
    <row r="793" spans="1:19" x14ac:dyDescent="0.2">
      <c r="A793" s="1">
        <v>45814</v>
      </c>
      <c r="B793" t="s">
        <v>6288</v>
      </c>
      <c r="D793" t="s">
        <v>6289</v>
      </c>
      <c r="E793" t="s">
        <v>16</v>
      </c>
      <c r="F793" t="s">
        <v>38</v>
      </c>
      <c r="G793" s="14">
        <v>454500</v>
      </c>
      <c r="H793" s="14">
        <v>425000</v>
      </c>
      <c r="I793" t="s">
        <v>22</v>
      </c>
      <c r="J793" t="s">
        <v>22</v>
      </c>
      <c r="K793" t="s">
        <v>6290</v>
      </c>
      <c r="L793" t="s">
        <v>6291</v>
      </c>
      <c r="M793" t="s">
        <v>28</v>
      </c>
      <c r="N793">
        <v>2</v>
      </c>
      <c r="O793" t="s">
        <v>40</v>
      </c>
      <c r="P793" t="s">
        <v>21</v>
      </c>
      <c r="Q793" t="s">
        <v>30</v>
      </c>
      <c r="R793" t="str">
        <f>VLOOKUP($O793,'Mapa Oficinas'!$A$7:$C$46,2,FALSE)</f>
        <v>Zona Norte (GBA)</v>
      </c>
      <c r="S793" t="str">
        <f>VLOOKUP($O793,'Mapa Oficinas'!$A$7:$C$46,3,FALSE)</f>
        <v>Pilar</v>
      </c>
    </row>
    <row r="794" spans="1:19" x14ac:dyDescent="0.2">
      <c r="A794" s="1">
        <v>45814</v>
      </c>
      <c r="B794" t="s">
        <v>6299</v>
      </c>
      <c r="D794" t="s">
        <v>6300</v>
      </c>
      <c r="E794" t="s">
        <v>16</v>
      </c>
      <c r="F794" t="s">
        <v>17</v>
      </c>
      <c r="G794" s="14">
        <v>839000</v>
      </c>
      <c r="H794" s="14">
        <v>815000</v>
      </c>
      <c r="I794" t="s">
        <v>22</v>
      </c>
      <c r="J794" t="s">
        <v>22</v>
      </c>
      <c r="K794" t="s">
        <v>6301</v>
      </c>
      <c r="L794" t="s">
        <v>1017</v>
      </c>
      <c r="M794" t="s">
        <v>19</v>
      </c>
      <c r="N794">
        <v>2</v>
      </c>
      <c r="O794" t="s">
        <v>103</v>
      </c>
      <c r="P794" t="s">
        <v>41</v>
      </c>
      <c r="Q794" t="s">
        <v>30</v>
      </c>
      <c r="R794" t="str">
        <f>VLOOKUP($O794,'Mapa Oficinas'!$A$7:$C$46,2,FALSE)</f>
        <v>CABA</v>
      </c>
      <c r="S794" t="str">
        <f>VLOOKUP($O794,'Mapa Oficinas'!$A$7:$C$46,3,FALSE)</f>
        <v>Barrio Parque</v>
      </c>
    </row>
    <row r="795" spans="1:19" x14ac:dyDescent="0.2">
      <c r="A795" s="1">
        <v>45817</v>
      </c>
      <c r="D795" t="s">
        <v>6258</v>
      </c>
      <c r="E795" t="s">
        <v>16</v>
      </c>
      <c r="F795" t="s">
        <v>17</v>
      </c>
      <c r="G795" s="14">
        <v>38000</v>
      </c>
      <c r="H795" s="14">
        <v>38000</v>
      </c>
      <c r="I795" t="s">
        <v>22</v>
      </c>
      <c r="J795" t="s">
        <v>22</v>
      </c>
      <c r="K795" t="s">
        <v>1193</v>
      </c>
      <c r="L795" t="s">
        <v>915</v>
      </c>
      <c r="M795" t="s">
        <v>97</v>
      </c>
      <c r="N795">
        <v>2</v>
      </c>
      <c r="O795" t="s">
        <v>98</v>
      </c>
      <c r="P795" t="s">
        <v>41</v>
      </c>
      <c r="Q795" t="s">
        <v>30</v>
      </c>
      <c r="R795" t="str">
        <f>VLOOKUP($O795,'Mapa Oficinas'!$A$7:$C$46,2,FALSE)</f>
        <v>Interior - Neuquén</v>
      </c>
      <c r="S795" t="str">
        <f>VLOOKUP($O795,'Mapa Oficinas'!$A$7:$C$46,3,FALSE)</f>
        <v>Villa La Angostura</v>
      </c>
    </row>
    <row r="796" spans="1:19" x14ac:dyDescent="0.2">
      <c r="A796" s="1">
        <v>45817</v>
      </c>
      <c r="B796" t="s">
        <v>6255</v>
      </c>
      <c r="D796" t="s">
        <v>6256</v>
      </c>
      <c r="E796" t="s">
        <v>16</v>
      </c>
      <c r="F796" t="s">
        <v>17</v>
      </c>
      <c r="G796" s="14">
        <v>99000</v>
      </c>
      <c r="H796" s="14">
        <v>100000</v>
      </c>
      <c r="I796" t="s">
        <v>22</v>
      </c>
      <c r="J796" t="s">
        <v>22</v>
      </c>
      <c r="K796" t="s">
        <v>6257</v>
      </c>
      <c r="L796" t="s">
        <v>160</v>
      </c>
      <c r="M796" t="s">
        <v>28</v>
      </c>
      <c r="N796">
        <v>2</v>
      </c>
      <c r="O796" t="s">
        <v>151</v>
      </c>
      <c r="P796" t="s">
        <v>21</v>
      </c>
      <c r="Q796" t="s">
        <v>30</v>
      </c>
      <c r="R796" t="str">
        <f>VLOOKUP($O796,'Mapa Oficinas'!$A$7:$C$46,2,FALSE)</f>
        <v>Interior - Neuquén</v>
      </c>
      <c r="S796" t="str">
        <f>VLOOKUP($O796,'Mapa Oficinas'!$A$7:$C$46,3,FALSE)</f>
        <v>Capital Neuquén</v>
      </c>
    </row>
    <row r="797" spans="1:19" x14ac:dyDescent="0.2">
      <c r="A797" s="1">
        <v>45817</v>
      </c>
      <c r="B797" t="s">
        <v>6252</v>
      </c>
      <c r="D797" t="s">
        <v>6253</v>
      </c>
      <c r="E797" t="s">
        <v>16</v>
      </c>
      <c r="F797" t="s">
        <v>17</v>
      </c>
      <c r="G797" s="14">
        <v>112800</v>
      </c>
      <c r="H797" s="14">
        <v>108000</v>
      </c>
      <c r="I797" t="s">
        <v>22</v>
      </c>
      <c r="J797" t="s">
        <v>22</v>
      </c>
      <c r="K797" t="s">
        <v>6254</v>
      </c>
      <c r="L797" t="s">
        <v>282</v>
      </c>
      <c r="M797" t="s">
        <v>19</v>
      </c>
      <c r="N797">
        <v>2</v>
      </c>
      <c r="O797" t="s">
        <v>50</v>
      </c>
      <c r="P797" t="s">
        <v>41</v>
      </c>
      <c r="Q797" t="s">
        <v>30</v>
      </c>
      <c r="R797" t="str">
        <f>VLOOKUP($O797,'Mapa Oficinas'!$A$7:$C$46,2,FALSE)</f>
        <v>CABA</v>
      </c>
      <c r="S797" t="str">
        <f>VLOOKUP($O797,'Mapa Oficinas'!$A$7:$C$46,3,FALSE)</f>
        <v>Villa Urquiza</v>
      </c>
    </row>
    <row r="798" spans="1:19" x14ac:dyDescent="0.2">
      <c r="A798" s="1">
        <v>45817</v>
      </c>
      <c r="B798" t="s">
        <v>6249</v>
      </c>
      <c r="D798" t="s">
        <v>6250</v>
      </c>
      <c r="E798" t="s">
        <v>16</v>
      </c>
      <c r="F798" t="s">
        <v>17</v>
      </c>
      <c r="G798" s="14">
        <v>120000</v>
      </c>
      <c r="H798" s="14">
        <v>110000</v>
      </c>
      <c r="I798" t="s">
        <v>22</v>
      </c>
      <c r="J798" t="s">
        <v>22</v>
      </c>
      <c r="K798" t="s">
        <v>6251</v>
      </c>
      <c r="L798" t="s">
        <v>4291</v>
      </c>
      <c r="M798" t="s">
        <v>72</v>
      </c>
      <c r="N798">
        <v>2</v>
      </c>
      <c r="O798" t="s">
        <v>50</v>
      </c>
      <c r="P798" t="s">
        <v>41</v>
      </c>
      <c r="Q798" t="s">
        <v>30</v>
      </c>
      <c r="R798" t="str">
        <f>VLOOKUP($O798,'Mapa Oficinas'!$A$7:$C$46,2,FALSE)</f>
        <v>CABA</v>
      </c>
      <c r="S798" t="str">
        <f>VLOOKUP($O798,'Mapa Oficinas'!$A$7:$C$46,3,FALSE)</f>
        <v>Villa Urquiza</v>
      </c>
    </row>
    <row r="799" spans="1:19" x14ac:dyDescent="0.2">
      <c r="A799" s="1">
        <v>45817</v>
      </c>
      <c r="B799" t="s">
        <v>6259</v>
      </c>
      <c r="D799" t="s">
        <v>6260</v>
      </c>
      <c r="E799" t="s">
        <v>16</v>
      </c>
      <c r="F799" t="s">
        <v>17</v>
      </c>
      <c r="G799" s="14">
        <v>180000</v>
      </c>
      <c r="H799" s="14">
        <v>180000</v>
      </c>
      <c r="I799" t="s">
        <v>22</v>
      </c>
      <c r="J799" t="s">
        <v>22</v>
      </c>
      <c r="K799" t="s">
        <v>6261</v>
      </c>
      <c r="L799" t="s">
        <v>217</v>
      </c>
      <c r="M799" t="s">
        <v>72</v>
      </c>
      <c r="N799">
        <v>2</v>
      </c>
      <c r="O799" t="s">
        <v>20</v>
      </c>
      <c r="P799" t="s">
        <v>21</v>
      </c>
      <c r="Q799" t="s">
        <v>30</v>
      </c>
      <c r="R799" t="str">
        <f>VLOOKUP($O799,'Mapa Oficinas'!$A$7:$C$46,2,FALSE)</f>
        <v>CABA</v>
      </c>
      <c r="S799" t="str">
        <f>VLOOKUP($O799,'Mapa Oficinas'!$A$7:$C$46,3,FALSE)</f>
        <v>Palermo</v>
      </c>
    </row>
    <row r="800" spans="1:19" x14ac:dyDescent="0.2">
      <c r="A800" s="1">
        <v>45817</v>
      </c>
      <c r="B800" t="s">
        <v>6262</v>
      </c>
      <c r="D800" t="s">
        <v>6263</v>
      </c>
      <c r="E800" t="s">
        <v>16</v>
      </c>
      <c r="F800" t="s">
        <v>17</v>
      </c>
      <c r="G800" s="14">
        <v>310000</v>
      </c>
      <c r="H800" s="14">
        <v>310000</v>
      </c>
      <c r="I800" t="s">
        <v>22</v>
      </c>
      <c r="J800" t="s">
        <v>22</v>
      </c>
      <c r="K800" t="s">
        <v>6263</v>
      </c>
      <c r="L800" t="s">
        <v>217</v>
      </c>
      <c r="M800" t="s">
        <v>19</v>
      </c>
      <c r="N800">
        <v>1</v>
      </c>
      <c r="O800" t="s">
        <v>20</v>
      </c>
      <c r="P800" t="s">
        <v>146</v>
      </c>
      <c r="Q800" t="s">
        <v>30</v>
      </c>
      <c r="R800" t="str">
        <f>VLOOKUP($O800,'Mapa Oficinas'!$A$7:$C$46,2,FALSE)</f>
        <v>CABA</v>
      </c>
      <c r="S800" t="str">
        <f>VLOOKUP($O800,'Mapa Oficinas'!$A$7:$C$46,3,FALSE)</f>
        <v>Palermo</v>
      </c>
    </row>
    <row r="801" spans="1:19" x14ac:dyDescent="0.2">
      <c r="A801" s="1">
        <v>45818</v>
      </c>
      <c r="B801" t="s">
        <v>6246</v>
      </c>
      <c r="D801" t="s">
        <v>6247</v>
      </c>
      <c r="E801" t="s">
        <v>16</v>
      </c>
      <c r="F801" t="s">
        <v>38</v>
      </c>
      <c r="G801" s="14">
        <v>65000</v>
      </c>
      <c r="H801" s="14">
        <v>60000</v>
      </c>
      <c r="I801" t="s">
        <v>22</v>
      </c>
      <c r="J801" t="s">
        <v>22</v>
      </c>
      <c r="K801" t="s">
        <v>6248</v>
      </c>
      <c r="L801" t="s">
        <v>54</v>
      </c>
      <c r="M801" t="s">
        <v>28</v>
      </c>
      <c r="N801">
        <v>2</v>
      </c>
      <c r="O801" t="s">
        <v>55</v>
      </c>
      <c r="P801" t="s">
        <v>41</v>
      </c>
      <c r="Q801" t="s">
        <v>30</v>
      </c>
      <c r="R801" t="str">
        <f>VLOOKUP($O801,'Mapa Oficinas'!$A$7:$C$46,2,FALSE)</f>
        <v>Interior - Santa Fe</v>
      </c>
      <c r="S801" t="str">
        <f>VLOOKUP($O801,'Mapa Oficinas'!$A$7:$C$46,3,FALSE)</f>
        <v>Capital Santa Fe</v>
      </c>
    </row>
    <row r="802" spans="1:19" x14ac:dyDescent="0.2">
      <c r="A802" s="1">
        <v>45818</v>
      </c>
      <c r="B802" t="s">
        <v>6240</v>
      </c>
      <c r="D802" t="s">
        <v>6241</v>
      </c>
      <c r="E802" t="s">
        <v>16</v>
      </c>
      <c r="F802" t="s">
        <v>134</v>
      </c>
      <c r="G802" s="14">
        <v>62000</v>
      </c>
      <c r="H802" s="14">
        <v>62000</v>
      </c>
      <c r="I802" t="s">
        <v>22</v>
      </c>
      <c r="J802" t="s">
        <v>22</v>
      </c>
      <c r="K802" t="s">
        <v>6242</v>
      </c>
      <c r="L802" t="s">
        <v>129</v>
      </c>
      <c r="M802" t="s">
        <v>97</v>
      </c>
      <c r="N802">
        <v>2</v>
      </c>
      <c r="O802" t="s">
        <v>130</v>
      </c>
      <c r="P802" t="s">
        <v>21</v>
      </c>
      <c r="Q802" t="s">
        <v>30</v>
      </c>
      <c r="R802" t="str">
        <f>VLOOKUP($O802,'Mapa Oficinas'!$A$7:$C$46,2,FALSE)</f>
        <v>Interior - Río Negro</v>
      </c>
      <c r="S802" t="str">
        <f>VLOOKUP($O802,'Mapa Oficinas'!$A$7:$C$46,3,FALSE)</f>
        <v>Bariloche</v>
      </c>
    </row>
    <row r="803" spans="1:19" x14ac:dyDescent="0.2">
      <c r="A803" s="1">
        <v>45818</v>
      </c>
      <c r="B803" t="s">
        <v>6243</v>
      </c>
      <c r="D803" t="s">
        <v>6244</v>
      </c>
      <c r="E803" t="s">
        <v>16</v>
      </c>
      <c r="F803" t="s">
        <v>17</v>
      </c>
      <c r="G803" s="14">
        <v>85000</v>
      </c>
      <c r="H803" s="14">
        <v>85000</v>
      </c>
      <c r="I803" t="s">
        <v>22</v>
      </c>
      <c r="J803" t="s">
        <v>22</v>
      </c>
      <c r="K803" t="s">
        <v>6245</v>
      </c>
      <c r="L803" t="s">
        <v>503</v>
      </c>
      <c r="M803" t="s">
        <v>19</v>
      </c>
      <c r="N803">
        <v>2</v>
      </c>
      <c r="O803" t="s">
        <v>20</v>
      </c>
      <c r="P803" t="s">
        <v>36</v>
      </c>
      <c r="Q803" t="s">
        <v>30</v>
      </c>
      <c r="R803" t="str">
        <f>VLOOKUP($O803,'Mapa Oficinas'!$A$7:$C$46,2,FALSE)</f>
        <v>CABA</v>
      </c>
      <c r="S803" t="str">
        <f>VLOOKUP($O803,'Mapa Oficinas'!$A$7:$C$46,3,FALSE)</f>
        <v>Palermo</v>
      </c>
    </row>
    <row r="804" spans="1:19" x14ac:dyDescent="0.2">
      <c r="A804" s="1">
        <v>45818</v>
      </c>
      <c r="B804" t="s">
        <v>6237</v>
      </c>
      <c r="D804" t="s">
        <v>6238</v>
      </c>
      <c r="E804" t="s">
        <v>16</v>
      </c>
      <c r="F804" t="s">
        <v>58</v>
      </c>
      <c r="G804" s="14">
        <v>265000</v>
      </c>
      <c r="H804" s="14">
        <v>248000</v>
      </c>
      <c r="I804" t="s">
        <v>22</v>
      </c>
      <c r="J804" t="s">
        <v>22</v>
      </c>
      <c r="K804" t="s">
        <v>6239</v>
      </c>
      <c r="L804" t="s">
        <v>3552</v>
      </c>
      <c r="M804" t="s">
        <v>19</v>
      </c>
      <c r="N804">
        <v>2</v>
      </c>
      <c r="O804" t="s">
        <v>206</v>
      </c>
      <c r="P804" t="s">
        <v>21</v>
      </c>
      <c r="Q804" t="s">
        <v>30</v>
      </c>
      <c r="R804" t="str">
        <f>VLOOKUP($O804,'Mapa Oficinas'!$A$7:$C$46,2,FALSE)</f>
        <v>CABA</v>
      </c>
      <c r="S804" t="str">
        <f>VLOOKUP($O804,'Mapa Oficinas'!$A$7:$C$46,3,FALSE)</f>
        <v>Belgrano</v>
      </c>
    </row>
    <row r="805" spans="1:19" x14ac:dyDescent="0.2">
      <c r="A805" s="1">
        <v>45819</v>
      </c>
      <c r="D805" t="s">
        <v>6228</v>
      </c>
      <c r="E805" t="s">
        <v>16</v>
      </c>
      <c r="F805" t="s">
        <v>82</v>
      </c>
      <c r="G805" s="14">
        <v>40000</v>
      </c>
      <c r="H805" s="14">
        <v>40000</v>
      </c>
      <c r="I805" t="s">
        <v>22</v>
      </c>
      <c r="J805" t="s">
        <v>22</v>
      </c>
      <c r="K805" t="s">
        <v>1193</v>
      </c>
      <c r="L805" t="s">
        <v>915</v>
      </c>
      <c r="M805" t="s">
        <v>97</v>
      </c>
      <c r="N805">
        <v>2</v>
      </c>
      <c r="O805" t="s">
        <v>98</v>
      </c>
      <c r="P805" t="s">
        <v>41</v>
      </c>
      <c r="Q805" t="s">
        <v>30</v>
      </c>
      <c r="R805" t="str">
        <f>VLOOKUP($O805,'Mapa Oficinas'!$A$7:$C$46,2,FALSE)</f>
        <v>Interior - Neuquén</v>
      </c>
      <c r="S805" t="str">
        <f>VLOOKUP($O805,'Mapa Oficinas'!$A$7:$C$46,3,FALSE)</f>
        <v>Villa La Angostura</v>
      </c>
    </row>
    <row r="806" spans="1:19" x14ac:dyDescent="0.2">
      <c r="A806" s="1">
        <v>45819</v>
      </c>
      <c r="B806" t="s">
        <v>6215</v>
      </c>
      <c r="D806" t="s">
        <v>6216</v>
      </c>
      <c r="E806" t="s">
        <v>16</v>
      </c>
      <c r="F806" t="s">
        <v>17</v>
      </c>
      <c r="G806" s="14">
        <v>55000</v>
      </c>
      <c r="H806" s="14">
        <v>50000</v>
      </c>
      <c r="I806" t="s">
        <v>22</v>
      </c>
      <c r="J806" t="s">
        <v>22</v>
      </c>
      <c r="K806" t="s">
        <v>6217</v>
      </c>
      <c r="L806" t="s">
        <v>1651</v>
      </c>
      <c r="M806" t="s">
        <v>19</v>
      </c>
      <c r="N806">
        <v>2</v>
      </c>
      <c r="O806" t="s">
        <v>151</v>
      </c>
      <c r="P806" t="s">
        <v>41</v>
      </c>
      <c r="Q806" t="s">
        <v>30</v>
      </c>
      <c r="R806" t="str">
        <f>VLOOKUP($O806,'Mapa Oficinas'!$A$7:$C$46,2,FALSE)</f>
        <v>Interior - Neuquén</v>
      </c>
      <c r="S806" t="str">
        <f>VLOOKUP($O806,'Mapa Oficinas'!$A$7:$C$46,3,FALSE)</f>
        <v>Capital Neuquén</v>
      </c>
    </row>
    <row r="807" spans="1:19" x14ac:dyDescent="0.2">
      <c r="A807" s="1">
        <v>45819</v>
      </c>
      <c r="B807" t="s">
        <v>6205</v>
      </c>
      <c r="D807" t="s">
        <v>6206</v>
      </c>
      <c r="E807" t="s">
        <v>16</v>
      </c>
      <c r="F807" t="s">
        <v>58</v>
      </c>
      <c r="G807" s="14">
        <v>55000</v>
      </c>
      <c r="H807" s="14">
        <v>52000</v>
      </c>
      <c r="I807" t="s">
        <v>22</v>
      </c>
      <c r="J807" t="s">
        <v>22</v>
      </c>
      <c r="K807" t="s">
        <v>6207</v>
      </c>
      <c r="L807" t="s">
        <v>71</v>
      </c>
      <c r="M807" t="s">
        <v>19</v>
      </c>
      <c r="N807">
        <v>2</v>
      </c>
      <c r="O807" t="s">
        <v>50</v>
      </c>
      <c r="P807" t="s">
        <v>21</v>
      </c>
      <c r="Q807" t="s">
        <v>30</v>
      </c>
      <c r="R807" t="str">
        <f>VLOOKUP($O807,'Mapa Oficinas'!$A$7:$C$46,2,FALSE)</f>
        <v>CABA</v>
      </c>
      <c r="S807" t="str">
        <f>VLOOKUP($O807,'Mapa Oficinas'!$A$7:$C$46,3,FALSE)</f>
        <v>Villa Urquiza</v>
      </c>
    </row>
    <row r="808" spans="1:19" x14ac:dyDescent="0.2">
      <c r="A808" s="1">
        <v>45819</v>
      </c>
      <c r="B808" t="s">
        <v>6225</v>
      </c>
      <c r="D808" t="s">
        <v>6226</v>
      </c>
      <c r="E808" t="s">
        <v>16</v>
      </c>
      <c r="F808" t="s">
        <v>134</v>
      </c>
      <c r="G808" s="14">
        <v>67000</v>
      </c>
      <c r="H808" s="14">
        <v>67000</v>
      </c>
      <c r="I808" t="s">
        <v>22</v>
      </c>
      <c r="J808" t="s">
        <v>22</v>
      </c>
      <c r="K808" t="s">
        <v>6227</v>
      </c>
      <c r="L808" t="s">
        <v>170</v>
      </c>
      <c r="M808" t="s">
        <v>19</v>
      </c>
      <c r="N808">
        <v>1</v>
      </c>
      <c r="O808" t="s">
        <v>171</v>
      </c>
      <c r="P808" t="s">
        <v>146</v>
      </c>
      <c r="Q808" t="s">
        <v>30</v>
      </c>
      <c r="R808" t="str">
        <f>VLOOKUP($O808,'Mapa Oficinas'!$A$7:$C$46,2,FALSE)</f>
        <v>Zona Sur (GBA)</v>
      </c>
      <c r="S808" t="str">
        <f>VLOOKUP($O808,'Mapa Oficinas'!$A$7:$C$46,3,FALSE)</f>
        <v>La Plata</v>
      </c>
    </row>
    <row r="809" spans="1:19" x14ac:dyDescent="0.2">
      <c r="A809" s="1">
        <v>45819</v>
      </c>
      <c r="B809" t="s">
        <v>6229</v>
      </c>
      <c r="D809" t="s">
        <v>6230</v>
      </c>
      <c r="E809" t="s">
        <v>16</v>
      </c>
      <c r="F809" t="s">
        <v>17</v>
      </c>
      <c r="G809" s="14">
        <v>89000</v>
      </c>
      <c r="H809" s="14">
        <v>84000</v>
      </c>
      <c r="I809" t="s">
        <v>22</v>
      </c>
      <c r="J809" t="s">
        <v>22</v>
      </c>
      <c r="K809" t="s">
        <v>6231</v>
      </c>
      <c r="L809" t="s">
        <v>71</v>
      </c>
      <c r="M809" t="s">
        <v>19</v>
      </c>
      <c r="N809">
        <v>2</v>
      </c>
      <c r="O809" t="s">
        <v>116</v>
      </c>
      <c r="P809" t="s">
        <v>21</v>
      </c>
      <c r="Q809" t="s">
        <v>30</v>
      </c>
      <c r="R809" t="str">
        <f>VLOOKUP($O809,'Mapa Oficinas'!$A$7:$C$46,2,FALSE)</f>
        <v>CABA</v>
      </c>
      <c r="S809" t="str">
        <f>VLOOKUP($O809,'Mapa Oficinas'!$A$7:$C$46,3,FALSE)</f>
        <v>Puerto Madero</v>
      </c>
    </row>
    <row r="810" spans="1:19" x14ac:dyDescent="0.2">
      <c r="A810" s="1">
        <v>45819</v>
      </c>
      <c r="B810" t="s">
        <v>6210</v>
      </c>
      <c r="D810" t="s">
        <v>6211</v>
      </c>
      <c r="E810" t="s">
        <v>16</v>
      </c>
      <c r="F810" t="s">
        <v>17</v>
      </c>
      <c r="G810" s="14">
        <v>120000</v>
      </c>
      <c r="H810" s="14">
        <v>110000</v>
      </c>
      <c r="I810" t="s">
        <v>22</v>
      </c>
      <c r="J810" t="s">
        <v>22</v>
      </c>
      <c r="K810" t="s">
        <v>1180</v>
      </c>
      <c r="L810" t="s">
        <v>191</v>
      </c>
      <c r="M810" t="s">
        <v>19</v>
      </c>
      <c r="N810">
        <v>2</v>
      </c>
      <c r="O810" t="s">
        <v>103</v>
      </c>
      <c r="P810" t="s">
        <v>276</v>
      </c>
      <c r="Q810" t="s">
        <v>30</v>
      </c>
      <c r="R810" t="str">
        <f>VLOOKUP($O810,'Mapa Oficinas'!$A$7:$C$46,2,FALSE)</f>
        <v>CABA</v>
      </c>
      <c r="S810" t="str">
        <f>VLOOKUP($O810,'Mapa Oficinas'!$A$7:$C$46,3,FALSE)</f>
        <v>Barrio Parque</v>
      </c>
    </row>
    <row r="811" spans="1:19" x14ac:dyDescent="0.2">
      <c r="A811" s="1">
        <v>45819</v>
      </c>
      <c r="D811" t="s">
        <v>6208</v>
      </c>
      <c r="E811" t="s">
        <v>16</v>
      </c>
      <c r="F811" t="s">
        <v>17</v>
      </c>
      <c r="G811" s="14">
        <v>125000</v>
      </c>
      <c r="H811" s="14">
        <v>125000</v>
      </c>
      <c r="I811" t="s">
        <v>22</v>
      </c>
      <c r="J811" t="s">
        <v>22</v>
      </c>
      <c r="K811" t="s">
        <v>6209</v>
      </c>
      <c r="L811" t="s">
        <v>79</v>
      </c>
      <c r="M811" t="s">
        <v>19</v>
      </c>
      <c r="N811">
        <v>1</v>
      </c>
      <c r="O811" t="s">
        <v>201</v>
      </c>
      <c r="P811" t="s">
        <v>146</v>
      </c>
      <c r="Q811" t="s">
        <v>30</v>
      </c>
      <c r="R811" t="str">
        <f>VLOOKUP($O811,'Mapa Oficinas'!$A$7:$C$46,2,FALSE)</f>
        <v>CABA</v>
      </c>
      <c r="S811" t="str">
        <f>VLOOKUP($O811,'Mapa Oficinas'!$A$7:$C$46,3,FALSE)</f>
        <v>Recoleta</v>
      </c>
    </row>
    <row r="812" spans="1:19" x14ac:dyDescent="0.2">
      <c r="A812" s="1">
        <v>45819</v>
      </c>
      <c r="B812" t="s">
        <v>6202</v>
      </c>
      <c r="D812" t="s">
        <v>6203</v>
      </c>
      <c r="E812" t="s">
        <v>16</v>
      </c>
      <c r="F812" t="s">
        <v>17</v>
      </c>
      <c r="G812" s="14">
        <v>164000</v>
      </c>
      <c r="H812" s="14">
        <v>150000</v>
      </c>
      <c r="I812" t="s">
        <v>22</v>
      </c>
      <c r="J812" t="s">
        <v>22</v>
      </c>
      <c r="K812" t="s">
        <v>6204</v>
      </c>
      <c r="L812" t="s">
        <v>200</v>
      </c>
      <c r="M812" t="s">
        <v>28</v>
      </c>
      <c r="N812">
        <v>2</v>
      </c>
      <c r="O812" t="s">
        <v>103</v>
      </c>
      <c r="P812" t="s">
        <v>276</v>
      </c>
      <c r="Q812" t="s">
        <v>30</v>
      </c>
      <c r="R812" t="str">
        <f>VLOOKUP($O812,'Mapa Oficinas'!$A$7:$C$46,2,FALSE)</f>
        <v>CABA</v>
      </c>
      <c r="S812" t="str">
        <f>VLOOKUP($O812,'Mapa Oficinas'!$A$7:$C$46,3,FALSE)</f>
        <v>Barrio Parque</v>
      </c>
    </row>
    <row r="813" spans="1:19" x14ac:dyDescent="0.2">
      <c r="A813" s="1">
        <v>45819</v>
      </c>
      <c r="B813" t="s">
        <v>6221</v>
      </c>
      <c r="D813" t="s">
        <v>6222</v>
      </c>
      <c r="E813" t="s">
        <v>16</v>
      </c>
      <c r="F813" t="s">
        <v>17</v>
      </c>
      <c r="G813" s="14">
        <v>169900</v>
      </c>
      <c r="H813" s="14">
        <v>158000</v>
      </c>
      <c r="I813" t="s">
        <v>22</v>
      </c>
      <c r="J813" t="s">
        <v>22</v>
      </c>
      <c r="K813" t="s">
        <v>6223</v>
      </c>
      <c r="L813" t="s">
        <v>560</v>
      </c>
      <c r="M813" t="s">
        <v>28</v>
      </c>
      <c r="N813">
        <v>2</v>
      </c>
      <c r="O813" t="s">
        <v>103</v>
      </c>
      <c r="P813" t="s">
        <v>21</v>
      </c>
      <c r="Q813" t="s">
        <v>30</v>
      </c>
      <c r="R813" t="str">
        <f>VLOOKUP($O813,'Mapa Oficinas'!$A$7:$C$46,2,FALSE)</f>
        <v>CABA</v>
      </c>
      <c r="S813" t="str">
        <f>VLOOKUP($O813,'Mapa Oficinas'!$A$7:$C$46,3,FALSE)</f>
        <v>Barrio Parque</v>
      </c>
    </row>
    <row r="814" spans="1:19" x14ac:dyDescent="0.2">
      <c r="A814" s="1">
        <v>45819</v>
      </c>
      <c r="B814" t="s">
        <v>6218</v>
      </c>
      <c r="D814" t="s">
        <v>6219</v>
      </c>
      <c r="E814" t="s">
        <v>16</v>
      </c>
      <c r="F814" t="s">
        <v>17</v>
      </c>
      <c r="G814" s="14">
        <v>259000</v>
      </c>
      <c r="H814" s="14">
        <v>230000</v>
      </c>
      <c r="I814" t="s">
        <v>22</v>
      </c>
      <c r="J814" t="s">
        <v>22</v>
      </c>
      <c r="K814" t="s">
        <v>6220</v>
      </c>
      <c r="L814" t="s">
        <v>191</v>
      </c>
      <c r="M814" t="s">
        <v>19</v>
      </c>
      <c r="N814">
        <v>2</v>
      </c>
      <c r="O814" t="s">
        <v>35</v>
      </c>
      <c r="P814" t="s">
        <v>21</v>
      </c>
      <c r="Q814" t="s">
        <v>30</v>
      </c>
      <c r="R814" t="str">
        <f>VLOOKUP($O814,'Mapa Oficinas'!$A$7:$C$46,2,FALSE)</f>
        <v>Zona Norte (GBA)</v>
      </c>
      <c r="S814" t="str">
        <f>VLOOKUP($O814,'Mapa Oficinas'!$A$7:$C$46,3,FALSE)</f>
        <v>Vicente López</v>
      </c>
    </row>
    <row r="815" spans="1:19" x14ac:dyDescent="0.2">
      <c r="A815" s="1">
        <v>45819</v>
      </c>
      <c r="B815" t="s">
        <v>6190</v>
      </c>
      <c r="D815" t="s">
        <v>6191</v>
      </c>
      <c r="E815" t="s">
        <v>16</v>
      </c>
      <c r="F815" t="s">
        <v>17</v>
      </c>
      <c r="G815" s="14">
        <v>250000</v>
      </c>
      <c r="H815" s="14">
        <v>260000</v>
      </c>
      <c r="I815" t="s">
        <v>22</v>
      </c>
      <c r="J815" t="s">
        <v>22</v>
      </c>
      <c r="K815" t="s">
        <v>1221</v>
      </c>
      <c r="L815" t="s">
        <v>1256</v>
      </c>
      <c r="M815" t="s">
        <v>19</v>
      </c>
      <c r="N815">
        <v>2</v>
      </c>
      <c r="O815" t="s">
        <v>142</v>
      </c>
      <c r="P815" t="s">
        <v>36</v>
      </c>
      <c r="Q815" t="s">
        <v>30</v>
      </c>
      <c r="R815" t="str">
        <f>VLOOKUP($O815,'Mapa Oficinas'!$A$7:$C$46,2,FALSE)</f>
        <v>Zona Norte (GBA)</v>
      </c>
      <c r="S815" t="str">
        <f>VLOOKUP($O815,'Mapa Oficinas'!$A$7:$C$46,3,FALSE)</f>
        <v>Nordelta</v>
      </c>
    </row>
    <row r="816" spans="1:19" x14ac:dyDescent="0.2">
      <c r="A816" s="1">
        <v>45819</v>
      </c>
      <c r="B816" t="s">
        <v>6196</v>
      </c>
      <c r="D816" t="s">
        <v>6197</v>
      </c>
      <c r="E816" t="s">
        <v>16</v>
      </c>
      <c r="F816" t="s">
        <v>17</v>
      </c>
      <c r="G816" s="14">
        <v>490000</v>
      </c>
      <c r="H816" s="14">
        <v>460000</v>
      </c>
      <c r="I816" t="s">
        <v>22</v>
      </c>
      <c r="J816" t="s">
        <v>22</v>
      </c>
      <c r="K816" t="s">
        <v>6198</v>
      </c>
      <c r="L816" t="s">
        <v>191</v>
      </c>
      <c r="M816" t="s">
        <v>19</v>
      </c>
      <c r="N816">
        <v>2</v>
      </c>
      <c r="O816" t="s">
        <v>142</v>
      </c>
      <c r="P816" t="s">
        <v>21</v>
      </c>
      <c r="Q816" t="s">
        <v>30</v>
      </c>
      <c r="R816" t="str">
        <f>VLOOKUP($O816,'Mapa Oficinas'!$A$7:$C$46,2,FALSE)</f>
        <v>Zona Norte (GBA)</v>
      </c>
      <c r="S816" t="str">
        <f>VLOOKUP($O816,'Mapa Oficinas'!$A$7:$C$46,3,FALSE)</f>
        <v>Nordelta</v>
      </c>
    </row>
    <row r="817" spans="1:19" x14ac:dyDescent="0.2">
      <c r="A817" s="1">
        <v>45819</v>
      </c>
      <c r="B817" t="s">
        <v>6199</v>
      </c>
      <c r="D817" t="s">
        <v>6200</v>
      </c>
      <c r="E817" t="s">
        <v>16</v>
      </c>
      <c r="F817" t="s">
        <v>17</v>
      </c>
      <c r="G817" s="14">
        <v>590000</v>
      </c>
      <c r="H817" s="14">
        <v>467500</v>
      </c>
      <c r="I817" t="s">
        <v>22</v>
      </c>
      <c r="J817" t="s">
        <v>22</v>
      </c>
      <c r="K817" t="s">
        <v>6201</v>
      </c>
      <c r="L817" t="s">
        <v>191</v>
      </c>
      <c r="M817" t="s">
        <v>19</v>
      </c>
      <c r="N817">
        <v>2</v>
      </c>
      <c r="O817" t="s">
        <v>142</v>
      </c>
      <c r="P817" t="s">
        <v>276</v>
      </c>
      <c r="Q817" t="s">
        <v>30</v>
      </c>
      <c r="R817" t="str">
        <f>VLOOKUP($O817,'Mapa Oficinas'!$A$7:$C$46,2,FALSE)</f>
        <v>Zona Norte (GBA)</v>
      </c>
      <c r="S817" t="str">
        <f>VLOOKUP($O817,'Mapa Oficinas'!$A$7:$C$46,3,FALSE)</f>
        <v>Nordelta</v>
      </c>
    </row>
    <row r="818" spans="1:19" x14ac:dyDescent="0.2">
      <c r="A818" s="1">
        <v>45819</v>
      </c>
      <c r="D818" t="s">
        <v>6224</v>
      </c>
      <c r="E818" t="s">
        <v>16</v>
      </c>
      <c r="F818" t="s">
        <v>82</v>
      </c>
      <c r="G818" s="14">
        <v>549000</v>
      </c>
      <c r="H818" s="14">
        <v>475000</v>
      </c>
      <c r="I818" t="s">
        <v>22</v>
      </c>
      <c r="J818" t="s">
        <v>22</v>
      </c>
      <c r="L818" t="s">
        <v>1655</v>
      </c>
      <c r="M818" t="s">
        <v>28</v>
      </c>
      <c r="N818">
        <v>2</v>
      </c>
      <c r="O818" t="s">
        <v>40</v>
      </c>
      <c r="P818" t="s">
        <v>21</v>
      </c>
      <c r="Q818" t="s">
        <v>30</v>
      </c>
      <c r="R818" t="str">
        <f>VLOOKUP($O818,'Mapa Oficinas'!$A$7:$C$46,2,FALSE)</f>
        <v>Zona Norte (GBA)</v>
      </c>
      <c r="S818" t="str">
        <f>VLOOKUP($O818,'Mapa Oficinas'!$A$7:$C$46,3,FALSE)</f>
        <v>Pilar</v>
      </c>
    </row>
    <row r="819" spans="1:19" x14ac:dyDescent="0.2">
      <c r="A819" s="1">
        <v>45819</v>
      </c>
      <c r="B819" t="s">
        <v>6212</v>
      </c>
      <c r="D819" t="s">
        <v>6213</v>
      </c>
      <c r="E819" t="s">
        <v>16</v>
      </c>
      <c r="F819" t="s">
        <v>38</v>
      </c>
      <c r="G819" s="14">
        <v>520000</v>
      </c>
      <c r="H819" s="14">
        <v>490000</v>
      </c>
      <c r="I819" t="s">
        <v>22</v>
      </c>
      <c r="J819" t="s">
        <v>22</v>
      </c>
      <c r="K819" t="s">
        <v>6214</v>
      </c>
      <c r="L819" t="s">
        <v>3473</v>
      </c>
      <c r="M819" t="s">
        <v>28</v>
      </c>
      <c r="N819">
        <v>2</v>
      </c>
      <c r="O819" t="s">
        <v>40</v>
      </c>
      <c r="P819" t="s">
        <v>21</v>
      </c>
      <c r="Q819" t="s">
        <v>30</v>
      </c>
      <c r="R819" t="str">
        <f>VLOOKUP($O819,'Mapa Oficinas'!$A$7:$C$46,2,FALSE)</f>
        <v>Zona Norte (GBA)</v>
      </c>
      <c r="S819" t="str">
        <f>VLOOKUP($O819,'Mapa Oficinas'!$A$7:$C$46,3,FALSE)</f>
        <v>Pilar</v>
      </c>
    </row>
    <row r="820" spans="1:19" x14ac:dyDescent="0.2">
      <c r="A820" s="1">
        <v>45819</v>
      </c>
      <c r="B820">
        <v>15</v>
      </c>
      <c r="D820" t="s">
        <v>6232</v>
      </c>
      <c r="E820" t="s">
        <v>16</v>
      </c>
      <c r="F820" t="s">
        <v>82</v>
      </c>
      <c r="G820" s="14">
        <v>520000</v>
      </c>
      <c r="H820" s="14">
        <v>520000</v>
      </c>
      <c r="I820" t="s">
        <v>22</v>
      </c>
      <c r="J820" t="s">
        <v>22</v>
      </c>
      <c r="K820" t="s">
        <v>6233</v>
      </c>
      <c r="L820" t="s">
        <v>117</v>
      </c>
      <c r="M820" t="s">
        <v>19</v>
      </c>
      <c r="N820">
        <v>1</v>
      </c>
      <c r="O820" t="s">
        <v>116</v>
      </c>
      <c r="P820" t="s">
        <v>146</v>
      </c>
      <c r="Q820" t="s">
        <v>30</v>
      </c>
      <c r="R820" t="str">
        <f>VLOOKUP($O820,'Mapa Oficinas'!$A$7:$C$46,2,FALSE)</f>
        <v>CABA</v>
      </c>
      <c r="S820" t="str">
        <f>VLOOKUP($O820,'Mapa Oficinas'!$A$7:$C$46,3,FALSE)</f>
        <v>Puerto Madero</v>
      </c>
    </row>
    <row r="821" spans="1:19" x14ac:dyDescent="0.2">
      <c r="A821" s="1">
        <v>45819</v>
      </c>
      <c r="B821" t="s">
        <v>6234</v>
      </c>
      <c r="D821" t="s">
        <v>6235</v>
      </c>
      <c r="E821" t="s">
        <v>16</v>
      </c>
      <c r="F821" t="s">
        <v>17</v>
      </c>
      <c r="G821" s="14">
        <v>650000</v>
      </c>
      <c r="H821" s="14">
        <v>525000</v>
      </c>
      <c r="I821" t="s">
        <v>22</v>
      </c>
      <c r="J821" t="s">
        <v>22</v>
      </c>
      <c r="K821" t="s">
        <v>6236</v>
      </c>
      <c r="L821" t="s">
        <v>191</v>
      </c>
      <c r="M821" t="s">
        <v>19</v>
      </c>
      <c r="N821">
        <v>2</v>
      </c>
      <c r="O821" t="s">
        <v>73</v>
      </c>
      <c r="P821" t="s">
        <v>276</v>
      </c>
      <c r="Q821" t="s">
        <v>30</v>
      </c>
      <c r="R821" t="str">
        <f>VLOOKUP($O821,'Mapa Oficinas'!$A$7:$C$46,2,FALSE)</f>
        <v>CABA</v>
      </c>
      <c r="S821" t="str">
        <f>VLOOKUP($O821,'Mapa Oficinas'!$A$7:$C$46,3,FALSE)</f>
        <v>Recoleta</v>
      </c>
    </row>
    <row r="822" spans="1:19" x14ac:dyDescent="0.2">
      <c r="A822" s="1">
        <v>45819</v>
      </c>
      <c r="B822" t="s">
        <v>6192</v>
      </c>
      <c r="D822" t="s">
        <v>6193</v>
      </c>
      <c r="E822" t="s">
        <v>16</v>
      </c>
      <c r="F822" t="s">
        <v>17</v>
      </c>
      <c r="G822" s="14">
        <v>900000</v>
      </c>
      <c r="H822" s="14">
        <v>525000</v>
      </c>
      <c r="I822" t="s">
        <v>22</v>
      </c>
      <c r="J822" t="s">
        <v>22</v>
      </c>
      <c r="K822" t="s">
        <v>6194</v>
      </c>
      <c r="L822" t="s">
        <v>6195</v>
      </c>
      <c r="M822" t="s">
        <v>28</v>
      </c>
      <c r="N822">
        <v>2</v>
      </c>
      <c r="O822" t="s">
        <v>142</v>
      </c>
      <c r="P822" t="s">
        <v>21</v>
      </c>
      <c r="Q822" t="s">
        <v>30</v>
      </c>
      <c r="R822" t="str">
        <f>VLOOKUP($O822,'Mapa Oficinas'!$A$7:$C$46,2,FALSE)</f>
        <v>Zona Norte (GBA)</v>
      </c>
      <c r="S822" t="str">
        <f>VLOOKUP($O822,'Mapa Oficinas'!$A$7:$C$46,3,FALSE)</f>
        <v>Nordelta</v>
      </c>
    </row>
    <row r="823" spans="1:19" x14ac:dyDescent="0.2">
      <c r="A823" s="1">
        <v>45820</v>
      </c>
      <c r="B823" t="s">
        <v>6180</v>
      </c>
      <c r="D823" t="s">
        <v>6181</v>
      </c>
      <c r="E823" t="s">
        <v>16</v>
      </c>
      <c r="F823" t="s">
        <v>58</v>
      </c>
      <c r="G823" s="14">
        <v>39000</v>
      </c>
      <c r="H823" s="14">
        <v>37000</v>
      </c>
      <c r="I823" t="s">
        <v>22</v>
      </c>
      <c r="J823" t="s">
        <v>22</v>
      </c>
      <c r="K823" t="s">
        <v>6182</v>
      </c>
      <c r="L823" t="s">
        <v>1027</v>
      </c>
      <c r="M823" t="s">
        <v>300</v>
      </c>
      <c r="N823">
        <v>2</v>
      </c>
      <c r="O823" t="s">
        <v>252</v>
      </c>
      <c r="P823" t="s">
        <v>276</v>
      </c>
      <c r="Q823" t="s">
        <v>30</v>
      </c>
      <c r="R823" t="str">
        <f>VLOOKUP($O823,'Mapa Oficinas'!$A$7:$C$46,2,FALSE)</f>
        <v>CABA</v>
      </c>
      <c r="S823" t="str">
        <f>VLOOKUP($O823,'Mapa Oficinas'!$A$7:$C$46,3,FALSE)</f>
        <v>Belgrano</v>
      </c>
    </row>
    <row r="824" spans="1:19" x14ac:dyDescent="0.2">
      <c r="A824" s="1">
        <v>45820</v>
      </c>
      <c r="B824" t="s">
        <v>6174</v>
      </c>
      <c r="D824" t="s">
        <v>6175</v>
      </c>
      <c r="E824" t="s">
        <v>16</v>
      </c>
      <c r="F824" t="s">
        <v>47</v>
      </c>
      <c r="G824" s="14">
        <v>43500</v>
      </c>
      <c r="H824" s="14">
        <v>41500</v>
      </c>
      <c r="I824" t="s">
        <v>22</v>
      </c>
      <c r="J824" t="s">
        <v>22</v>
      </c>
      <c r="K824" t="s">
        <v>6176</v>
      </c>
      <c r="L824" t="s">
        <v>170</v>
      </c>
      <c r="M824" t="s">
        <v>19</v>
      </c>
      <c r="N824">
        <v>2</v>
      </c>
      <c r="O824" t="s">
        <v>171</v>
      </c>
      <c r="P824" t="s">
        <v>21</v>
      </c>
      <c r="Q824" t="s">
        <v>30</v>
      </c>
      <c r="R824" t="str">
        <f>VLOOKUP($O824,'Mapa Oficinas'!$A$7:$C$46,2,FALSE)</f>
        <v>Zona Sur (GBA)</v>
      </c>
      <c r="S824" t="str">
        <f>VLOOKUP($O824,'Mapa Oficinas'!$A$7:$C$46,3,FALSE)</f>
        <v>La Plata</v>
      </c>
    </row>
    <row r="825" spans="1:19" x14ac:dyDescent="0.2">
      <c r="A825" s="1">
        <v>45820</v>
      </c>
      <c r="B825" t="s">
        <v>6177</v>
      </c>
      <c r="D825" t="s">
        <v>6178</v>
      </c>
      <c r="E825" t="s">
        <v>16</v>
      </c>
      <c r="F825" t="s">
        <v>17</v>
      </c>
      <c r="G825" s="14">
        <v>85000</v>
      </c>
      <c r="H825" s="14">
        <v>84000</v>
      </c>
      <c r="I825" t="s">
        <v>22</v>
      </c>
      <c r="J825" t="s">
        <v>22</v>
      </c>
      <c r="K825" t="s">
        <v>6179</v>
      </c>
      <c r="L825" t="s">
        <v>1309</v>
      </c>
      <c r="M825" t="s">
        <v>19</v>
      </c>
      <c r="N825">
        <v>2</v>
      </c>
      <c r="O825" t="s">
        <v>151</v>
      </c>
      <c r="P825" t="s">
        <v>276</v>
      </c>
      <c r="Q825" t="s">
        <v>30</v>
      </c>
      <c r="R825" t="str">
        <f>VLOOKUP($O825,'Mapa Oficinas'!$A$7:$C$46,2,FALSE)</f>
        <v>Interior - Neuquén</v>
      </c>
      <c r="S825" t="str">
        <f>VLOOKUP($O825,'Mapa Oficinas'!$A$7:$C$46,3,FALSE)</f>
        <v>Capital Neuquén</v>
      </c>
    </row>
    <row r="826" spans="1:19" x14ac:dyDescent="0.2">
      <c r="A826" s="1">
        <v>45820</v>
      </c>
      <c r="B826" t="s">
        <v>6171</v>
      </c>
      <c r="D826" t="s">
        <v>6172</v>
      </c>
      <c r="E826" t="s">
        <v>16</v>
      </c>
      <c r="F826" t="s">
        <v>17</v>
      </c>
      <c r="G826" s="14">
        <v>105000</v>
      </c>
      <c r="H826" s="14">
        <v>105000</v>
      </c>
      <c r="I826" t="s">
        <v>22</v>
      </c>
      <c r="J826" t="s">
        <v>22</v>
      </c>
      <c r="K826" t="s">
        <v>6173</v>
      </c>
      <c r="L826" t="s">
        <v>888</v>
      </c>
      <c r="M826" t="s">
        <v>72</v>
      </c>
      <c r="N826">
        <v>2</v>
      </c>
      <c r="O826" t="s">
        <v>198</v>
      </c>
      <c r="P826" t="s">
        <v>21</v>
      </c>
      <c r="Q826" t="s">
        <v>30</v>
      </c>
      <c r="R826" t="str">
        <f>VLOOKUP($O826,'Mapa Oficinas'!$A$7:$C$46,2,FALSE)</f>
        <v>CABA</v>
      </c>
      <c r="S826" t="str">
        <f>VLOOKUP($O826,'Mapa Oficinas'!$A$7:$C$46,3,FALSE)</f>
        <v>Caballito</v>
      </c>
    </row>
    <row r="827" spans="1:19" x14ac:dyDescent="0.2">
      <c r="A827" s="1">
        <v>45820</v>
      </c>
      <c r="B827" t="s">
        <v>6187</v>
      </c>
      <c r="D827" t="s">
        <v>6188</v>
      </c>
      <c r="E827" t="s">
        <v>16</v>
      </c>
      <c r="F827" t="s">
        <v>17</v>
      </c>
      <c r="G827" s="14">
        <v>154000</v>
      </c>
      <c r="H827" s="14">
        <v>150500</v>
      </c>
      <c r="I827" t="s">
        <v>22</v>
      </c>
      <c r="J827" t="s">
        <v>22</v>
      </c>
      <c r="K827" t="s">
        <v>6189</v>
      </c>
      <c r="L827" t="s">
        <v>1064</v>
      </c>
      <c r="M827" t="s">
        <v>19</v>
      </c>
      <c r="N827">
        <v>2</v>
      </c>
      <c r="O827" t="s">
        <v>252</v>
      </c>
      <c r="P827" t="s">
        <v>276</v>
      </c>
      <c r="Q827" t="s">
        <v>30</v>
      </c>
      <c r="R827" t="str">
        <f>VLOOKUP($O827,'Mapa Oficinas'!$A$7:$C$46,2,FALSE)</f>
        <v>CABA</v>
      </c>
      <c r="S827" t="str">
        <f>VLOOKUP($O827,'Mapa Oficinas'!$A$7:$C$46,3,FALSE)</f>
        <v>Belgrano</v>
      </c>
    </row>
    <row r="828" spans="1:19" x14ac:dyDescent="0.2">
      <c r="A828" s="1">
        <v>45821</v>
      </c>
      <c r="D828" t="s">
        <v>6166</v>
      </c>
      <c r="E828" t="s">
        <v>16</v>
      </c>
      <c r="F828" t="s">
        <v>184</v>
      </c>
      <c r="G828" s="14">
        <v>38735</v>
      </c>
      <c r="H828" s="14">
        <v>38735</v>
      </c>
      <c r="I828" t="s">
        <v>22</v>
      </c>
      <c r="J828" t="s">
        <v>22</v>
      </c>
      <c r="K828" t="s">
        <v>1193</v>
      </c>
      <c r="L828" t="s">
        <v>915</v>
      </c>
      <c r="M828" t="s">
        <v>97</v>
      </c>
      <c r="N828">
        <v>2</v>
      </c>
      <c r="O828" t="s">
        <v>98</v>
      </c>
      <c r="P828" t="s">
        <v>44</v>
      </c>
      <c r="Q828" t="s">
        <v>30</v>
      </c>
      <c r="R828" t="str">
        <f>VLOOKUP($O828,'Mapa Oficinas'!$A$7:$C$46,2,FALSE)</f>
        <v>Interior - Neuquén</v>
      </c>
      <c r="S828" t="str">
        <f>VLOOKUP($O828,'Mapa Oficinas'!$A$7:$C$46,3,FALSE)</f>
        <v>Villa La Angostura</v>
      </c>
    </row>
    <row r="829" spans="1:19" x14ac:dyDescent="0.2">
      <c r="A829" s="1">
        <v>45821</v>
      </c>
      <c r="D829" t="s">
        <v>6167</v>
      </c>
      <c r="E829" t="s">
        <v>16</v>
      </c>
      <c r="F829" t="s">
        <v>17</v>
      </c>
      <c r="G829" s="14">
        <v>42735</v>
      </c>
      <c r="H829" s="14">
        <v>42735</v>
      </c>
      <c r="I829" t="s">
        <v>22</v>
      </c>
      <c r="J829" t="s">
        <v>22</v>
      </c>
      <c r="K829" t="s">
        <v>914</v>
      </c>
      <c r="L829" t="s">
        <v>1927</v>
      </c>
      <c r="M829" t="s">
        <v>97</v>
      </c>
      <c r="N829">
        <v>2</v>
      </c>
      <c r="O829" t="s">
        <v>98</v>
      </c>
      <c r="P829" t="s">
        <v>41</v>
      </c>
      <c r="Q829" t="s">
        <v>30</v>
      </c>
      <c r="R829" t="str">
        <f>VLOOKUP($O829,'Mapa Oficinas'!$A$7:$C$46,2,FALSE)</f>
        <v>Interior - Neuquén</v>
      </c>
      <c r="S829" t="str">
        <f>VLOOKUP($O829,'Mapa Oficinas'!$A$7:$C$46,3,FALSE)</f>
        <v>Villa La Angostura</v>
      </c>
    </row>
    <row r="830" spans="1:19" x14ac:dyDescent="0.2">
      <c r="A830" s="1">
        <v>45821</v>
      </c>
      <c r="B830" t="s">
        <v>6137</v>
      </c>
      <c r="D830" t="s">
        <v>6138</v>
      </c>
      <c r="E830" t="s">
        <v>16</v>
      </c>
      <c r="F830" t="s">
        <v>58</v>
      </c>
      <c r="G830" s="14">
        <v>68000</v>
      </c>
      <c r="H830" s="14">
        <v>60000</v>
      </c>
      <c r="I830" t="s">
        <v>22</v>
      </c>
      <c r="J830" t="s">
        <v>22</v>
      </c>
      <c r="K830" t="s">
        <v>6139</v>
      </c>
      <c r="L830" t="s">
        <v>111</v>
      </c>
      <c r="M830" t="s">
        <v>19</v>
      </c>
      <c r="N830">
        <v>2</v>
      </c>
      <c r="O830" t="s">
        <v>50</v>
      </c>
      <c r="P830" t="s">
        <v>21</v>
      </c>
      <c r="Q830" t="s">
        <v>30</v>
      </c>
      <c r="R830" t="str">
        <f>VLOOKUP($O830,'Mapa Oficinas'!$A$7:$C$46,2,FALSE)</f>
        <v>CABA</v>
      </c>
      <c r="S830" t="str">
        <f>VLOOKUP($O830,'Mapa Oficinas'!$A$7:$C$46,3,FALSE)</f>
        <v>Villa Urquiza</v>
      </c>
    </row>
    <row r="831" spans="1:19" x14ac:dyDescent="0.2">
      <c r="A831" s="1">
        <v>45821</v>
      </c>
      <c r="B831" t="s">
        <v>6140</v>
      </c>
      <c r="D831" t="s">
        <v>6140</v>
      </c>
      <c r="E831" t="s">
        <v>16</v>
      </c>
      <c r="F831" t="s">
        <v>47</v>
      </c>
      <c r="G831" s="14">
        <v>77000</v>
      </c>
      <c r="H831" s="14">
        <v>77000</v>
      </c>
      <c r="I831" t="s">
        <v>22</v>
      </c>
      <c r="J831" t="s">
        <v>22</v>
      </c>
      <c r="K831" t="s">
        <v>6140</v>
      </c>
      <c r="L831" t="s">
        <v>107</v>
      </c>
      <c r="M831" t="s">
        <v>19</v>
      </c>
      <c r="N831">
        <v>2</v>
      </c>
      <c r="O831" t="s">
        <v>50</v>
      </c>
      <c r="P831" t="s">
        <v>21</v>
      </c>
      <c r="Q831" t="s">
        <v>30</v>
      </c>
      <c r="R831" t="str">
        <f>VLOOKUP($O831,'Mapa Oficinas'!$A$7:$C$46,2,FALSE)</f>
        <v>CABA</v>
      </c>
      <c r="S831" t="str">
        <f>VLOOKUP($O831,'Mapa Oficinas'!$A$7:$C$46,3,FALSE)</f>
        <v>Villa Urquiza</v>
      </c>
    </row>
    <row r="832" spans="1:19" x14ac:dyDescent="0.2">
      <c r="A832" s="1">
        <v>45821</v>
      </c>
      <c r="B832" t="s">
        <v>6144</v>
      </c>
      <c r="D832" t="s">
        <v>6145</v>
      </c>
      <c r="E832" t="s">
        <v>16</v>
      </c>
      <c r="F832" t="s">
        <v>17</v>
      </c>
      <c r="G832" s="14">
        <v>125000</v>
      </c>
      <c r="H832" s="14">
        <v>100000</v>
      </c>
      <c r="I832" t="s">
        <v>22</v>
      </c>
      <c r="J832" t="s">
        <v>22</v>
      </c>
      <c r="K832" t="s">
        <v>6146</v>
      </c>
      <c r="L832" t="s">
        <v>191</v>
      </c>
      <c r="M832" t="s">
        <v>19</v>
      </c>
      <c r="N832">
        <v>2</v>
      </c>
      <c r="O832" t="s">
        <v>20</v>
      </c>
      <c r="P832" t="s">
        <v>276</v>
      </c>
      <c r="Q832" t="s">
        <v>30</v>
      </c>
      <c r="R832" t="str">
        <f>VLOOKUP($O832,'Mapa Oficinas'!$A$7:$C$46,2,FALSE)</f>
        <v>CABA</v>
      </c>
      <c r="S832" t="str">
        <f>VLOOKUP($O832,'Mapa Oficinas'!$A$7:$C$46,3,FALSE)</f>
        <v>Palermo</v>
      </c>
    </row>
    <row r="833" spans="1:19" x14ac:dyDescent="0.2">
      <c r="A833" s="1">
        <v>45821</v>
      </c>
      <c r="B833" t="s">
        <v>2535</v>
      </c>
      <c r="D833" t="s">
        <v>2536</v>
      </c>
      <c r="E833" t="s">
        <v>16</v>
      </c>
      <c r="F833" t="s">
        <v>17</v>
      </c>
      <c r="G833" s="14">
        <v>115000</v>
      </c>
      <c r="H833" s="14">
        <v>108000</v>
      </c>
      <c r="I833" t="s">
        <v>22</v>
      </c>
      <c r="J833" t="s">
        <v>22</v>
      </c>
      <c r="K833" t="s">
        <v>2537</v>
      </c>
      <c r="L833" t="s">
        <v>2434</v>
      </c>
      <c r="M833" t="s">
        <v>19</v>
      </c>
      <c r="N833">
        <v>2</v>
      </c>
      <c r="O833" t="s">
        <v>142</v>
      </c>
      <c r="P833" t="s">
        <v>276</v>
      </c>
      <c r="Q833" t="s">
        <v>30</v>
      </c>
      <c r="R833" t="str">
        <f>VLOOKUP($O833,'Mapa Oficinas'!$A$7:$C$46,2,FALSE)</f>
        <v>Zona Norte (GBA)</v>
      </c>
      <c r="S833" t="str">
        <f>VLOOKUP($O833,'Mapa Oficinas'!$A$7:$C$46,3,FALSE)</f>
        <v>Nordelta</v>
      </c>
    </row>
    <row r="834" spans="1:19" x14ac:dyDescent="0.2">
      <c r="A834" s="1">
        <v>45821</v>
      </c>
      <c r="B834" t="s">
        <v>6157</v>
      </c>
      <c r="D834" t="s">
        <v>6158</v>
      </c>
      <c r="E834" t="s">
        <v>16</v>
      </c>
      <c r="F834" t="s">
        <v>82</v>
      </c>
      <c r="G834" s="14">
        <v>129000</v>
      </c>
      <c r="H834" s="14">
        <v>115000</v>
      </c>
      <c r="I834" t="s">
        <v>22</v>
      </c>
      <c r="J834" t="s">
        <v>22</v>
      </c>
      <c r="K834" t="s">
        <v>6159</v>
      </c>
      <c r="L834" t="s">
        <v>2697</v>
      </c>
      <c r="M834" t="s">
        <v>28</v>
      </c>
      <c r="N834">
        <v>2</v>
      </c>
      <c r="O834" t="s">
        <v>171</v>
      </c>
      <c r="P834" t="s">
        <v>21</v>
      </c>
      <c r="Q834" t="s">
        <v>30</v>
      </c>
      <c r="R834" t="str">
        <f>VLOOKUP($O834,'Mapa Oficinas'!$A$7:$C$46,2,FALSE)</f>
        <v>Zona Sur (GBA)</v>
      </c>
      <c r="S834" t="str">
        <f>VLOOKUP($O834,'Mapa Oficinas'!$A$7:$C$46,3,FALSE)</f>
        <v>La Plata</v>
      </c>
    </row>
    <row r="835" spans="1:19" x14ac:dyDescent="0.2">
      <c r="A835" s="1">
        <v>45821</v>
      </c>
      <c r="B835" t="s">
        <v>6151</v>
      </c>
      <c r="D835" t="s">
        <v>6152</v>
      </c>
      <c r="E835" t="s">
        <v>16</v>
      </c>
      <c r="F835" t="s">
        <v>17</v>
      </c>
      <c r="G835" s="14">
        <v>128500</v>
      </c>
      <c r="H835" s="14">
        <v>126000</v>
      </c>
      <c r="I835" t="s">
        <v>22</v>
      </c>
      <c r="J835" t="s">
        <v>22</v>
      </c>
      <c r="K835" t="s">
        <v>6153</v>
      </c>
      <c r="L835" t="s">
        <v>503</v>
      </c>
      <c r="M835" t="s">
        <v>19</v>
      </c>
      <c r="N835">
        <v>2</v>
      </c>
      <c r="O835" t="s">
        <v>142</v>
      </c>
      <c r="P835" t="s">
        <v>276</v>
      </c>
      <c r="Q835" t="s">
        <v>30</v>
      </c>
      <c r="R835" t="str">
        <f>VLOOKUP($O835,'Mapa Oficinas'!$A$7:$C$46,2,FALSE)</f>
        <v>Zona Norte (GBA)</v>
      </c>
      <c r="S835" t="str">
        <f>VLOOKUP($O835,'Mapa Oficinas'!$A$7:$C$46,3,FALSE)</f>
        <v>Nordelta</v>
      </c>
    </row>
    <row r="836" spans="1:19" x14ac:dyDescent="0.2">
      <c r="A836" s="1">
        <v>45821</v>
      </c>
      <c r="B836" t="s">
        <v>6150</v>
      </c>
      <c r="D836" t="s">
        <v>6150</v>
      </c>
      <c r="E836" t="s">
        <v>16</v>
      </c>
      <c r="F836" t="s">
        <v>17</v>
      </c>
      <c r="G836" s="14">
        <v>150000</v>
      </c>
      <c r="H836" s="14">
        <v>150000</v>
      </c>
      <c r="I836" t="s">
        <v>22</v>
      </c>
      <c r="J836" t="s">
        <v>22</v>
      </c>
      <c r="K836" t="s">
        <v>6150</v>
      </c>
      <c r="L836" t="s">
        <v>277</v>
      </c>
      <c r="M836" t="s">
        <v>19</v>
      </c>
      <c r="N836">
        <v>2</v>
      </c>
      <c r="O836" t="s">
        <v>35</v>
      </c>
      <c r="P836" t="s">
        <v>21</v>
      </c>
      <c r="Q836" t="s">
        <v>30</v>
      </c>
      <c r="R836" t="str">
        <f>VLOOKUP($O836,'Mapa Oficinas'!$A$7:$C$46,2,FALSE)</f>
        <v>Zona Norte (GBA)</v>
      </c>
      <c r="S836" t="str">
        <f>VLOOKUP($O836,'Mapa Oficinas'!$A$7:$C$46,3,FALSE)</f>
        <v>Vicente López</v>
      </c>
    </row>
    <row r="837" spans="1:19" x14ac:dyDescent="0.2">
      <c r="A837" s="1">
        <v>45821</v>
      </c>
      <c r="B837" t="s">
        <v>6147</v>
      </c>
      <c r="D837" t="s">
        <v>6148</v>
      </c>
      <c r="E837" t="s">
        <v>16</v>
      </c>
      <c r="F837" t="s">
        <v>47</v>
      </c>
      <c r="G837" s="14">
        <v>155000</v>
      </c>
      <c r="H837" s="14">
        <v>151000</v>
      </c>
      <c r="I837" t="s">
        <v>22</v>
      </c>
      <c r="J837" t="s">
        <v>22</v>
      </c>
      <c r="K837" t="s">
        <v>6149</v>
      </c>
      <c r="L837" t="s">
        <v>536</v>
      </c>
      <c r="M837" t="s">
        <v>28</v>
      </c>
      <c r="N837">
        <v>2</v>
      </c>
      <c r="O837" t="s">
        <v>40</v>
      </c>
      <c r="P837" t="s">
        <v>41</v>
      </c>
      <c r="Q837" t="s">
        <v>30</v>
      </c>
      <c r="R837" t="str">
        <f>VLOOKUP($O837,'Mapa Oficinas'!$A$7:$C$46,2,FALSE)</f>
        <v>Zona Norte (GBA)</v>
      </c>
      <c r="S837" t="str">
        <f>VLOOKUP($O837,'Mapa Oficinas'!$A$7:$C$46,3,FALSE)</f>
        <v>Pilar</v>
      </c>
    </row>
    <row r="838" spans="1:19" x14ac:dyDescent="0.2">
      <c r="A838" s="1">
        <v>45821</v>
      </c>
      <c r="B838" t="s">
        <v>6163</v>
      </c>
      <c r="D838" t="s">
        <v>6164</v>
      </c>
      <c r="E838" t="s">
        <v>16</v>
      </c>
      <c r="F838" t="s">
        <v>17</v>
      </c>
      <c r="G838" s="14">
        <v>157000</v>
      </c>
      <c r="H838" s="14">
        <v>167000</v>
      </c>
      <c r="I838" t="s">
        <v>22</v>
      </c>
      <c r="J838" t="s">
        <v>22</v>
      </c>
      <c r="K838" t="s">
        <v>6165</v>
      </c>
      <c r="L838" t="s">
        <v>1030</v>
      </c>
      <c r="M838" t="s">
        <v>28</v>
      </c>
      <c r="N838">
        <v>2</v>
      </c>
      <c r="O838" t="s">
        <v>389</v>
      </c>
      <c r="P838" t="s">
        <v>21</v>
      </c>
      <c r="Q838" t="s">
        <v>30</v>
      </c>
      <c r="R838" t="str">
        <f>VLOOKUP($O838,'Mapa Oficinas'!$A$7:$C$46,2,FALSE)</f>
        <v>Zona Norte (GBA)</v>
      </c>
      <c r="S838" t="str">
        <f>VLOOKUP($O838,'Mapa Oficinas'!$A$7:$C$46,3,FALSE)</f>
        <v>Escobar</v>
      </c>
    </row>
    <row r="839" spans="1:19" x14ac:dyDescent="0.2">
      <c r="A839" s="1">
        <v>45821</v>
      </c>
      <c r="B839" t="s">
        <v>6154</v>
      </c>
      <c r="D839" t="s">
        <v>6155</v>
      </c>
      <c r="E839" t="s">
        <v>16</v>
      </c>
      <c r="F839" t="s">
        <v>134</v>
      </c>
      <c r="G839" s="14">
        <v>179000</v>
      </c>
      <c r="H839" s="14">
        <v>168000</v>
      </c>
      <c r="I839" t="s">
        <v>22</v>
      </c>
      <c r="J839" t="s">
        <v>22</v>
      </c>
      <c r="K839" t="s">
        <v>2590</v>
      </c>
      <c r="L839" t="s">
        <v>2591</v>
      </c>
      <c r="M839" t="s">
        <v>19</v>
      </c>
      <c r="N839">
        <v>1</v>
      </c>
      <c r="O839" t="s">
        <v>130</v>
      </c>
      <c r="P839" t="s">
        <v>131</v>
      </c>
      <c r="Q839" t="s">
        <v>30</v>
      </c>
      <c r="R839" t="str">
        <f>VLOOKUP($O839,'Mapa Oficinas'!$A$7:$C$46,2,FALSE)</f>
        <v>Interior - Río Negro</v>
      </c>
      <c r="S839" t="str">
        <f>VLOOKUP($O839,'Mapa Oficinas'!$A$7:$C$46,3,FALSE)</f>
        <v>Bariloche</v>
      </c>
    </row>
    <row r="840" spans="1:19" x14ac:dyDescent="0.2">
      <c r="A840" s="1">
        <v>45821</v>
      </c>
      <c r="B840" t="s">
        <v>6160</v>
      </c>
      <c r="D840" t="s">
        <v>6161</v>
      </c>
      <c r="E840" t="s">
        <v>16</v>
      </c>
      <c r="F840" t="s">
        <v>17</v>
      </c>
      <c r="G840" s="14">
        <v>265000</v>
      </c>
      <c r="H840" s="14">
        <v>240000</v>
      </c>
      <c r="I840" t="s">
        <v>22</v>
      </c>
      <c r="J840" t="s">
        <v>22</v>
      </c>
      <c r="K840" t="s">
        <v>6162</v>
      </c>
      <c r="L840" t="s">
        <v>503</v>
      </c>
      <c r="M840" t="s">
        <v>300</v>
      </c>
      <c r="N840">
        <v>2</v>
      </c>
      <c r="O840" t="s">
        <v>103</v>
      </c>
      <c r="P840" t="s">
        <v>21</v>
      </c>
      <c r="Q840" t="s">
        <v>30</v>
      </c>
      <c r="R840" t="str">
        <f>VLOOKUP($O840,'Mapa Oficinas'!$A$7:$C$46,2,FALSE)</f>
        <v>CABA</v>
      </c>
      <c r="S840" t="str">
        <f>VLOOKUP($O840,'Mapa Oficinas'!$A$7:$C$46,3,FALSE)</f>
        <v>Barrio Parque</v>
      </c>
    </row>
    <row r="841" spans="1:19" x14ac:dyDescent="0.2">
      <c r="A841" s="1">
        <v>45821</v>
      </c>
      <c r="B841" t="s">
        <v>6107</v>
      </c>
      <c r="D841" t="s">
        <v>6108</v>
      </c>
      <c r="E841" t="s">
        <v>16</v>
      </c>
      <c r="F841" t="s">
        <v>82</v>
      </c>
      <c r="G841" s="14">
        <v>310000</v>
      </c>
      <c r="H841" s="14">
        <v>295000</v>
      </c>
      <c r="I841" t="s">
        <v>22</v>
      </c>
      <c r="J841" t="s">
        <v>22</v>
      </c>
      <c r="L841" t="s">
        <v>942</v>
      </c>
      <c r="M841" t="s">
        <v>19</v>
      </c>
      <c r="N841">
        <v>2</v>
      </c>
      <c r="O841" t="s">
        <v>40</v>
      </c>
      <c r="P841" t="s">
        <v>44</v>
      </c>
      <c r="Q841" t="s">
        <v>30</v>
      </c>
      <c r="R841" t="str">
        <f>VLOOKUP($O841,'Mapa Oficinas'!$A$7:$C$46,2,FALSE)</f>
        <v>Zona Norte (GBA)</v>
      </c>
      <c r="S841" t="str">
        <f>VLOOKUP($O841,'Mapa Oficinas'!$A$7:$C$46,3,FALSE)</f>
        <v>Pilar</v>
      </c>
    </row>
    <row r="842" spans="1:19" x14ac:dyDescent="0.2">
      <c r="A842" s="1">
        <v>45822</v>
      </c>
      <c r="B842" t="s">
        <v>6134</v>
      </c>
      <c r="D842" t="s">
        <v>6135</v>
      </c>
      <c r="E842" t="s">
        <v>16</v>
      </c>
      <c r="F842" t="s">
        <v>17</v>
      </c>
      <c r="G842" s="14">
        <v>53000</v>
      </c>
      <c r="H842" s="14">
        <v>50000</v>
      </c>
      <c r="I842" t="s">
        <v>22</v>
      </c>
      <c r="J842" t="s">
        <v>22</v>
      </c>
      <c r="K842" t="s">
        <v>6136</v>
      </c>
      <c r="L842" t="s">
        <v>867</v>
      </c>
      <c r="M842" t="s">
        <v>19</v>
      </c>
      <c r="N842">
        <v>2</v>
      </c>
      <c r="O842" t="s">
        <v>116</v>
      </c>
      <c r="P842" t="s">
        <v>21</v>
      </c>
      <c r="Q842" t="s">
        <v>30</v>
      </c>
      <c r="R842" t="str">
        <f>VLOOKUP($O842,'Mapa Oficinas'!$A$7:$C$46,2,FALSE)</f>
        <v>CABA</v>
      </c>
      <c r="S842" t="str">
        <f>VLOOKUP($O842,'Mapa Oficinas'!$A$7:$C$46,3,FALSE)</f>
        <v>Puerto Madero</v>
      </c>
    </row>
    <row r="843" spans="1:19" x14ac:dyDescent="0.2">
      <c r="A843" s="1">
        <v>45822</v>
      </c>
      <c r="B843" t="s">
        <v>6130</v>
      </c>
      <c r="D843" t="s">
        <v>6131</v>
      </c>
      <c r="E843" t="s">
        <v>16</v>
      </c>
      <c r="F843" t="s">
        <v>243</v>
      </c>
      <c r="G843" s="14">
        <v>65000</v>
      </c>
      <c r="H843" s="14">
        <v>65000</v>
      </c>
      <c r="I843" t="s">
        <v>22</v>
      </c>
      <c r="J843" t="s">
        <v>22</v>
      </c>
      <c r="K843" t="s">
        <v>6132</v>
      </c>
      <c r="L843" t="s">
        <v>6133</v>
      </c>
      <c r="M843" t="s">
        <v>28</v>
      </c>
      <c r="N843">
        <v>2</v>
      </c>
      <c r="O843" t="s">
        <v>246</v>
      </c>
      <c r="P843" t="s">
        <v>21</v>
      </c>
      <c r="Q843" t="s">
        <v>30</v>
      </c>
      <c r="R843" t="str">
        <f>VLOOKUP($O843,'Mapa Oficinas'!$A$7:$C$46,2,FALSE)</f>
        <v>Interior - Salta</v>
      </c>
      <c r="S843" t="str">
        <f>VLOOKUP($O843,'Mapa Oficinas'!$A$7:$C$46,3,FALSE)</f>
        <v>San Lorenzo Chico</v>
      </c>
    </row>
    <row r="844" spans="1:19" x14ac:dyDescent="0.2">
      <c r="A844" s="1">
        <v>45824</v>
      </c>
      <c r="B844" t="s">
        <v>1582</v>
      </c>
      <c r="D844" t="s">
        <v>1583</v>
      </c>
      <c r="E844" t="s">
        <v>16</v>
      </c>
      <c r="F844" t="s">
        <v>82</v>
      </c>
      <c r="G844" s="14">
        <v>52000</v>
      </c>
      <c r="H844" s="14">
        <v>42000</v>
      </c>
      <c r="I844" t="s">
        <v>22</v>
      </c>
      <c r="J844" t="s">
        <v>22</v>
      </c>
      <c r="K844" t="s">
        <v>1584</v>
      </c>
      <c r="L844" t="s">
        <v>1585</v>
      </c>
      <c r="M844" t="s">
        <v>28</v>
      </c>
      <c r="N844">
        <v>2</v>
      </c>
      <c r="O844" t="s">
        <v>367</v>
      </c>
      <c r="P844" t="s">
        <v>21</v>
      </c>
      <c r="Q844" t="s">
        <v>30</v>
      </c>
      <c r="R844" t="str">
        <f>VLOOKUP($O844,'Mapa Oficinas'!$A$7:$C$46,2,FALSE)</f>
        <v>Interior - Neuquén</v>
      </c>
      <c r="S844" t="str">
        <f>VLOOKUP($O844,'Mapa Oficinas'!$A$7:$C$46,3,FALSE)</f>
        <v>San Martín de los Andes</v>
      </c>
    </row>
    <row r="845" spans="1:19" x14ac:dyDescent="0.2">
      <c r="A845" s="1">
        <v>45824</v>
      </c>
      <c r="B845" t="s">
        <v>2611</v>
      </c>
      <c r="D845" t="s">
        <v>2612</v>
      </c>
      <c r="E845" t="s">
        <v>16</v>
      </c>
      <c r="F845" t="s">
        <v>17</v>
      </c>
      <c r="G845" s="14">
        <v>180000</v>
      </c>
      <c r="H845" s="14">
        <v>127000</v>
      </c>
      <c r="I845" t="s">
        <v>22</v>
      </c>
      <c r="J845" t="s">
        <v>22</v>
      </c>
      <c r="K845" t="s">
        <v>2613</v>
      </c>
      <c r="L845" t="s">
        <v>398</v>
      </c>
      <c r="M845" t="s">
        <v>19</v>
      </c>
      <c r="N845">
        <v>2</v>
      </c>
      <c r="O845" t="s">
        <v>142</v>
      </c>
      <c r="P845" t="s">
        <v>21</v>
      </c>
      <c r="Q845" t="s">
        <v>30</v>
      </c>
      <c r="R845" t="str">
        <f>VLOOKUP($O845,'Mapa Oficinas'!$A$7:$C$46,2,FALSE)</f>
        <v>Zona Norte (GBA)</v>
      </c>
      <c r="S845" t="str">
        <f>VLOOKUP($O845,'Mapa Oficinas'!$A$7:$C$46,3,FALSE)</f>
        <v>Nordelta</v>
      </c>
    </row>
    <row r="846" spans="1:19" x14ac:dyDescent="0.2">
      <c r="A846" s="1">
        <v>45825</v>
      </c>
      <c r="B846" t="s">
        <v>6125</v>
      </c>
      <c r="D846" t="s">
        <v>6126</v>
      </c>
      <c r="E846" t="s">
        <v>16</v>
      </c>
      <c r="F846" t="s">
        <v>47</v>
      </c>
      <c r="G846" s="14">
        <v>47000</v>
      </c>
      <c r="H846" s="14">
        <v>44000</v>
      </c>
      <c r="I846" t="s">
        <v>22</v>
      </c>
      <c r="J846" t="s">
        <v>22</v>
      </c>
      <c r="K846" t="s">
        <v>5212</v>
      </c>
      <c r="L846" t="s">
        <v>5213</v>
      </c>
      <c r="M846" t="s">
        <v>19</v>
      </c>
      <c r="N846">
        <v>2</v>
      </c>
      <c r="O846" t="s">
        <v>50</v>
      </c>
      <c r="P846" t="s">
        <v>21</v>
      </c>
      <c r="Q846" t="s">
        <v>30</v>
      </c>
      <c r="R846" t="str">
        <f>VLOOKUP($O846,'Mapa Oficinas'!$A$7:$C$46,2,FALSE)</f>
        <v>CABA</v>
      </c>
      <c r="S846" t="str">
        <f>VLOOKUP($O846,'Mapa Oficinas'!$A$7:$C$46,3,FALSE)</f>
        <v>Villa Urquiza</v>
      </c>
    </row>
    <row r="847" spans="1:19" x14ac:dyDescent="0.2">
      <c r="A847" s="1">
        <v>45825</v>
      </c>
      <c r="B847" t="s">
        <v>6118</v>
      </c>
      <c r="D847" t="s">
        <v>6119</v>
      </c>
      <c r="E847" t="s">
        <v>16</v>
      </c>
      <c r="F847" t="s">
        <v>134</v>
      </c>
      <c r="G847" s="14">
        <v>46410</v>
      </c>
      <c r="H847" s="14">
        <v>45000</v>
      </c>
      <c r="I847" t="s">
        <v>22</v>
      </c>
      <c r="J847" t="s">
        <v>22</v>
      </c>
      <c r="K847" t="s">
        <v>2966</v>
      </c>
      <c r="L847" t="s">
        <v>5880</v>
      </c>
      <c r="M847" t="s">
        <v>97</v>
      </c>
      <c r="N847">
        <v>1</v>
      </c>
      <c r="O847" t="s">
        <v>130</v>
      </c>
      <c r="P847" t="s">
        <v>66</v>
      </c>
      <c r="Q847" t="s">
        <v>30</v>
      </c>
      <c r="R847" t="str">
        <f>VLOOKUP($O847,'Mapa Oficinas'!$A$7:$C$46,2,FALSE)</f>
        <v>Interior - Río Negro</v>
      </c>
      <c r="S847" t="str">
        <f>VLOOKUP($O847,'Mapa Oficinas'!$A$7:$C$46,3,FALSE)</f>
        <v>Bariloche</v>
      </c>
    </row>
    <row r="848" spans="1:19" x14ac:dyDescent="0.2">
      <c r="A848" s="1">
        <v>45825</v>
      </c>
      <c r="B848" t="s">
        <v>6123</v>
      </c>
      <c r="D848" t="s">
        <v>6124</v>
      </c>
      <c r="E848" t="s">
        <v>16</v>
      </c>
      <c r="F848" t="s">
        <v>58</v>
      </c>
      <c r="G848" s="14">
        <v>47000</v>
      </c>
      <c r="H848" s="14">
        <v>47000</v>
      </c>
      <c r="I848" t="s">
        <v>22</v>
      </c>
      <c r="J848" t="s">
        <v>22</v>
      </c>
      <c r="K848" t="s">
        <v>5212</v>
      </c>
      <c r="L848" t="s">
        <v>5213</v>
      </c>
      <c r="M848" t="s">
        <v>19</v>
      </c>
      <c r="N848">
        <v>2</v>
      </c>
      <c r="O848" t="s">
        <v>50</v>
      </c>
      <c r="P848" t="s">
        <v>21</v>
      </c>
      <c r="Q848" t="s">
        <v>30</v>
      </c>
      <c r="R848" t="str">
        <f>VLOOKUP($O848,'Mapa Oficinas'!$A$7:$C$46,2,FALSE)</f>
        <v>CABA</v>
      </c>
      <c r="S848" t="str">
        <f>VLOOKUP($O848,'Mapa Oficinas'!$A$7:$C$46,3,FALSE)</f>
        <v>Villa Urquiza</v>
      </c>
    </row>
    <row r="849" spans="1:19" x14ac:dyDescent="0.2">
      <c r="A849" s="1">
        <v>45825</v>
      </c>
      <c r="B849" t="s">
        <v>6113</v>
      </c>
      <c r="D849" t="s">
        <v>6114</v>
      </c>
      <c r="E849" t="s">
        <v>16</v>
      </c>
      <c r="F849" t="s">
        <v>17</v>
      </c>
      <c r="G849" s="14">
        <v>55000</v>
      </c>
      <c r="H849" s="14">
        <v>52000</v>
      </c>
      <c r="I849" t="s">
        <v>22</v>
      </c>
      <c r="J849" t="s">
        <v>22</v>
      </c>
      <c r="K849" t="s">
        <v>6115</v>
      </c>
      <c r="L849" t="s">
        <v>1353</v>
      </c>
      <c r="M849" t="s">
        <v>19</v>
      </c>
      <c r="N849">
        <v>2</v>
      </c>
      <c r="O849" t="s">
        <v>151</v>
      </c>
      <c r="P849" t="s">
        <v>41</v>
      </c>
      <c r="Q849" t="s">
        <v>30</v>
      </c>
      <c r="R849" t="str">
        <f>VLOOKUP($O849,'Mapa Oficinas'!$A$7:$C$46,2,FALSE)</f>
        <v>Interior - Neuquén</v>
      </c>
      <c r="S849" t="str">
        <f>VLOOKUP($O849,'Mapa Oficinas'!$A$7:$C$46,3,FALSE)</f>
        <v>Capital Neuquén</v>
      </c>
    </row>
    <row r="850" spans="1:19" x14ac:dyDescent="0.2">
      <c r="A850" s="1">
        <v>45825</v>
      </c>
      <c r="B850" t="s">
        <v>4495</v>
      </c>
      <c r="D850" t="s">
        <v>4026</v>
      </c>
      <c r="E850" t="s">
        <v>16</v>
      </c>
      <c r="F850" t="s">
        <v>17</v>
      </c>
      <c r="G850" s="14">
        <v>190000</v>
      </c>
      <c r="H850" s="14">
        <v>180000</v>
      </c>
      <c r="I850" t="s">
        <v>22</v>
      </c>
      <c r="J850" t="s">
        <v>22</v>
      </c>
      <c r="K850" t="s">
        <v>4026</v>
      </c>
      <c r="L850" t="s">
        <v>4027</v>
      </c>
      <c r="M850" t="s">
        <v>28</v>
      </c>
      <c r="N850">
        <v>2</v>
      </c>
      <c r="O850" t="s">
        <v>142</v>
      </c>
      <c r="P850" t="s">
        <v>41</v>
      </c>
      <c r="Q850" t="s">
        <v>30</v>
      </c>
      <c r="R850" t="str">
        <f>VLOOKUP($O850,'Mapa Oficinas'!$A$7:$C$46,2,FALSE)</f>
        <v>Zona Norte (GBA)</v>
      </c>
      <c r="S850" t="str">
        <f>VLOOKUP($O850,'Mapa Oficinas'!$A$7:$C$46,3,FALSE)</f>
        <v>Nordelta</v>
      </c>
    </row>
    <row r="851" spans="1:19" x14ac:dyDescent="0.2">
      <c r="A851" s="1">
        <v>45825</v>
      </c>
      <c r="B851" t="s">
        <v>6116</v>
      </c>
      <c r="D851" t="s">
        <v>6117</v>
      </c>
      <c r="E851" t="s">
        <v>16</v>
      </c>
      <c r="F851" t="s">
        <v>17</v>
      </c>
      <c r="G851" s="14">
        <v>245000</v>
      </c>
      <c r="H851" s="14">
        <v>245000</v>
      </c>
      <c r="I851" t="s">
        <v>22</v>
      </c>
      <c r="J851" t="s">
        <v>22</v>
      </c>
      <c r="L851" t="s">
        <v>129</v>
      </c>
      <c r="M851" t="s">
        <v>28</v>
      </c>
      <c r="N851">
        <v>1</v>
      </c>
      <c r="O851" t="s">
        <v>130</v>
      </c>
      <c r="P851" t="s">
        <v>131</v>
      </c>
      <c r="Q851" t="s">
        <v>30</v>
      </c>
      <c r="R851" t="str">
        <f>VLOOKUP($O851,'Mapa Oficinas'!$A$7:$C$46,2,FALSE)</f>
        <v>Interior - Río Negro</v>
      </c>
      <c r="S851" t="str">
        <f>VLOOKUP($O851,'Mapa Oficinas'!$A$7:$C$46,3,FALSE)</f>
        <v>Bariloche</v>
      </c>
    </row>
    <row r="852" spans="1:19" x14ac:dyDescent="0.2">
      <c r="A852" s="1">
        <v>45825</v>
      </c>
      <c r="B852" t="s">
        <v>6120</v>
      </c>
      <c r="D852" t="s">
        <v>6121</v>
      </c>
      <c r="E852" t="s">
        <v>16</v>
      </c>
      <c r="F852" t="s">
        <v>17</v>
      </c>
      <c r="G852" s="14">
        <v>250000</v>
      </c>
      <c r="H852" s="14">
        <v>285000</v>
      </c>
      <c r="I852" t="s">
        <v>22</v>
      </c>
      <c r="J852" t="s">
        <v>22</v>
      </c>
      <c r="K852" t="s">
        <v>6122</v>
      </c>
      <c r="L852" t="s">
        <v>111</v>
      </c>
      <c r="M852" t="s">
        <v>19</v>
      </c>
      <c r="N852">
        <v>2</v>
      </c>
      <c r="O852" t="s">
        <v>142</v>
      </c>
      <c r="P852" t="s">
        <v>21</v>
      </c>
      <c r="Q852" t="s">
        <v>30</v>
      </c>
      <c r="R852" t="str">
        <f>VLOOKUP($O852,'Mapa Oficinas'!$A$7:$C$46,2,FALSE)</f>
        <v>Zona Norte (GBA)</v>
      </c>
      <c r="S852" t="str">
        <f>VLOOKUP($O852,'Mapa Oficinas'!$A$7:$C$46,3,FALSE)</f>
        <v>Nordelta</v>
      </c>
    </row>
    <row r="853" spans="1:19" x14ac:dyDescent="0.2">
      <c r="A853" s="1">
        <v>45826</v>
      </c>
      <c r="D853" t="s">
        <v>6111</v>
      </c>
      <c r="E853" t="s">
        <v>16</v>
      </c>
      <c r="F853" t="s">
        <v>38</v>
      </c>
      <c r="G853" s="14">
        <v>40000</v>
      </c>
      <c r="H853" s="14">
        <v>40000</v>
      </c>
      <c r="I853" t="s">
        <v>22</v>
      </c>
      <c r="J853" t="s">
        <v>22</v>
      </c>
      <c r="K853" t="s">
        <v>1193</v>
      </c>
      <c r="L853" t="s">
        <v>915</v>
      </c>
      <c r="M853" t="s">
        <v>97</v>
      </c>
      <c r="N853">
        <v>2</v>
      </c>
      <c r="O853" t="s">
        <v>98</v>
      </c>
      <c r="P853" t="s">
        <v>41</v>
      </c>
      <c r="Q853" t="s">
        <v>30</v>
      </c>
      <c r="R853" t="str">
        <f>VLOOKUP($O853,'Mapa Oficinas'!$A$7:$C$46,2,FALSE)</f>
        <v>Interior - Neuquén</v>
      </c>
      <c r="S853" t="str">
        <f>VLOOKUP($O853,'Mapa Oficinas'!$A$7:$C$46,3,FALSE)</f>
        <v>Villa La Angostura</v>
      </c>
    </row>
    <row r="854" spans="1:19" x14ac:dyDescent="0.2">
      <c r="A854" s="1">
        <v>45826</v>
      </c>
      <c r="B854" t="s">
        <v>6106</v>
      </c>
      <c r="D854" t="s">
        <v>6106</v>
      </c>
      <c r="E854" t="s">
        <v>16</v>
      </c>
      <c r="F854" t="s">
        <v>17</v>
      </c>
      <c r="G854" s="14">
        <v>51500</v>
      </c>
      <c r="H854" s="14">
        <v>51500</v>
      </c>
      <c r="I854" t="s">
        <v>22</v>
      </c>
      <c r="J854" t="s">
        <v>22</v>
      </c>
      <c r="L854" t="s">
        <v>189</v>
      </c>
      <c r="M854" t="s">
        <v>19</v>
      </c>
      <c r="N854">
        <v>1</v>
      </c>
      <c r="O854" t="s">
        <v>151</v>
      </c>
      <c r="P854" t="s">
        <v>146</v>
      </c>
      <c r="Q854" t="s">
        <v>30</v>
      </c>
      <c r="R854" t="str">
        <f>VLOOKUP($O854,'Mapa Oficinas'!$A$7:$C$46,2,FALSE)</f>
        <v>Interior - Neuquén</v>
      </c>
      <c r="S854" t="str">
        <f>VLOOKUP($O854,'Mapa Oficinas'!$A$7:$C$46,3,FALSE)</f>
        <v>Capital Neuquén</v>
      </c>
    </row>
    <row r="855" spans="1:19" x14ac:dyDescent="0.2">
      <c r="A855" s="1">
        <v>45826</v>
      </c>
      <c r="B855" t="s">
        <v>6097</v>
      </c>
      <c r="D855" t="s">
        <v>6098</v>
      </c>
      <c r="E855" t="s">
        <v>16</v>
      </c>
      <c r="F855" t="s">
        <v>17</v>
      </c>
      <c r="G855" s="14">
        <v>99900</v>
      </c>
      <c r="H855" s="14">
        <v>95000</v>
      </c>
      <c r="I855" t="s">
        <v>22</v>
      </c>
      <c r="J855" t="s">
        <v>22</v>
      </c>
      <c r="K855" t="s">
        <v>6099</v>
      </c>
      <c r="L855" t="s">
        <v>195</v>
      </c>
      <c r="M855" t="s">
        <v>19</v>
      </c>
      <c r="N855">
        <v>2</v>
      </c>
      <c r="O855" t="s">
        <v>50</v>
      </c>
      <c r="P855" t="s">
        <v>41</v>
      </c>
      <c r="Q855" t="s">
        <v>30</v>
      </c>
      <c r="R855" t="str">
        <f>VLOOKUP($O855,'Mapa Oficinas'!$A$7:$C$46,2,FALSE)</f>
        <v>CABA</v>
      </c>
      <c r="S855" t="str">
        <f>VLOOKUP($O855,'Mapa Oficinas'!$A$7:$C$46,3,FALSE)</f>
        <v>Villa Urquiza</v>
      </c>
    </row>
    <row r="856" spans="1:19" x14ac:dyDescent="0.2">
      <c r="A856" s="1">
        <v>45826</v>
      </c>
      <c r="B856" t="s">
        <v>6100</v>
      </c>
      <c r="D856" t="s">
        <v>6101</v>
      </c>
      <c r="E856" t="s">
        <v>16</v>
      </c>
      <c r="F856" t="s">
        <v>243</v>
      </c>
      <c r="G856" s="14">
        <v>105000</v>
      </c>
      <c r="H856" s="14">
        <v>105000</v>
      </c>
      <c r="I856" t="s">
        <v>22</v>
      </c>
      <c r="J856" t="s">
        <v>22</v>
      </c>
      <c r="K856" t="s">
        <v>6102</v>
      </c>
      <c r="L856" t="s">
        <v>426</v>
      </c>
      <c r="M856" t="s">
        <v>19</v>
      </c>
      <c r="N856">
        <v>1</v>
      </c>
      <c r="O856" t="s">
        <v>246</v>
      </c>
      <c r="P856" t="s">
        <v>66</v>
      </c>
      <c r="Q856" t="s">
        <v>30</v>
      </c>
      <c r="R856" t="str">
        <f>VLOOKUP($O856,'Mapa Oficinas'!$A$7:$C$46,2,FALSE)</f>
        <v>Interior - Salta</v>
      </c>
      <c r="S856" t="str">
        <f>VLOOKUP($O856,'Mapa Oficinas'!$A$7:$C$46,3,FALSE)</f>
        <v>San Lorenzo Chico</v>
      </c>
    </row>
    <row r="857" spans="1:19" x14ac:dyDescent="0.2">
      <c r="A857" s="1">
        <v>45826</v>
      </c>
      <c r="B857" t="s">
        <v>6103</v>
      </c>
      <c r="D857" t="s">
        <v>6104</v>
      </c>
      <c r="E857" t="s">
        <v>16</v>
      </c>
      <c r="F857" t="s">
        <v>17</v>
      </c>
      <c r="G857" s="14">
        <v>45000</v>
      </c>
      <c r="H857" s="14">
        <v>120000</v>
      </c>
      <c r="I857" t="s">
        <v>22</v>
      </c>
      <c r="J857" t="s">
        <v>18</v>
      </c>
      <c r="K857" t="s">
        <v>6105</v>
      </c>
      <c r="L857" t="s">
        <v>867</v>
      </c>
      <c r="M857" t="s">
        <v>13</v>
      </c>
      <c r="N857">
        <v>2</v>
      </c>
      <c r="O857" t="s">
        <v>142</v>
      </c>
      <c r="P857" t="s">
        <v>276</v>
      </c>
      <c r="Q857" t="s">
        <v>30</v>
      </c>
      <c r="R857" t="str">
        <f>VLOOKUP($O857,'Mapa Oficinas'!$A$7:$C$46,2,FALSE)</f>
        <v>Zona Norte (GBA)</v>
      </c>
      <c r="S857" t="str">
        <f>VLOOKUP($O857,'Mapa Oficinas'!$A$7:$C$46,3,FALSE)</f>
        <v>Nordelta</v>
      </c>
    </row>
    <row r="858" spans="1:19" x14ac:dyDescent="0.2">
      <c r="A858" s="1">
        <v>45826</v>
      </c>
      <c r="B858" t="s">
        <v>6109</v>
      </c>
      <c r="D858" t="s">
        <v>6110</v>
      </c>
      <c r="E858" t="s">
        <v>16</v>
      </c>
      <c r="F858" t="s">
        <v>17</v>
      </c>
      <c r="G858" s="14">
        <v>315000</v>
      </c>
      <c r="H858" s="14">
        <v>275000</v>
      </c>
      <c r="I858" t="s">
        <v>22</v>
      </c>
      <c r="J858" t="s">
        <v>22</v>
      </c>
      <c r="L858" t="s">
        <v>358</v>
      </c>
      <c r="M858" t="s">
        <v>28</v>
      </c>
      <c r="N858">
        <v>2</v>
      </c>
      <c r="O858" t="s">
        <v>359</v>
      </c>
      <c r="P858" t="s">
        <v>21</v>
      </c>
      <c r="Q858" t="s">
        <v>30</v>
      </c>
      <c r="R858" t="str">
        <f>VLOOKUP($O858,'Mapa Oficinas'!$A$7:$C$46,2,FALSE)</f>
        <v>CABA</v>
      </c>
      <c r="S858" t="str">
        <f>VLOOKUP($O858,'Mapa Oficinas'!$A$7:$C$46,3,FALSE)</f>
        <v>Palermo</v>
      </c>
    </row>
    <row r="859" spans="1:19" x14ac:dyDescent="0.2">
      <c r="A859" s="1">
        <v>45827</v>
      </c>
      <c r="B859" t="s">
        <v>6086</v>
      </c>
      <c r="D859" t="s">
        <v>6087</v>
      </c>
      <c r="E859" t="s">
        <v>16</v>
      </c>
      <c r="F859" t="s">
        <v>38</v>
      </c>
      <c r="G859" s="14">
        <v>36000</v>
      </c>
      <c r="H859" s="14">
        <v>36000</v>
      </c>
      <c r="I859" t="s">
        <v>22</v>
      </c>
      <c r="J859" t="s">
        <v>22</v>
      </c>
      <c r="K859" t="s">
        <v>6088</v>
      </c>
      <c r="L859" t="s">
        <v>630</v>
      </c>
      <c r="M859" t="s">
        <v>19</v>
      </c>
      <c r="N859">
        <v>2</v>
      </c>
      <c r="O859" t="s">
        <v>246</v>
      </c>
      <c r="P859" t="s">
        <v>21</v>
      </c>
      <c r="Q859" t="s">
        <v>30</v>
      </c>
      <c r="R859" t="str">
        <f>VLOOKUP($O859,'Mapa Oficinas'!$A$7:$C$46,2,FALSE)</f>
        <v>Interior - Salta</v>
      </c>
      <c r="S859" t="str">
        <f>VLOOKUP($O859,'Mapa Oficinas'!$A$7:$C$46,3,FALSE)</f>
        <v>San Lorenzo Chico</v>
      </c>
    </row>
    <row r="860" spans="1:19" x14ac:dyDescent="0.2">
      <c r="A860" s="1">
        <v>45827</v>
      </c>
      <c r="B860" t="s">
        <v>6094</v>
      </c>
      <c r="D860" t="s">
        <v>6095</v>
      </c>
      <c r="E860" t="s">
        <v>16</v>
      </c>
      <c r="F860" t="s">
        <v>17</v>
      </c>
      <c r="G860" s="14">
        <v>37000</v>
      </c>
      <c r="H860" s="14">
        <v>37000</v>
      </c>
      <c r="I860" t="s">
        <v>22</v>
      </c>
      <c r="J860" t="s">
        <v>22</v>
      </c>
      <c r="K860" t="s">
        <v>6096</v>
      </c>
      <c r="L860" t="s">
        <v>189</v>
      </c>
      <c r="M860" t="s">
        <v>97</v>
      </c>
      <c r="N860">
        <v>2</v>
      </c>
      <c r="O860" t="s">
        <v>151</v>
      </c>
      <c r="P860" t="s">
        <v>21</v>
      </c>
      <c r="Q860" t="s">
        <v>30</v>
      </c>
      <c r="R860" t="str">
        <f>VLOOKUP($O860,'Mapa Oficinas'!$A$7:$C$46,2,FALSE)</f>
        <v>Interior - Neuquén</v>
      </c>
      <c r="S860" t="str">
        <f>VLOOKUP($O860,'Mapa Oficinas'!$A$7:$C$46,3,FALSE)</f>
        <v>Capital Neuquén</v>
      </c>
    </row>
    <row r="861" spans="1:19" x14ac:dyDescent="0.2">
      <c r="A861" s="1">
        <v>45827</v>
      </c>
      <c r="B861" t="s">
        <v>6083</v>
      </c>
      <c r="D861" t="s">
        <v>6084</v>
      </c>
      <c r="E861" t="s">
        <v>16</v>
      </c>
      <c r="F861" t="s">
        <v>38</v>
      </c>
      <c r="G861" s="14">
        <v>48000</v>
      </c>
      <c r="H861" s="14">
        <v>38000</v>
      </c>
      <c r="I861" t="s">
        <v>22</v>
      </c>
      <c r="J861" t="s">
        <v>22</v>
      </c>
      <c r="K861" t="s">
        <v>6085</v>
      </c>
      <c r="L861" t="s">
        <v>2346</v>
      </c>
      <c r="M861" t="s">
        <v>97</v>
      </c>
      <c r="N861">
        <v>2</v>
      </c>
      <c r="O861" t="s">
        <v>130</v>
      </c>
      <c r="P861" t="s">
        <v>44</v>
      </c>
      <c r="Q861" t="s">
        <v>30</v>
      </c>
      <c r="R861" t="str">
        <f>VLOOKUP($O861,'Mapa Oficinas'!$A$7:$C$46,2,FALSE)</f>
        <v>Interior - Río Negro</v>
      </c>
      <c r="S861" t="str">
        <f>VLOOKUP($O861,'Mapa Oficinas'!$A$7:$C$46,3,FALSE)</f>
        <v>Bariloche</v>
      </c>
    </row>
    <row r="862" spans="1:19" x14ac:dyDescent="0.2">
      <c r="A862" s="1">
        <v>45827</v>
      </c>
      <c r="B862" t="s">
        <v>6077</v>
      </c>
      <c r="D862" t="s">
        <v>6078</v>
      </c>
      <c r="E862" t="s">
        <v>16</v>
      </c>
      <c r="F862" t="s">
        <v>53</v>
      </c>
      <c r="G862" s="14">
        <v>59000</v>
      </c>
      <c r="H862" s="14">
        <v>57000</v>
      </c>
      <c r="I862" t="s">
        <v>22</v>
      </c>
      <c r="J862" t="s">
        <v>22</v>
      </c>
      <c r="K862" t="s">
        <v>6079</v>
      </c>
      <c r="L862" t="s">
        <v>6080</v>
      </c>
      <c r="M862" t="s">
        <v>28</v>
      </c>
      <c r="N862">
        <v>2</v>
      </c>
      <c r="O862" t="s">
        <v>227</v>
      </c>
      <c r="P862" t="s">
        <v>21</v>
      </c>
      <c r="Q862" t="s">
        <v>30</v>
      </c>
      <c r="R862" t="str">
        <f>VLOOKUP($O862,'Mapa Oficinas'!$A$7:$C$46,2,FALSE)</f>
        <v>Zona Oeste (GBA)</v>
      </c>
      <c r="S862" t="str">
        <f>VLOOKUP($O862,'Mapa Oficinas'!$A$7:$C$46,3,FALSE)</f>
        <v>Parque Leloir</v>
      </c>
    </row>
    <row r="863" spans="1:19" x14ac:dyDescent="0.2">
      <c r="A863" s="1">
        <v>45827</v>
      </c>
      <c r="B863" t="s">
        <v>6092</v>
      </c>
      <c r="D863" t="s">
        <v>6093</v>
      </c>
      <c r="E863" t="s">
        <v>16</v>
      </c>
      <c r="F863" t="s">
        <v>134</v>
      </c>
      <c r="G863" s="14">
        <v>97000</v>
      </c>
      <c r="H863" s="14">
        <v>90000</v>
      </c>
      <c r="I863" t="s">
        <v>22</v>
      </c>
      <c r="J863" t="s">
        <v>22</v>
      </c>
      <c r="K863" t="s">
        <v>594</v>
      </c>
      <c r="L863" t="s">
        <v>136</v>
      </c>
      <c r="M863" t="s">
        <v>19</v>
      </c>
      <c r="N863">
        <v>2</v>
      </c>
      <c r="O863" t="s">
        <v>130</v>
      </c>
      <c r="P863" t="s">
        <v>41</v>
      </c>
      <c r="Q863" t="s">
        <v>30</v>
      </c>
      <c r="R863" t="str">
        <f>VLOOKUP($O863,'Mapa Oficinas'!$A$7:$C$46,2,FALSE)</f>
        <v>Interior - Río Negro</v>
      </c>
      <c r="S863" t="str">
        <f>VLOOKUP($O863,'Mapa Oficinas'!$A$7:$C$46,3,FALSE)</f>
        <v>Bariloche</v>
      </c>
    </row>
    <row r="864" spans="1:19" x14ac:dyDescent="0.2">
      <c r="A864" s="1">
        <v>45827</v>
      </c>
      <c r="B864" t="s">
        <v>6081</v>
      </c>
      <c r="D864" t="s">
        <v>6082</v>
      </c>
      <c r="E864" t="s">
        <v>16</v>
      </c>
      <c r="F864" t="s">
        <v>134</v>
      </c>
      <c r="G864" s="14">
        <v>105000</v>
      </c>
      <c r="H864" s="14">
        <v>105000</v>
      </c>
      <c r="I864" t="s">
        <v>22</v>
      </c>
      <c r="J864" t="s">
        <v>22</v>
      </c>
      <c r="L864" t="s">
        <v>129</v>
      </c>
      <c r="M864" t="s">
        <v>19</v>
      </c>
      <c r="N864">
        <v>1</v>
      </c>
      <c r="O864" t="s">
        <v>130</v>
      </c>
      <c r="P864" t="s">
        <v>131</v>
      </c>
      <c r="Q864" t="s">
        <v>30</v>
      </c>
      <c r="R864" t="str">
        <f>VLOOKUP($O864,'Mapa Oficinas'!$A$7:$C$46,2,FALSE)</f>
        <v>Interior - Río Negro</v>
      </c>
      <c r="S864" t="str">
        <f>VLOOKUP($O864,'Mapa Oficinas'!$A$7:$C$46,3,FALSE)</f>
        <v>Bariloche</v>
      </c>
    </row>
    <row r="865" spans="1:19" x14ac:dyDescent="0.2">
      <c r="A865" s="1">
        <v>45831</v>
      </c>
      <c r="B865" t="s">
        <v>6071</v>
      </c>
      <c r="D865" t="s">
        <v>6072</v>
      </c>
      <c r="E865" t="s">
        <v>16</v>
      </c>
      <c r="F865" t="s">
        <v>38</v>
      </c>
      <c r="G865" s="14">
        <v>63000</v>
      </c>
      <c r="H865" s="14">
        <v>62000</v>
      </c>
      <c r="I865" t="s">
        <v>22</v>
      </c>
      <c r="J865" t="s">
        <v>22</v>
      </c>
      <c r="K865" t="s">
        <v>6073</v>
      </c>
      <c r="L865" t="s">
        <v>5752</v>
      </c>
      <c r="M865" t="s">
        <v>19</v>
      </c>
      <c r="N865">
        <v>2</v>
      </c>
      <c r="O865" t="s">
        <v>367</v>
      </c>
      <c r="P865" t="s">
        <v>256</v>
      </c>
      <c r="Q865" t="s">
        <v>30</v>
      </c>
      <c r="R865" t="str">
        <f>VLOOKUP($O865,'Mapa Oficinas'!$A$7:$C$46,2,FALSE)</f>
        <v>Interior - Neuquén</v>
      </c>
      <c r="S865" t="str">
        <f>VLOOKUP($O865,'Mapa Oficinas'!$A$7:$C$46,3,FALSE)</f>
        <v>San Martín de los Andes</v>
      </c>
    </row>
    <row r="866" spans="1:19" x14ac:dyDescent="0.2">
      <c r="A866" s="1">
        <v>45831</v>
      </c>
      <c r="B866" t="s">
        <v>6068</v>
      </c>
      <c r="D866" t="s">
        <v>6069</v>
      </c>
      <c r="E866" t="s">
        <v>16</v>
      </c>
      <c r="F866" t="s">
        <v>17</v>
      </c>
      <c r="G866" s="14">
        <v>75000</v>
      </c>
      <c r="H866" s="14">
        <v>70000</v>
      </c>
      <c r="I866" t="s">
        <v>22</v>
      </c>
      <c r="J866" t="s">
        <v>22</v>
      </c>
      <c r="K866" t="s">
        <v>6070</v>
      </c>
      <c r="L866" t="s">
        <v>277</v>
      </c>
      <c r="M866" t="s">
        <v>19</v>
      </c>
      <c r="N866">
        <v>2</v>
      </c>
      <c r="O866" t="s">
        <v>389</v>
      </c>
      <c r="P866" t="s">
        <v>21</v>
      </c>
      <c r="Q866" t="s">
        <v>30</v>
      </c>
      <c r="R866" t="str">
        <f>VLOOKUP($O866,'Mapa Oficinas'!$A$7:$C$46,2,FALSE)</f>
        <v>Zona Norte (GBA)</v>
      </c>
      <c r="S866" t="str">
        <f>VLOOKUP($O866,'Mapa Oficinas'!$A$7:$C$46,3,FALSE)</f>
        <v>Escobar</v>
      </c>
    </row>
    <row r="867" spans="1:19" x14ac:dyDescent="0.2">
      <c r="A867" s="1">
        <v>45831</v>
      </c>
      <c r="B867" t="s">
        <v>6060</v>
      </c>
      <c r="D867" t="s">
        <v>6061</v>
      </c>
      <c r="E867" t="s">
        <v>16</v>
      </c>
      <c r="F867" t="s">
        <v>243</v>
      </c>
      <c r="G867" s="14">
        <v>72000</v>
      </c>
      <c r="H867" s="14">
        <v>72000</v>
      </c>
      <c r="I867" t="s">
        <v>22</v>
      </c>
      <c r="J867" t="s">
        <v>22</v>
      </c>
      <c r="K867" t="s">
        <v>6062</v>
      </c>
      <c r="L867" t="s">
        <v>245</v>
      </c>
      <c r="M867" t="s">
        <v>19</v>
      </c>
      <c r="N867">
        <v>1</v>
      </c>
      <c r="O867" t="s">
        <v>246</v>
      </c>
      <c r="P867" t="s">
        <v>66</v>
      </c>
      <c r="Q867" t="s">
        <v>30</v>
      </c>
      <c r="R867" t="str">
        <f>VLOOKUP($O867,'Mapa Oficinas'!$A$7:$C$46,2,FALSE)</f>
        <v>Interior - Salta</v>
      </c>
      <c r="S867" t="str">
        <f>VLOOKUP($O867,'Mapa Oficinas'!$A$7:$C$46,3,FALSE)</f>
        <v>San Lorenzo Chico</v>
      </c>
    </row>
    <row r="868" spans="1:19" x14ac:dyDescent="0.2">
      <c r="A868" s="1">
        <v>45831</v>
      </c>
      <c r="B868" t="s">
        <v>6074</v>
      </c>
      <c r="D868" t="s">
        <v>6075</v>
      </c>
      <c r="E868" t="s">
        <v>16</v>
      </c>
      <c r="F868" t="s">
        <v>17</v>
      </c>
      <c r="G868" s="14">
        <v>100000</v>
      </c>
      <c r="H868" s="14">
        <v>97000</v>
      </c>
      <c r="I868" t="s">
        <v>22</v>
      </c>
      <c r="J868" t="s">
        <v>22</v>
      </c>
      <c r="K868" t="s">
        <v>6076</v>
      </c>
      <c r="L868" t="s">
        <v>2412</v>
      </c>
      <c r="M868" t="s">
        <v>19</v>
      </c>
      <c r="N868">
        <v>2</v>
      </c>
      <c r="O868" t="s">
        <v>116</v>
      </c>
      <c r="P868" t="s">
        <v>21</v>
      </c>
      <c r="Q868" t="s">
        <v>30</v>
      </c>
      <c r="R868" t="str">
        <f>VLOOKUP($O868,'Mapa Oficinas'!$A$7:$C$46,2,FALSE)</f>
        <v>CABA</v>
      </c>
      <c r="S868" t="str">
        <f>VLOOKUP($O868,'Mapa Oficinas'!$A$7:$C$46,3,FALSE)</f>
        <v>Puerto Madero</v>
      </c>
    </row>
    <row r="869" spans="1:19" x14ac:dyDescent="0.2">
      <c r="A869" s="1">
        <v>45831</v>
      </c>
      <c r="B869" t="s">
        <v>6052</v>
      </c>
      <c r="D869" t="s">
        <v>6053</v>
      </c>
      <c r="E869" t="s">
        <v>16</v>
      </c>
      <c r="F869" t="s">
        <v>17</v>
      </c>
      <c r="G869" s="14">
        <v>110000</v>
      </c>
      <c r="H869" s="14">
        <v>99000</v>
      </c>
      <c r="I869" t="s">
        <v>22</v>
      </c>
      <c r="J869" t="s">
        <v>22</v>
      </c>
      <c r="K869" t="s">
        <v>6054</v>
      </c>
      <c r="L869" t="s">
        <v>967</v>
      </c>
      <c r="N869">
        <v>2</v>
      </c>
      <c r="O869" t="s">
        <v>35</v>
      </c>
      <c r="P869" t="s">
        <v>21</v>
      </c>
      <c r="Q869" t="s">
        <v>30</v>
      </c>
      <c r="R869" t="str">
        <f>VLOOKUP($O869,'Mapa Oficinas'!$A$7:$C$46,2,FALSE)</f>
        <v>Zona Norte (GBA)</v>
      </c>
      <c r="S869" t="str">
        <f>VLOOKUP($O869,'Mapa Oficinas'!$A$7:$C$46,3,FALSE)</f>
        <v>Vicente López</v>
      </c>
    </row>
    <row r="870" spans="1:19" x14ac:dyDescent="0.2">
      <c r="A870" s="1">
        <v>45831</v>
      </c>
      <c r="B870" t="s">
        <v>6055</v>
      </c>
      <c r="D870" t="s">
        <v>6056</v>
      </c>
      <c r="E870" t="s">
        <v>16</v>
      </c>
      <c r="F870" t="s">
        <v>47</v>
      </c>
      <c r="G870" s="14">
        <v>102194</v>
      </c>
      <c r="H870" s="14">
        <v>101250</v>
      </c>
      <c r="I870" t="s">
        <v>22</v>
      </c>
      <c r="J870" t="s">
        <v>22</v>
      </c>
      <c r="K870" t="s">
        <v>6056</v>
      </c>
      <c r="L870" t="s">
        <v>6057</v>
      </c>
      <c r="M870" t="s">
        <v>19</v>
      </c>
      <c r="N870">
        <v>2</v>
      </c>
      <c r="O870" t="s">
        <v>142</v>
      </c>
      <c r="P870" t="s">
        <v>41</v>
      </c>
      <c r="Q870" t="s">
        <v>30</v>
      </c>
      <c r="R870" t="str">
        <f>VLOOKUP($O870,'Mapa Oficinas'!$A$7:$C$46,2,FALSE)</f>
        <v>Zona Norte (GBA)</v>
      </c>
      <c r="S870" t="str">
        <f>VLOOKUP($O870,'Mapa Oficinas'!$A$7:$C$46,3,FALSE)</f>
        <v>Nordelta</v>
      </c>
    </row>
    <row r="871" spans="1:19" x14ac:dyDescent="0.2">
      <c r="A871" s="1">
        <v>45831</v>
      </c>
      <c r="B871" t="s">
        <v>6049</v>
      </c>
      <c r="D871" t="s">
        <v>6050</v>
      </c>
      <c r="E871" t="s">
        <v>16</v>
      </c>
      <c r="F871" t="s">
        <v>58</v>
      </c>
      <c r="G871" s="14">
        <v>130000</v>
      </c>
      <c r="H871" s="14">
        <v>120000</v>
      </c>
      <c r="I871" t="s">
        <v>22</v>
      </c>
      <c r="J871" t="s">
        <v>22</v>
      </c>
      <c r="K871" t="s">
        <v>6051</v>
      </c>
      <c r="L871" t="s">
        <v>271</v>
      </c>
      <c r="M871" t="s">
        <v>19</v>
      </c>
      <c r="N871">
        <v>2</v>
      </c>
      <c r="O871" t="s">
        <v>50</v>
      </c>
      <c r="P871" t="s">
        <v>21</v>
      </c>
      <c r="Q871" t="s">
        <v>30</v>
      </c>
      <c r="R871" t="str">
        <f>VLOOKUP($O871,'Mapa Oficinas'!$A$7:$C$46,2,FALSE)</f>
        <v>CABA</v>
      </c>
      <c r="S871" t="str">
        <f>VLOOKUP($O871,'Mapa Oficinas'!$A$7:$C$46,3,FALSE)</f>
        <v>Villa Urquiza</v>
      </c>
    </row>
    <row r="872" spans="1:19" x14ac:dyDescent="0.2">
      <c r="A872" s="1">
        <v>45831</v>
      </c>
      <c r="D872" t="s">
        <v>6058</v>
      </c>
      <c r="E872" t="s">
        <v>16</v>
      </c>
      <c r="F872" t="s">
        <v>17</v>
      </c>
      <c r="G872" s="14">
        <v>120000</v>
      </c>
      <c r="H872" s="14">
        <v>120000</v>
      </c>
      <c r="I872" t="s">
        <v>22</v>
      </c>
      <c r="J872" t="s">
        <v>22</v>
      </c>
      <c r="K872" t="s">
        <v>6059</v>
      </c>
      <c r="L872" t="s">
        <v>1695</v>
      </c>
      <c r="M872" t="s">
        <v>19</v>
      </c>
      <c r="N872">
        <v>1</v>
      </c>
      <c r="O872" t="s">
        <v>201</v>
      </c>
      <c r="P872" t="s">
        <v>146</v>
      </c>
      <c r="Q872" t="s">
        <v>30</v>
      </c>
      <c r="R872" t="str">
        <f>VLOOKUP($O872,'Mapa Oficinas'!$A$7:$C$46,2,FALSE)</f>
        <v>CABA</v>
      </c>
      <c r="S872" t="str">
        <f>VLOOKUP($O872,'Mapa Oficinas'!$A$7:$C$46,3,FALSE)</f>
        <v>Recoleta</v>
      </c>
    </row>
    <row r="873" spans="1:19" x14ac:dyDescent="0.2">
      <c r="A873" s="1">
        <v>45831</v>
      </c>
      <c r="B873" t="s">
        <v>6065</v>
      </c>
      <c r="D873" t="s">
        <v>6066</v>
      </c>
      <c r="E873" t="s">
        <v>16</v>
      </c>
      <c r="F873" t="s">
        <v>17</v>
      </c>
      <c r="G873" s="14">
        <v>130000</v>
      </c>
      <c r="H873" s="14">
        <v>126000</v>
      </c>
      <c r="I873" t="s">
        <v>22</v>
      </c>
      <c r="J873" t="s">
        <v>22</v>
      </c>
      <c r="K873" t="s">
        <v>6067</v>
      </c>
      <c r="L873" t="s">
        <v>821</v>
      </c>
      <c r="M873" t="s">
        <v>19</v>
      </c>
      <c r="N873">
        <v>2</v>
      </c>
      <c r="O873" t="s">
        <v>151</v>
      </c>
      <c r="P873" t="s">
        <v>276</v>
      </c>
      <c r="Q873" t="s">
        <v>30</v>
      </c>
      <c r="R873" t="str">
        <f>VLOOKUP($O873,'Mapa Oficinas'!$A$7:$C$46,2,FALSE)</f>
        <v>Interior - Neuquén</v>
      </c>
      <c r="S873" t="str">
        <f>VLOOKUP($O873,'Mapa Oficinas'!$A$7:$C$46,3,FALSE)</f>
        <v>Capital Neuquén</v>
      </c>
    </row>
    <row r="874" spans="1:19" x14ac:dyDescent="0.2">
      <c r="A874" s="1">
        <v>45832</v>
      </c>
      <c r="B874" t="s">
        <v>6046</v>
      </c>
      <c r="D874" t="s">
        <v>6047</v>
      </c>
      <c r="E874" t="s">
        <v>16</v>
      </c>
      <c r="F874" t="s">
        <v>82</v>
      </c>
      <c r="G874" s="14">
        <v>54000</v>
      </c>
      <c r="H874" s="14">
        <v>50000</v>
      </c>
      <c r="I874" t="s">
        <v>22</v>
      </c>
      <c r="J874" t="s">
        <v>22</v>
      </c>
      <c r="K874" t="s">
        <v>6048</v>
      </c>
      <c r="L874" t="s">
        <v>4278</v>
      </c>
      <c r="M874" t="s">
        <v>28</v>
      </c>
      <c r="N874">
        <v>2</v>
      </c>
      <c r="O874" t="s">
        <v>367</v>
      </c>
      <c r="P874" t="s">
        <v>256</v>
      </c>
      <c r="Q874" t="s">
        <v>30</v>
      </c>
      <c r="R874" t="str">
        <f>VLOOKUP($O874,'Mapa Oficinas'!$A$7:$C$46,2,FALSE)</f>
        <v>Interior - Neuquén</v>
      </c>
      <c r="S874" t="str">
        <f>VLOOKUP($O874,'Mapa Oficinas'!$A$7:$C$46,3,FALSE)</f>
        <v>San Martín de los Andes</v>
      </c>
    </row>
    <row r="875" spans="1:19" x14ac:dyDescent="0.2">
      <c r="A875" s="1">
        <v>45832</v>
      </c>
      <c r="B875">
        <v>21</v>
      </c>
      <c r="D875" t="s">
        <v>6014</v>
      </c>
      <c r="E875" t="s">
        <v>16</v>
      </c>
      <c r="F875" t="s">
        <v>17</v>
      </c>
      <c r="G875" s="14">
        <v>53000</v>
      </c>
      <c r="H875" s="14">
        <v>53000</v>
      </c>
      <c r="I875" t="s">
        <v>22</v>
      </c>
      <c r="J875" t="s">
        <v>22</v>
      </c>
      <c r="K875" t="s">
        <v>6015</v>
      </c>
      <c r="L875" t="s">
        <v>200</v>
      </c>
      <c r="M875" t="s">
        <v>19</v>
      </c>
      <c r="N875">
        <v>1</v>
      </c>
      <c r="O875" t="s">
        <v>116</v>
      </c>
      <c r="P875" t="s">
        <v>146</v>
      </c>
      <c r="Q875" t="s">
        <v>30</v>
      </c>
      <c r="R875" t="str">
        <f>VLOOKUP($O875,'Mapa Oficinas'!$A$7:$C$46,2,FALSE)</f>
        <v>CABA</v>
      </c>
      <c r="S875" t="str">
        <f>VLOOKUP($O875,'Mapa Oficinas'!$A$7:$C$46,3,FALSE)</f>
        <v>Puerto Madero</v>
      </c>
    </row>
    <row r="876" spans="1:19" x14ac:dyDescent="0.2">
      <c r="A876" s="1">
        <v>45832</v>
      </c>
      <c r="B876" t="s">
        <v>6028</v>
      </c>
      <c r="D876" t="s">
        <v>6029</v>
      </c>
      <c r="E876" t="s">
        <v>16</v>
      </c>
      <c r="F876" t="s">
        <v>17</v>
      </c>
      <c r="G876" s="14">
        <v>74000</v>
      </c>
      <c r="H876" s="14">
        <v>74000</v>
      </c>
      <c r="I876" t="s">
        <v>22</v>
      </c>
      <c r="J876" t="s">
        <v>22</v>
      </c>
      <c r="K876" t="s">
        <v>6030</v>
      </c>
      <c r="L876" t="s">
        <v>189</v>
      </c>
      <c r="M876" t="s">
        <v>19</v>
      </c>
      <c r="N876">
        <v>2</v>
      </c>
      <c r="O876" t="s">
        <v>151</v>
      </c>
      <c r="P876" t="s">
        <v>276</v>
      </c>
      <c r="Q876" t="s">
        <v>30</v>
      </c>
      <c r="R876" t="str">
        <f>VLOOKUP($O876,'Mapa Oficinas'!$A$7:$C$46,2,FALSE)</f>
        <v>Interior - Neuquén</v>
      </c>
      <c r="S876" t="str">
        <f>VLOOKUP($O876,'Mapa Oficinas'!$A$7:$C$46,3,FALSE)</f>
        <v>Capital Neuquén</v>
      </c>
    </row>
    <row r="877" spans="1:19" x14ac:dyDescent="0.2">
      <c r="A877" s="1">
        <v>45832</v>
      </c>
      <c r="B877">
        <v>10420</v>
      </c>
      <c r="D877" t="s">
        <v>6037</v>
      </c>
      <c r="E877" t="s">
        <v>16</v>
      </c>
      <c r="F877" t="s">
        <v>17</v>
      </c>
      <c r="G877" s="14">
        <v>0</v>
      </c>
      <c r="H877" s="14">
        <v>90000</v>
      </c>
      <c r="I877" t="s">
        <v>22</v>
      </c>
      <c r="J877" t="s">
        <v>22</v>
      </c>
      <c r="L877" t="s">
        <v>1571</v>
      </c>
      <c r="M877" t="s">
        <v>19</v>
      </c>
      <c r="N877">
        <v>2</v>
      </c>
      <c r="O877" t="s">
        <v>103</v>
      </c>
      <c r="P877" t="s">
        <v>276</v>
      </c>
      <c r="Q877" t="s">
        <v>30</v>
      </c>
      <c r="R877" t="str">
        <f>VLOOKUP($O877,'Mapa Oficinas'!$A$7:$C$46,2,FALSE)</f>
        <v>CABA</v>
      </c>
      <c r="S877" t="str">
        <f>VLOOKUP($O877,'Mapa Oficinas'!$A$7:$C$46,3,FALSE)</f>
        <v>Barrio Parque</v>
      </c>
    </row>
    <row r="878" spans="1:19" x14ac:dyDescent="0.2">
      <c r="A878" s="1">
        <v>45832</v>
      </c>
      <c r="B878" t="s">
        <v>6034</v>
      </c>
      <c r="D878" t="s">
        <v>6035</v>
      </c>
      <c r="E878" t="s">
        <v>16</v>
      </c>
      <c r="F878" t="s">
        <v>17</v>
      </c>
      <c r="G878" s="14">
        <v>110000</v>
      </c>
      <c r="H878" s="14">
        <v>90000</v>
      </c>
      <c r="I878" t="s">
        <v>22</v>
      </c>
      <c r="J878" t="s">
        <v>22</v>
      </c>
      <c r="K878" t="s">
        <v>6036</v>
      </c>
      <c r="L878" t="s">
        <v>5234</v>
      </c>
      <c r="M878" t="s">
        <v>28</v>
      </c>
      <c r="N878">
        <v>2</v>
      </c>
      <c r="O878" t="s">
        <v>50</v>
      </c>
      <c r="P878" t="s">
        <v>41</v>
      </c>
      <c r="Q878" t="s">
        <v>30</v>
      </c>
      <c r="R878" t="str">
        <f>VLOOKUP($O878,'Mapa Oficinas'!$A$7:$C$46,2,FALSE)</f>
        <v>CABA</v>
      </c>
      <c r="S878" t="str">
        <f>VLOOKUP($O878,'Mapa Oficinas'!$A$7:$C$46,3,FALSE)</f>
        <v>Villa Urquiza</v>
      </c>
    </row>
    <row r="879" spans="1:19" x14ac:dyDescent="0.2">
      <c r="A879" s="1">
        <v>45832</v>
      </c>
      <c r="B879" t="s">
        <v>6019</v>
      </c>
      <c r="D879" t="s">
        <v>6020</v>
      </c>
      <c r="E879" t="s">
        <v>16</v>
      </c>
      <c r="F879" t="s">
        <v>17</v>
      </c>
      <c r="G879" s="14">
        <v>105000</v>
      </c>
      <c r="H879" s="14">
        <v>105000</v>
      </c>
      <c r="I879" t="s">
        <v>22</v>
      </c>
      <c r="J879" t="s">
        <v>22</v>
      </c>
      <c r="K879" t="s">
        <v>6021</v>
      </c>
      <c r="L879" t="s">
        <v>6022</v>
      </c>
      <c r="M879" t="s">
        <v>28</v>
      </c>
      <c r="N879">
        <v>2</v>
      </c>
      <c r="O879" t="s">
        <v>171</v>
      </c>
      <c r="P879" t="s">
        <v>276</v>
      </c>
      <c r="Q879" t="s">
        <v>30</v>
      </c>
      <c r="R879" t="str">
        <f>VLOOKUP($O879,'Mapa Oficinas'!$A$7:$C$46,2,FALSE)</f>
        <v>Zona Sur (GBA)</v>
      </c>
      <c r="S879" t="str">
        <f>VLOOKUP($O879,'Mapa Oficinas'!$A$7:$C$46,3,FALSE)</f>
        <v>La Plata</v>
      </c>
    </row>
    <row r="880" spans="1:19" x14ac:dyDescent="0.2">
      <c r="A880" s="1">
        <v>45832</v>
      </c>
      <c r="B880">
        <v>10422</v>
      </c>
      <c r="D880" t="s">
        <v>6033</v>
      </c>
      <c r="E880" t="s">
        <v>16</v>
      </c>
      <c r="F880" t="s">
        <v>17</v>
      </c>
      <c r="G880" s="14">
        <v>0</v>
      </c>
      <c r="H880" s="14">
        <v>117000</v>
      </c>
      <c r="I880" t="s">
        <v>22</v>
      </c>
      <c r="J880" t="s">
        <v>22</v>
      </c>
      <c r="L880" t="s">
        <v>1571</v>
      </c>
      <c r="M880" t="s">
        <v>19</v>
      </c>
      <c r="N880">
        <v>2</v>
      </c>
      <c r="O880" t="s">
        <v>103</v>
      </c>
      <c r="P880" t="s">
        <v>21</v>
      </c>
      <c r="Q880" t="s">
        <v>30</v>
      </c>
      <c r="R880" t="str">
        <f>VLOOKUP($O880,'Mapa Oficinas'!$A$7:$C$46,2,FALSE)</f>
        <v>CABA</v>
      </c>
      <c r="S880" t="str">
        <f>VLOOKUP($O880,'Mapa Oficinas'!$A$7:$C$46,3,FALSE)</f>
        <v>Barrio Parque</v>
      </c>
    </row>
    <row r="881" spans="1:19" x14ac:dyDescent="0.2">
      <c r="A881" s="1">
        <v>45832</v>
      </c>
      <c r="B881" t="s">
        <v>6031</v>
      </c>
      <c r="D881" t="s">
        <v>5410</v>
      </c>
      <c r="E881" t="s">
        <v>16</v>
      </c>
      <c r="F881" t="s">
        <v>17</v>
      </c>
      <c r="G881" s="14">
        <v>129999</v>
      </c>
      <c r="H881" s="14">
        <v>120000</v>
      </c>
      <c r="I881" t="s">
        <v>22</v>
      </c>
      <c r="J881" t="s">
        <v>22</v>
      </c>
      <c r="K881" t="s">
        <v>6032</v>
      </c>
      <c r="L881" t="s">
        <v>79</v>
      </c>
      <c r="M881" t="s">
        <v>19</v>
      </c>
      <c r="N881">
        <v>2</v>
      </c>
      <c r="O881" t="s">
        <v>35</v>
      </c>
      <c r="P881" t="s">
        <v>21</v>
      </c>
      <c r="Q881" t="s">
        <v>30</v>
      </c>
      <c r="R881" t="str">
        <f>VLOOKUP($O881,'Mapa Oficinas'!$A$7:$C$46,2,FALSE)</f>
        <v>Zona Norte (GBA)</v>
      </c>
      <c r="S881" t="str">
        <f>VLOOKUP($O881,'Mapa Oficinas'!$A$7:$C$46,3,FALSE)</f>
        <v>Vicente López</v>
      </c>
    </row>
    <row r="882" spans="1:19" x14ac:dyDescent="0.2">
      <c r="A882" s="1">
        <v>45832</v>
      </c>
      <c r="D882" t="s">
        <v>6041</v>
      </c>
      <c r="E882" t="s">
        <v>16</v>
      </c>
      <c r="F882" t="s">
        <v>47</v>
      </c>
      <c r="G882" s="14">
        <v>120000</v>
      </c>
      <c r="H882" s="14">
        <v>120000</v>
      </c>
      <c r="I882" t="s">
        <v>22</v>
      </c>
      <c r="J882" t="s">
        <v>22</v>
      </c>
      <c r="K882" t="s">
        <v>6042</v>
      </c>
      <c r="L882" t="s">
        <v>442</v>
      </c>
      <c r="M882" t="s">
        <v>19</v>
      </c>
      <c r="N882">
        <v>2</v>
      </c>
      <c r="O882" t="s">
        <v>98</v>
      </c>
      <c r="P882" t="s">
        <v>41</v>
      </c>
      <c r="Q882" t="s">
        <v>30</v>
      </c>
      <c r="R882" t="str">
        <f>VLOOKUP($O882,'Mapa Oficinas'!$A$7:$C$46,2,FALSE)</f>
        <v>Interior - Neuquén</v>
      </c>
      <c r="S882" t="str">
        <f>VLOOKUP($O882,'Mapa Oficinas'!$A$7:$C$46,3,FALSE)</f>
        <v>Villa La Angostura</v>
      </c>
    </row>
    <row r="883" spans="1:19" x14ac:dyDescent="0.2">
      <c r="A883" s="1">
        <v>45832</v>
      </c>
      <c r="B883" t="s">
        <v>6016</v>
      </c>
      <c r="D883" t="s">
        <v>6017</v>
      </c>
      <c r="E883" t="s">
        <v>16</v>
      </c>
      <c r="F883" t="s">
        <v>17</v>
      </c>
      <c r="G883" s="14">
        <v>149000</v>
      </c>
      <c r="H883" s="14">
        <v>138000</v>
      </c>
      <c r="I883" t="s">
        <v>22</v>
      </c>
      <c r="J883" t="s">
        <v>22</v>
      </c>
      <c r="K883" t="s">
        <v>6018</v>
      </c>
      <c r="L883" t="s">
        <v>71</v>
      </c>
      <c r="M883" t="s">
        <v>19</v>
      </c>
      <c r="N883">
        <v>2</v>
      </c>
      <c r="O883" t="s">
        <v>116</v>
      </c>
      <c r="P883" t="s">
        <v>276</v>
      </c>
      <c r="Q883" t="s">
        <v>30</v>
      </c>
      <c r="R883" t="str">
        <f>VLOOKUP($O883,'Mapa Oficinas'!$A$7:$C$46,2,FALSE)</f>
        <v>CABA</v>
      </c>
      <c r="S883" t="str">
        <f>VLOOKUP($O883,'Mapa Oficinas'!$A$7:$C$46,3,FALSE)</f>
        <v>Puerto Madero</v>
      </c>
    </row>
    <row r="884" spans="1:19" x14ac:dyDescent="0.2">
      <c r="A884" s="1">
        <v>45832</v>
      </c>
      <c r="D884" t="s">
        <v>6023</v>
      </c>
      <c r="E884" t="s">
        <v>16</v>
      </c>
      <c r="F884" t="s">
        <v>17</v>
      </c>
      <c r="G884" s="14">
        <v>155000</v>
      </c>
      <c r="H884" s="14">
        <v>155000</v>
      </c>
      <c r="I884" t="s">
        <v>22</v>
      </c>
      <c r="J884" t="s">
        <v>22</v>
      </c>
      <c r="K884" t="s">
        <v>6024</v>
      </c>
      <c r="L884" t="s">
        <v>191</v>
      </c>
      <c r="M884" t="s">
        <v>19</v>
      </c>
      <c r="N884">
        <v>1</v>
      </c>
      <c r="O884" t="s">
        <v>201</v>
      </c>
      <c r="P884" t="s">
        <v>146</v>
      </c>
      <c r="Q884" t="s">
        <v>30</v>
      </c>
      <c r="R884" t="str">
        <f>VLOOKUP($O884,'Mapa Oficinas'!$A$7:$C$46,2,FALSE)</f>
        <v>CABA</v>
      </c>
      <c r="S884" t="str">
        <f>VLOOKUP($O884,'Mapa Oficinas'!$A$7:$C$46,3,FALSE)</f>
        <v>Recoleta</v>
      </c>
    </row>
    <row r="885" spans="1:19" x14ac:dyDescent="0.2">
      <c r="A885" s="1">
        <v>45832</v>
      </c>
      <c r="B885" t="s">
        <v>6025</v>
      </c>
      <c r="D885" t="s">
        <v>6026</v>
      </c>
      <c r="E885" t="s">
        <v>16</v>
      </c>
      <c r="F885" t="s">
        <v>17</v>
      </c>
      <c r="G885" s="14">
        <v>260000</v>
      </c>
      <c r="H885" s="14">
        <v>250000</v>
      </c>
      <c r="I885" t="s">
        <v>22</v>
      </c>
      <c r="J885" t="s">
        <v>22</v>
      </c>
      <c r="K885" t="s">
        <v>6027</v>
      </c>
      <c r="L885" t="s">
        <v>79</v>
      </c>
      <c r="M885" t="s">
        <v>72</v>
      </c>
      <c r="N885">
        <v>2</v>
      </c>
      <c r="O885" t="s">
        <v>201</v>
      </c>
      <c r="P885" t="s">
        <v>21</v>
      </c>
      <c r="Q885" t="s">
        <v>30</v>
      </c>
      <c r="R885" t="str">
        <f>VLOOKUP($O885,'Mapa Oficinas'!$A$7:$C$46,2,FALSE)</f>
        <v>CABA</v>
      </c>
      <c r="S885" t="str">
        <f>VLOOKUP($O885,'Mapa Oficinas'!$A$7:$C$46,3,FALSE)</f>
        <v>Recoleta</v>
      </c>
    </row>
    <row r="886" spans="1:19" x14ac:dyDescent="0.2">
      <c r="A886" s="1">
        <v>45832</v>
      </c>
      <c r="B886" t="s">
        <v>6043</v>
      </c>
      <c r="D886" t="s">
        <v>6044</v>
      </c>
      <c r="E886" t="s">
        <v>16</v>
      </c>
      <c r="F886" t="s">
        <v>17</v>
      </c>
      <c r="G886" s="14">
        <v>750000</v>
      </c>
      <c r="H886" s="14">
        <v>700000</v>
      </c>
      <c r="I886" t="s">
        <v>22</v>
      </c>
      <c r="J886" t="s">
        <v>22</v>
      </c>
      <c r="K886" t="s">
        <v>6045</v>
      </c>
      <c r="L886" t="s">
        <v>1090</v>
      </c>
      <c r="M886" t="s">
        <v>28</v>
      </c>
      <c r="N886">
        <v>2</v>
      </c>
      <c r="O886" t="s">
        <v>98</v>
      </c>
      <c r="P886" t="s">
        <v>21</v>
      </c>
      <c r="Q886" t="s">
        <v>30</v>
      </c>
      <c r="R886" t="str">
        <f>VLOOKUP($O886,'Mapa Oficinas'!$A$7:$C$46,2,FALSE)</f>
        <v>Interior - Neuquén</v>
      </c>
      <c r="S886" t="str">
        <f>VLOOKUP($O886,'Mapa Oficinas'!$A$7:$C$46,3,FALSE)</f>
        <v>Villa La Angostura</v>
      </c>
    </row>
    <row r="887" spans="1:19" x14ac:dyDescent="0.2">
      <c r="A887" s="1">
        <v>45832</v>
      </c>
      <c r="B887" t="s">
        <v>6038</v>
      </c>
      <c r="D887" t="s">
        <v>6039</v>
      </c>
      <c r="E887" t="s">
        <v>16</v>
      </c>
      <c r="F887" t="s">
        <v>82</v>
      </c>
      <c r="G887" s="14">
        <v>790000</v>
      </c>
      <c r="H887" s="14">
        <v>750000</v>
      </c>
      <c r="I887" t="s">
        <v>22</v>
      </c>
      <c r="J887" t="s">
        <v>22</v>
      </c>
      <c r="K887" t="s">
        <v>6040</v>
      </c>
      <c r="L887" t="s">
        <v>512</v>
      </c>
      <c r="M887" t="s">
        <v>97</v>
      </c>
      <c r="N887">
        <v>2</v>
      </c>
      <c r="O887" t="s">
        <v>103</v>
      </c>
      <c r="P887" t="s">
        <v>41</v>
      </c>
      <c r="Q887" t="s">
        <v>30</v>
      </c>
      <c r="R887" t="str">
        <f>VLOOKUP($O887,'Mapa Oficinas'!$A$7:$C$46,2,FALSE)</f>
        <v>CABA</v>
      </c>
      <c r="S887" t="str">
        <f>VLOOKUP($O887,'Mapa Oficinas'!$A$7:$C$46,3,FALSE)</f>
        <v>Barrio Parque</v>
      </c>
    </row>
    <row r="888" spans="1:19" x14ac:dyDescent="0.2">
      <c r="A888" s="1">
        <v>45833</v>
      </c>
      <c r="D888" t="s">
        <v>6010</v>
      </c>
      <c r="E888" t="s">
        <v>16</v>
      </c>
      <c r="F888" t="s">
        <v>38</v>
      </c>
      <c r="G888" s="14">
        <v>51000</v>
      </c>
      <c r="H888" s="14">
        <v>51000</v>
      </c>
      <c r="I888" t="s">
        <v>22</v>
      </c>
      <c r="J888" t="s">
        <v>22</v>
      </c>
      <c r="K888" t="s">
        <v>6011</v>
      </c>
      <c r="L888" t="s">
        <v>5774</v>
      </c>
      <c r="M888" t="s">
        <v>97</v>
      </c>
      <c r="N888">
        <v>2</v>
      </c>
      <c r="O888" t="s">
        <v>98</v>
      </c>
      <c r="P888" t="s">
        <v>44</v>
      </c>
      <c r="Q888" t="s">
        <v>30</v>
      </c>
      <c r="R888" t="str">
        <f>VLOOKUP($O888,'Mapa Oficinas'!$A$7:$C$46,2,FALSE)</f>
        <v>Interior - Neuquén</v>
      </c>
      <c r="S888" t="str">
        <f>VLOOKUP($O888,'Mapa Oficinas'!$A$7:$C$46,3,FALSE)</f>
        <v>Villa La Angostura</v>
      </c>
    </row>
    <row r="889" spans="1:19" x14ac:dyDescent="0.2">
      <c r="A889" s="1">
        <v>45833</v>
      </c>
      <c r="B889" t="s">
        <v>5997</v>
      </c>
      <c r="D889" t="s">
        <v>5998</v>
      </c>
      <c r="E889" t="s">
        <v>16</v>
      </c>
      <c r="F889" t="s">
        <v>17</v>
      </c>
      <c r="G889" s="14">
        <v>85000</v>
      </c>
      <c r="H889" s="14">
        <v>85000</v>
      </c>
      <c r="I889" t="s">
        <v>22</v>
      </c>
      <c r="J889" t="s">
        <v>22</v>
      </c>
      <c r="K889" t="s">
        <v>5999</v>
      </c>
      <c r="L889" t="s">
        <v>6000</v>
      </c>
      <c r="M889" t="s">
        <v>19</v>
      </c>
      <c r="N889">
        <v>2</v>
      </c>
      <c r="O889" t="s">
        <v>142</v>
      </c>
      <c r="P889" t="s">
        <v>41</v>
      </c>
      <c r="Q889" t="s">
        <v>30</v>
      </c>
      <c r="R889" t="str">
        <f>VLOOKUP($O889,'Mapa Oficinas'!$A$7:$C$46,2,FALSE)</f>
        <v>Zona Norte (GBA)</v>
      </c>
      <c r="S889" t="str">
        <f>VLOOKUP($O889,'Mapa Oficinas'!$A$7:$C$46,3,FALSE)</f>
        <v>Nordelta</v>
      </c>
    </row>
    <row r="890" spans="1:19" x14ac:dyDescent="0.2">
      <c r="A890" s="1">
        <v>45833</v>
      </c>
      <c r="B890" t="s">
        <v>6007</v>
      </c>
      <c r="D890" t="s">
        <v>6008</v>
      </c>
      <c r="E890" t="s">
        <v>16</v>
      </c>
      <c r="F890" t="s">
        <v>17</v>
      </c>
      <c r="G890" s="14">
        <v>90000</v>
      </c>
      <c r="H890" s="14">
        <v>87000</v>
      </c>
      <c r="I890" t="s">
        <v>22</v>
      </c>
      <c r="J890" t="s">
        <v>22</v>
      </c>
      <c r="K890" t="s">
        <v>6009</v>
      </c>
      <c r="L890" t="s">
        <v>298</v>
      </c>
      <c r="M890" t="s">
        <v>19</v>
      </c>
      <c r="N890">
        <v>2</v>
      </c>
      <c r="O890" t="s">
        <v>142</v>
      </c>
      <c r="P890" t="s">
        <v>41</v>
      </c>
      <c r="Q890" t="s">
        <v>30</v>
      </c>
      <c r="R890" t="str">
        <f>VLOOKUP($O890,'Mapa Oficinas'!$A$7:$C$46,2,FALSE)</f>
        <v>Zona Norte (GBA)</v>
      </c>
      <c r="S890" t="str">
        <f>VLOOKUP($O890,'Mapa Oficinas'!$A$7:$C$46,3,FALSE)</f>
        <v>Nordelta</v>
      </c>
    </row>
    <row r="891" spans="1:19" x14ac:dyDescent="0.2">
      <c r="A891" s="1">
        <v>45833</v>
      </c>
      <c r="B891" t="s">
        <v>6001</v>
      </c>
      <c r="D891" t="s">
        <v>6002</v>
      </c>
      <c r="E891" t="s">
        <v>16</v>
      </c>
      <c r="F891" t="s">
        <v>17</v>
      </c>
      <c r="G891" s="14">
        <v>112000</v>
      </c>
      <c r="H891" s="14">
        <v>100000</v>
      </c>
      <c r="I891" t="s">
        <v>22</v>
      </c>
      <c r="J891" t="s">
        <v>22</v>
      </c>
      <c r="K891" t="s">
        <v>6003</v>
      </c>
      <c r="L891" t="s">
        <v>141</v>
      </c>
      <c r="M891" t="s">
        <v>19</v>
      </c>
      <c r="N891">
        <v>2</v>
      </c>
      <c r="O891" t="s">
        <v>201</v>
      </c>
      <c r="P891" t="s">
        <v>21</v>
      </c>
      <c r="Q891" t="s">
        <v>30</v>
      </c>
      <c r="R891" t="str">
        <f>VLOOKUP($O891,'Mapa Oficinas'!$A$7:$C$46,2,FALSE)</f>
        <v>CABA</v>
      </c>
      <c r="S891" t="str">
        <f>VLOOKUP($O891,'Mapa Oficinas'!$A$7:$C$46,3,FALSE)</f>
        <v>Recoleta</v>
      </c>
    </row>
    <row r="892" spans="1:19" x14ac:dyDescent="0.2">
      <c r="A892" s="1">
        <v>45833</v>
      </c>
      <c r="B892" t="s">
        <v>6012</v>
      </c>
      <c r="D892" t="s">
        <v>6013</v>
      </c>
      <c r="E892" t="s">
        <v>16</v>
      </c>
      <c r="F892" t="s">
        <v>17</v>
      </c>
      <c r="G892" s="14">
        <v>117000</v>
      </c>
      <c r="H892" s="14">
        <v>175000</v>
      </c>
      <c r="I892" t="s">
        <v>22</v>
      </c>
      <c r="J892" t="s">
        <v>22</v>
      </c>
      <c r="K892" t="s">
        <v>2662</v>
      </c>
      <c r="L892" t="s">
        <v>2663</v>
      </c>
      <c r="M892" t="s">
        <v>19</v>
      </c>
      <c r="N892">
        <v>2</v>
      </c>
      <c r="O892" t="s">
        <v>73</v>
      </c>
      <c r="P892" t="s">
        <v>21</v>
      </c>
      <c r="Q892" t="s">
        <v>30</v>
      </c>
      <c r="R892" t="str">
        <f>VLOOKUP($O892,'Mapa Oficinas'!$A$7:$C$46,2,FALSE)</f>
        <v>CABA</v>
      </c>
      <c r="S892" t="str">
        <f>VLOOKUP($O892,'Mapa Oficinas'!$A$7:$C$46,3,FALSE)</f>
        <v>Recoleta</v>
      </c>
    </row>
    <row r="893" spans="1:19" x14ac:dyDescent="0.2">
      <c r="A893" s="1">
        <v>45833</v>
      </c>
      <c r="B893" t="s">
        <v>6004</v>
      </c>
      <c r="D893" t="s">
        <v>6005</v>
      </c>
      <c r="E893" t="s">
        <v>16</v>
      </c>
      <c r="F893" t="s">
        <v>17</v>
      </c>
      <c r="G893" s="14">
        <v>255000</v>
      </c>
      <c r="H893" s="14">
        <v>215000</v>
      </c>
      <c r="I893" t="s">
        <v>22</v>
      </c>
      <c r="J893" t="s">
        <v>22</v>
      </c>
      <c r="K893" t="s">
        <v>6006</v>
      </c>
      <c r="L893" t="s">
        <v>700</v>
      </c>
      <c r="M893" t="s">
        <v>19</v>
      </c>
      <c r="N893">
        <v>2</v>
      </c>
      <c r="O893" t="s">
        <v>201</v>
      </c>
      <c r="P893" t="s">
        <v>21</v>
      </c>
      <c r="Q893" t="s">
        <v>30</v>
      </c>
      <c r="R893" t="str">
        <f>VLOOKUP($O893,'Mapa Oficinas'!$A$7:$C$46,2,FALSE)</f>
        <v>CABA</v>
      </c>
      <c r="S893" t="str">
        <f>VLOOKUP($O893,'Mapa Oficinas'!$A$7:$C$46,3,FALSE)</f>
        <v>Recoleta</v>
      </c>
    </row>
    <row r="894" spans="1:19" x14ac:dyDescent="0.2">
      <c r="A894" s="1">
        <v>45834</v>
      </c>
      <c r="B894" t="s">
        <v>5974</v>
      </c>
      <c r="D894" t="s">
        <v>5975</v>
      </c>
      <c r="E894" t="s">
        <v>16</v>
      </c>
      <c r="F894" t="s">
        <v>17</v>
      </c>
      <c r="G894" s="14">
        <v>37000</v>
      </c>
      <c r="H894" s="14">
        <v>37000</v>
      </c>
      <c r="I894" t="s">
        <v>22</v>
      </c>
      <c r="J894" t="s">
        <v>22</v>
      </c>
      <c r="K894" t="s">
        <v>5976</v>
      </c>
      <c r="L894" t="s">
        <v>191</v>
      </c>
      <c r="M894" t="s">
        <v>19</v>
      </c>
      <c r="N894">
        <v>1</v>
      </c>
      <c r="O894" t="s">
        <v>73</v>
      </c>
      <c r="P894" t="s">
        <v>146</v>
      </c>
      <c r="Q894" t="s">
        <v>30</v>
      </c>
      <c r="R894" t="str">
        <f>VLOOKUP($O894,'Mapa Oficinas'!$A$7:$C$46,2,FALSE)</f>
        <v>CABA</v>
      </c>
      <c r="S894" t="str">
        <f>VLOOKUP($O894,'Mapa Oficinas'!$A$7:$C$46,3,FALSE)</f>
        <v>Recoleta</v>
      </c>
    </row>
    <row r="895" spans="1:19" x14ac:dyDescent="0.2">
      <c r="A895" s="1">
        <v>45834</v>
      </c>
      <c r="B895" t="s">
        <v>5981</v>
      </c>
      <c r="D895" t="s">
        <v>5982</v>
      </c>
      <c r="E895" t="s">
        <v>16</v>
      </c>
      <c r="F895" t="s">
        <v>17</v>
      </c>
      <c r="G895" s="14">
        <v>59000</v>
      </c>
      <c r="H895" s="14">
        <v>57500</v>
      </c>
      <c r="I895" t="s">
        <v>22</v>
      </c>
      <c r="J895" t="s">
        <v>22</v>
      </c>
      <c r="K895" t="s">
        <v>5983</v>
      </c>
      <c r="L895" t="s">
        <v>141</v>
      </c>
      <c r="M895" t="s">
        <v>19</v>
      </c>
      <c r="N895">
        <v>2</v>
      </c>
      <c r="O895" t="s">
        <v>198</v>
      </c>
      <c r="P895" t="s">
        <v>276</v>
      </c>
      <c r="Q895" t="s">
        <v>30</v>
      </c>
      <c r="R895" t="str">
        <f>VLOOKUP($O895,'Mapa Oficinas'!$A$7:$C$46,2,FALSE)</f>
        <v>CABA</v>
      </c>
      <c r="S895" t="str">
        <f>VLOOKUP($O895,'Mapa Oficinas'!$A$7:$C$46,3,FALSE)</f>
        <v>Caballito</v>
      </c>
    </row>
    <row r="896" spans="1:19" x14ac:dyDescent="0.2">
      <c r="A896" s="1">
        <v>45834</v>
      </c>
      <c r="B896" t="s">
        <v>5994</v>
      </c>
      <c r="D896" t="s">
        <v>5995</v>
      </c>
      <c r="E896" t="s">
        <v>16</v>
      </c>
      <c r="F896" t="s">
        <v>38</v>
      </c>
      <c r="G896" s="14">
        <v>78000</v>
      </c>
      <c r="H896" s="14">
        <v>70000</v>
      </c>
      <c r="I896" t="s">
        <v>22</v>
      </c>
      <c r="J896" t="s">
        <v>22</v>
      </c>
      <c r="K896" t="s">
        <v>5996</v>
      </c>
      <c r="L896" t="s">
        <v>1278</v>
      </c>
      <c r="M896" t="s">
        <v>28</v>
      </c>
      <c r="N896">
        <v>2</v>
      </c>
      <c r="O896" t="s">
        <v>55</v>
      </c>
      <c r="P896" t="s">
        <v>21</v>
      </c>
      <c r="Q896" t="s">
        <v>30</v>
      </c>
      <c r="R896" t="str">
        <f>VLOOKUP($O896,'Mapa Oficinas'!$A$7:$C$46,2,FALSE)</f>
        <v>Interior - Santa Fe</v>
      </c>
      <c r="S896" t="str">
        <f>VLOOKUP($O896,'Mapa Oficinas'!$A$7:$C$46,3,FALSE)</f>
        <v>Capital Santa Fe</v>
      </c>
    </row>
    <row r="897" spans="1:19" x14ac:dyDescent="0.2">
      <c r="A897" s="1">
        <v>45834</v>
      </c>
      <c r="B897" t="s">
        <v>5977</v>
      </c>
      <c r="D897" t="s">
        <v>5978</v>
      </c>
      <c r="E897" t="s">
        <v>16</v>
      </c>
      <c r="F897" t="s">
        <v>17</v>
      </c>
      <c r="G897" s="14">
        <v>79000</v>
      </c>
      <c r="H897" s="14">
        <v>79000</v>
      </c>
      <c r="I897" t="s">
        <v>22</v>
      </c>
      <c r="J897" t="s">
        <v>22</v>
      </c>
      <c r="K897" t="s">
        <v>5979</v>
      </c>
      <c r="L897" t="s">
        <v>5980</v>
      </c>
      <c r="M897" t="s">
        <v>28</v>
      </c>
      <c r="N897">
        <v>2</v>
      </c>
      <c r="O897" t="s">
        <v>198</v>
      </c>
      <c r="P897" t="s">
        <v>21</v>
      </c>
      <c r="Q897" t="s">
        <v>30</v>
      </c>
      <c r="R897" t="str">
        <f>VLOOKUP($O897,'Mapa Oficinas'!$A$7:$C$46,2,FALSE)</f>
        <v>CABA</v>
      </c>
      <c r="S897" t="str">
        <f>VLOOKUP($O897,'Mapa Oficinas'!$A$7:$C$46,3,FALSE)</f>
        <v>Caballito</v>
      </c>
    </row>
    <row r="898" spans="1:19" x14ac:dyDescent="0.2">
      <c r="A898" s="1">
        <v>45834</v>
      </c>
      <c r="B898" t="s">
        <v>5986</v>
      </c>
      <c r="D898" t="s">
        <v>5987</v>
      </c>
      <c r="E898" t="s">
        <v>16</v>
      </c>
      <c r="F898" t="s">
        <v>134</v>
      </c>
      <c r="G898" s="14">
        <v>95000</v>
      </c>
      <c r="H898" s="14">
        <v>94500</v>
      </c>
      <c r="I898" t="s">
        <v>22</v>
      </c>
      <c r="J898" t="s">
        <v>22</v>
      </c>
      <c r="K898" t="s">
        <v>5988</v>
      </c>
      <c r="L898" t="s">
        <v>595</v>
      </c>
      <c r="M898" t="s">
        <v>19</v>
      </c>
      <c r="N898">
        <v>2</v>
      </c>
      <c r="O898" t="s">
        <v>130</v>
      </c>
      <c r="P898" t="s">
        <v>21</v>
      </c>
      <c r="Q898" t="s">
        <v>30</v>
      </c>
      <c r="R898" t="str">
        <f>VLOOKUP($O898,'Mapa Oficinas'!$A$7:$C$46,2,FALSE)</f>
        <v>Interior - Río Negro</v>
      </c>
      <c r="S898" t="str">
        <f>VLOOKUP($O898,'Mapa Oficinas'!$A$7:$C$46,3,FALSE)</f>
        <v>Bariloche</v>
      </c>
    </row>
    <row r="899" spans="1:19" x14ac:dyDescent="0.2">
      <c r="A899" s="1">
        <v>45834</v>
      </c>
      <c r="B899" t="s">
        <v>2535</v>
      </c>
      <c r="D899" t="s">
        <v>2536</v>
      </c>
      <c r="E899" t="s">
        <v>16</v>
      </c>
      <c r="F899" t="s">
        <v>17</v>
      </c>
      <c r="G899" s="14">
        <v>115000</v>
      </c>
      <c r="H899" s="14">
        <v>108000</v>
      </c>
      <c r="I899" t="s">
        <v>22</v>
      </c>
      <c r="J899" t="s">
        <v>22</v>
      </c>
      <c r="K899" t="s">
        <v>2537</v>
      </c>
      <c r="L899" t="s">
        <v>2434</v>
      </c>
      <c r="M899" t="s">
        <v>19</v>
      </c>
      <c r="N899">
        <v>2</v>
      </c>
      <c r="O899" t="s">
        <v>142</v>
      </c>
      <c r="P899" t="s">
        <v>276</v>
      </c>
      <c r="Q899" t="s">
        <v>30</v>
      </c>
      <c r="R899" t="str">
        <f>VLOOKUP($O899,'Mapa Oficinas'!$A$7:$C$46,2,FALSE)</f>
        <v>Zona Norte (GBA)</v>
      </c>
      <c r="S899" t="str">
        <f>VLOOKUP($O899,'Mapa Oficinas'!$A$7:$C$46,3,FALSE)</f>
        <v>Nordelta</v>
      </c>
    </row>
    <row r="900" spans="1:19" x14ac:dyDescent="0.2">
      <c r="A900" s="1">
        <v>45834</v>
      </c>
      <c r="B900" t="s">
        <v>5973</v>
      </c>
      <c r="D900" t="s">
        <v>5973</v>
      </c>
      <c r="E900" t="s">
        <v>16</v>
      </c>
      <c r="F900" t="s">
        <v>17</v>
      </c>
      <c r="G900" s="14">
        <v>126000</v>
      </c>
      <c r="H900" s="14">
        <v>126000</v>
      </c>
      <c r="I900" t="s">
        <v>22</v>
      </c>
      <c r="J900" t="s">
        <v>22</v>
      </c>
      <c r="K900" t="s">
        <v>5973</v>
      </c>
      <c r="L900" t="s">
        <v>523</v>
      </c>
      <c r="M900" t="s">
        <v>19</v>
      </c>
      <c r="N900">
        <v>2</v>
      </c>
      <c r="O900" t="s">
        <v>50</v>
      </c>
      <c r="P900" t="s">
        <v>21</v>
      </c>
      <c r="Q900" t="s">
        <v>30</v>
      </c>
      <c r="R900" t="str">
        <f>VLOOKUP($O900,'Mapa Oficinas'!$A$7:$C$46,2,FALSE)</f>
        <v>CABA</v>
      </c>
      <c r="S900" t="str">
        <f>VLOOKUP($O900,'Mapa Oficinas'!$A$7:$C$46,3,FALSE)</f>
        <v>Villa Urquiza</v>
      </c>
    </row>
    <row r="901" spans="1:19" x14ac:dyDescent="0.2">
      <c r="A901" s="1">
        <v>45834</v>
      </c>
      <c r="B901" t="s">
        <v>5984</v>
      </c>
      <c r="D901" t="s">
        <v>5985</v>
      </c>
      <c r="E901" t="s">
        <v>16</v>
      </c>
      <c r="F901" t="s">
        <v>17</v>
      </c>
      <c r="G901" s="14">
        <v>139000</v>
      </c>
      <c r="H901" s="14">
        <v>130000</v>
      </c>
      <c r="I901" t="s">
        <v>22</v>
      </c>
      <c r="J901" t="s">
        <v>22</v>
      </c>
      <c r="K901" t="s">
        <v>1137</v>
      </c>
      <c r="L901" t="s">
        <v>79</v>
      </c>
      <c r="M901" t="s">
        <v>19</v>
      </c>
      <c r="N901">
        <v>2</v>
      </c>
      <c r="O901" t="s">
        <v>142</v>
      </c>
      <c r="P901" t="s">
        <v>21</v>
      </c>
      <c r="Q901" t="s">
        <v>30</v>
      </c>
      <c r="R901" t="str">
        <f>VLOOKUP($O901,'Mapa Oficinas'!$A$7:$C$46,2,FALSE)</f>
        <v>Zona Norte (GBA)</v>
      </c>
      <c r="S901" t="str">
        <f>VLOOKUP($O901,'Mapa Oficinas'!$A$7:$C$46,3,FALSE)</f>
        <v>Nordelta</v>
      </c>
    </row>
    <row r="902" spans="1:19" x14ac:dyDescent="0.2">
      <c r="A902" s="1">
        <v>45834</v>
      </c>
      <c r="B902" t="s">
        <v>5970</v>
      </c>
      <c r="D902" t="s">
        <v>5971</v>
      </c>
      <c r="E902" t="s">
        <v>16</v>
      </c>
      <c r="F902" t="s">
        <v>47</v>
      </c>
      <c r="G902" s="14">
        <v>170000</v>
      </c>
      <c r="H902" s="14">
        <v>155000</v>
      </c>
      <c r="I902" t="s">
        <v>22</v>
      </c>
      <c r="J902" t="s">
        <v>22</v>
      </c>
      <c r="K902" t="s">
        <v>5972</v>
      </c>
      <c r="L902" t="s">
        <v>653</v>
      </c>
      <c r="M902" t="s">
        <v>72</v>
      </c>
      <c r="N902">
        <v>2</v>
      </c>
      <c r="O902" t="s">
        <v>50</v>
      </c>
      <c r="P902" t="s">
        <v>21</v>
      </c>
      <c r="Q902" t="s">
        <v>30</v>
      </c>
      <c r="R902" t="str">
        <f>VLOOKUP($O902,'Mapa Oficinas'!$A$7:$C$46,2,FALSE)</f>
        <v>CABA</v>
      </c>
      <c r="S902" t="str">
        <f>VLOOKUP($O902,'Mapa Oficinas'!$A$7:$C$46,3,FALSE)</f>
        <v>Villa Urquiza</v>
      </c>
    </row>
    <row r="903" spans="1:19" x14ac:dyDescent="0.2">
      <c r="A903" s="1">
        <v>45835</v>
      </c>
      <c r="B903" t="s">
        <v>5917</v>
      </c>
      <c r="D903" t="s">
        <v>5918</v>
      </c>
      <c r="E903" t="s">
        <v>16</v>
      </c>
      <c r="F903" t="s">
        <v>82</v>
      </c>
      <c r="G903" s="14">
        <v>42700</v>
      </c>
      <c r="H903" s="14">
        <v>40000</v>
      </c>
      <c r="I903" t="s">
        <v>22</v>
      </c>
      <c r="J903" t="s">
        <v>22</v>
      </c>
      <c r="K903" t="s">
        <v>5919</v>
      </c>
      <c r="L903" t="s">
        <v>170</v>
      </c>
      <c r="M903" t="s">
        <v>19</v>
      </c>
      <c r="N903">
        <v>1</v>
      </c>
      <c r="O903" t="s">
        <v>171</v>
      </c>
      <c r="P903" t="s">
        <v>146</v>
      </c>
      <c r="Q903" t="s">
        <v>30</v>
      </c>
      <c r="R903" t="str">
        <f>VLOOKUP($O903,'Mapa Oficinas'!$A$7:$C$46,2,FALSE)</f>
        <v>Zona Sur (GBA)</v>
      </c>
      <c r="S903" t="str">
        <f>VLOOKUP($O903,'Mapa Oficinas'!$A$7:$C$46,3,FALSE)</f>
        <v>La Plata</v>
      </c>
    </row>
    <row r="904" spans="1:19" x14ac:dyDescent="0.2">
      <c r="A904" s="1">
        <v>45835</v>
      </c>
      <c r="B904" t="s">
        <v>5920</v>
      </c>
      <c r="D904" t="s">
        <v>5921</v>
      </c>
      <c r="E904" t="s">
        <v>16</v>
      </c>
      <c r="F904" t="s">
        <v>47</v>
      </c>
      <c r="G904" s="14">
        <v>43000</v>
      </c>
      <c r="H904" s="14">
        <v>43000</v>
      </c>
      <c r="I904" t="s">
        <v>22</v>
      </c>
      <c r="J904" t="s">
        <v>22</v>
      </c>
      <c r="K904" t="s">
        <v>5922</v>
      </c>
      <c r="L904" t="s">
        <v>3871</v>
      </c>
      <c r="M904" t="s">
        <v>28</v>
      </c>
      <c r="N904">
        <v>2</v>
      </c>
      <c r="O904" t="s">
        <v>50</v>
      </c>
      <c r="P904" t="s">
        <v>21</v>
      </c>
      <c r="Q904" t="s">
        <v>30</v>
      </c>
      <c r="R904" t="str">
        <f>VLOOKUP($O904,'Mapa Oficinas'!$A$7:$C$46,2,FALSE)</f>
        <v>CABA</v>
      </c>
      <c r="S904" t="str">
        <f>VLOOKUP($O904,'Mapa Oficinas'!$A$7:$C$46,3,FALSE)</f>
        <v>Villa Urquiza</v>
      </c>
    </row>
    <row r="905" spans="1:19" x14ac:dyDescent="0.2">
      <c r="A905" s="1">
        <v>45835</v>
      </c>
      <c r="B905" t="s">
        <v>5926</v>
      </c>
      <c r="D905" t="s">
        <v>5927</v>
      </c>
      <c r="E905" t="s">
        <v>16</v>
      </c>
      <c r="F905" t="s">
        <v>82</v>
      </c>
      <c r="G905" s="14">
        <v>47000</v>
      </c>
      <c r="H905" s="14">
        <v>47000</v>
      </c>
      <c r="I905" t="s">
        <v>22</v>
      </c>
      <c r="J905" t="s">
        <v>22</v>
      </c>
      <c r="K905" t="s">
        <v>5928</v>
      </c>
      <c r="L905" t="s">
        <v>5929</v>
      </c>
      <c r="M905" t="s">
        <v>212</v>
      </c>
      <c r="N905">
        <v>2</v>
      </c>
      <c r="O905" t="s">
        <v>65</v>
      </c>
      <c r="P905" t="s">
        <v>21</v>
      </c>
      <c r="Q905" t="s">
        <v>30</v>
      </c>
      <c r="R905" t="str">
        <f>VLOOKUP($O905,'Mapa Oficinas'!$A$7:$C$46,2,FALSE)</f>
        <v>Interior - Mendoza</v>
      </c>
      <c r="S905" t="str">
        <f>VLOOKUP($O905,'Mapa Oficinas'!$A$7:$C$46,3,FALSE)</f>
        <v>Capital Mendoza</v>
      </c>
    </row>
    <row r="906" spans="1:19" x14ac:dyDescent="0.2">
      <c r="A906" s="1">
        <v>45835</v>
      </c>
      <c r="B906" t="s">
        <v>5964</v>
      </c>
      <c r="D906" t="s">
        <v>5965</v>
      </c>
      <c r="E906" t="s">
        <v>16</v>
      </c>
      <c r="F906" t="s">
        <v>82</v>
      </c>
      <c r="G906" s="14">
        <v>52000</v>
      </c>
      <c r="H906" s="14">
        <v>51500</v>
      </c>
      <c r="I906" t="s">
        <v>22</v>
      </c>
      <c r="J906" t="s">
        <v>22</v>
      </c>
      <c r="K906" t="s">
        <v>5966</v>
      </c>
      <c r="L906" t="s">
        <v>54</v>
      </c>
      <c r="M906" t="s">
        <v>19</v>
      </c>
      <c r="N906">
        <v>1</v>
      </c>
      <c r="O906" t="s">
        <v>55</v>
      </c>
      <c r="P906" t="s">
        <v>131</v>
      </c>
      <c r="Q906" t="s">
        <v>30</v>
      </c>
      <c r="R906" t="str">
        <f>VLOOKUP($O906,'Mapa Oficinas'!$A$7:$C$46,2,FALSE)</f>
        <v>Interior - Santa Fe</v>
      </c>
      <c r="S906" t="str">
        <f>VLOOKUP($O906,'Mapa Oficinas'!$A$7:$C$46,3,FALSE)</f>
        <v>Capital Santa Fe</v>
      </c>
    </row>
    <row r="907" spans="1:19" x14ac:dyDescent="0.2">
      <c r="A907" s="1">
        <v>45835</v>
      </c>
      <c r="B907" t="s">
        <v>5943</v>
      </c>
      <c r="D907" t="s">
        <v>5944</v>
      </c>
      <c r="E907" t="s">
        <v>16</v>
      </c>
      <c r="F907" t="s">
        <v>17</v>
      </c>
      <c r="G907" s="14">
        <v>64500</v>
      </c>
      <c r="H907" s="14">
        <v>61000</v>
      </c>
      <c r="I907" t="s">
        <v>22</v>
      </c>
      <c r="J907" t="s">
        <v>22</v>
      </c>
      <c r="K907" t="s">
        <v>5945</v>
      </c>
      <c r="L907" t="s">
        <v>727</v>
      </c>
      <c r="M907" t="s">
        <v>19</v>
      </c>
      <c r="N907">
        <v>2</v>
      </c>
      <c r="O907" t="s">
        <v>35</v>
      </c>
      <c r="P907" t="s">
        <v>21</v>
      </c>
      <c r="Q907" t="s">
        <v>30</v>
      </c>
      <c r="R907" t="str">
        <f>VLOOKUP($O907,'Mapa Oficinas'!$A$7:$C$46,2,FALSE)</f>
        <v>Zona Norte (GBA)</v>
      </c>
      <c r="S907" t="str">
        <f>VLOOKUP($O907,'Mapa Oficinas'!$A$7:$C$46,3,FALSE)</f>
        <v>Vicente López</v>
      </c>
    </row>
    <row r="908" spans="1:19" x14ac:dyDescent="0.2">
      <c r="A908" s="1">
        <v>45835</v>
      </c>
      <c r="B908" t="s">
        <v>5941</v>
      </c>
      <c r="D908" t="s">
        <v>5942</v>
      </c>
      <c r="E908" t="s">
        <v>16</v>
      </c>
      <c r="F908" t="s">
        <v>17</v>
      </c>
      <c r="G908" s="14">
        <v>64000</v>
      </c>
      <c r="H908" s="14">
        <v>65000</v>
      </c>
      <c r="I908" t="s">
        <v>22</v>
      </c>
      <c r="J908" t="s">
        <v>22</v>
      </c>
      <c r="K908" t="s">
        <v>526</v>
      </c>
      <c r="L908" t="s">
        <v>527</v>
      </c>
      <c r="M908" t="s">
        <v>97</v>
      </c>
      <c r="N908">
        <v>2</v>
      </c>
      <c r="O908" t="s">
        <v>151</v>
      </c>
      <c r="P908" t="s">
        <v>21</v>
      </c>
      <c r="Q908" t="s">
        <v>30</v>
      </c>
      <c r="R908" t="str">
        <f>VLOOKUP($O908,'Mapa Oficinas'!$A$7:$C$46,2,FALSE)</f>
        <v>Interior - Neuquén</v>
      </c>
      <c r="S908" t="str">
        <f>VLOOKUP($O908,'Mapa Oficinas'!$A$7:$C$46,3,FALSE)</f>
        <v>Capital Neuquén</v>
      </c>
    </row>
    <row r="909" spans="1:19" x14ac:dyDescent="0.2">
      <c r="A909" s="1">
        <v>45835</v>
      </c>
      <c r="B909" t="s">
        <v>2810</v>
      </c>
      <c r="D909" t="s">
        <v>2810</v>
      </c>
      <c r="E909" t="s">
        <v>16</v>
      </c>
      <c r="F909" t="s">
        <v>17</v>
      </c>
      <c r="G909" s="14">
        <v>55000</v>
      </c>
      <c r="H909" s="14">
        <v>66000</v>
      </c>
      <c r="I909" t="s">
        <v>22</v>
      </c>
      <c r="J909" t="s">
        <v>22</v>
      </c>
      <c r="L909" t="s">
        <v>355</v>
      </c>
      <c r="M909" t="s">
        <v>19</v>
      </c>
      <c r="N909">
        <v>1</v>
      </c>
      <c r="O909" t="s">
        <v>65</v>
      </c>
      <c r="P909" t="s">
        <v>146</v>
      </c>
      <c r="Q909" t="s">
        <v>30</v>
      </c>
      <c r="R909" t="str">
        <f>VLOOKUP($O909,'Mapa Oficinas'!$A$7:$C$46,2,FALSE)</f>
        <v>Interior - Mendoza</v>
      </c>
      <c r="S909" t="str">
        <f>VLOOKUP($O909,'Mapa Oficinas'!$A$7:$C$46,3,FALSE)</f>
        <v>Capital Mendoza</v>
      </c>
    </row>
    <row r="910" spans="1:19" x14ac:dyDescent="0.2">
      <c r="A910" s="1">
        <v>45835</v>
      </c>
      <c r="B910" t="s">
        <v>5955</v>
      </c>
      <c r="D910" t="s">
        <v>5956</v>
      </c>
      <c r="E910" t="s">
        <v>16</v>
      </c>
      <c r="F910" t="s">
        <v>17</v>
      </c>
      <c r="G910" s="14">
        <v>79000</v>
      </c>
      <c r="H910" s="14">
        <v>79000</v>
      </c>
      <c r="I910" t="s">
        <v>22</v>
      </c>
      <c r="J910" t="s">
        <v>22</v>
      </c>
      <c r="K910" t="s">
        <v>3817</v>
      </c>
      <c r="L910" t="s">
        <v>3683</v>
      </c>
      <c r="M910" t="s">
        <v>72</v>
      </c>
      <c r="N910">
        <v>2</v>
      </c>
      <c r="O910" t="s">
        <v>103</v>
      </c>
      <c r="P910" t="s">
        <v>21</v>
      </c>
      <c r="Q910" t="s">
        <v>30</v>
      </c>
      <c r="R910" t="str">
        <f>VLOOKUP($O910,'Mapa Oficinas'!$A$7:$C$46,2,FALSE)</f>
        <v>CABA</v>
      </c>
      <c r="S910" t="str">
        <f>VLOOKUP($O910,'Mapa Oficinas'!$A$7:$C$46,3,FALSE)</f>
        <v>Barrio Parque</v>
      </c>
    </row>
    <row r="911" spans="1:19" x14ac:dyDescent="0.2">
      <c r="A911" s="1">
        <v>45835</v>
      </c>
      <c r="B911" t="s">
        <v>5960</v>
      </c>
      <c r="D911" t="s">
        <v>5961</v>
      </c>
      <c r="E911" t="s">
        <v>16</v>
      </c>
      <c r="F911" t="s">
        <v>82</v>
      </c>
      <c r="G911" s="14">
        <v>110000</v>
      </c>
      <c r="H911" s="14">
        <v>92000</v>
      </c>
      <c r="I911" t="s">
        <v>22</v>
      </c>
      <c r="J911" t="s">
        <v>22</v>
      </c>
      <c r="K911" t="s">
        <v>5962</v>
      </c>
      <c r="L911" t="s">
        <v>5963</v>
      </c>
      <c r="M911" t="s">
        <v>97</v>
      </c>
      <c r="N911">
        <v>2</v>
      </c>
      <c r="O911" t="s">
        <v>367</v>
      </c>
      <c r="P911" t="s">
        <v>21</v>
      </c>
      <c r="Q911" t="s">
        <v>30</v>
      </c>
      <c r="R911" t="str">
        <f>VLOOKUP($O911,'Mapa Oficinas'!$A$7:$C$46,2,FALSE)</f>
        <v>Interior - Neuquén</v>
      </c>
      <c r="S911" t="str">
        <f>VLOOKUP($O911,'Mapa Oficinas'!$A$7:$C$46,3,FALSE)</f>
        <v>San Martín de los Andes</v>
      </c>
    </row>
    <row r="912" spans="1:19" x14ac:dyDescent="0.2">
      <c r="A912" s="1">
        <v>45835</v>
      </c>
      <c r="B912" t="s">
        <v>5937</v>
      </c>
      <c r="D912" t="s">
        <v>5938</v>
      </c>
      <c r="E912" t="s">
        <v>16</v>
      </c>
      <c r="F912" t="s">
        <v>17</v>
      </c>
      <c r="G912" s="14">
        <v>99800</v>
      </c>
      <c r="H912" s="14">
        <v>97000</v>
      </c>
      <c r="I912" t="s">
        <v>22</v>
      </c>
      <c r="J912" t="s">
        <v>22</v>
      </c>
      <c r="K912" t="s">
        <v>5939</v>
      </c>
      <c r="L912" t="s">
        <v>221</v>
      </c>
      <c r="M912" t="s">
        <v>19</v>
      </c>
      <c r="N912">
        <v>2</v>
      </c>
      <c r="O912" t="s">
        <v>20</v>
      </c>
      <c r="P912" t="s">
        <v>21</v>
      </c>
      <c r="Q912" t="s">
        <v>30</v>
      </c>
      <c r="R912" t="str">
        <f>VLOOKUP($O912,'Mapa Oficinas'!$A$7:$C$46,2,FALSE)</f>
        <v>CABA</v>
      </c>
      <c r="S912" t="str">
        <f>VLOOKUP($O912,'Mapa Oficinas'!$A$7:$C$46,3,FALSE)</f>
        <v>Palermo</v>
      </c>
    </row>
    <row r="913" spans="1:19" x14ac:dyDescent="0.2">
      <c r="A913" s="1">
        <v>45835</v>
      </c>
      <c r="B913" t="s">
        <v>5957</v>
      </c>
      <c r="D913" t="s">
        <v>5958</v>
      </c>
      <c r="E913" t="s">
        <v>16</v>
      </c>
      <c r="F913" t="s">
        <v>47</v>
      </c>
      <c r="G913" s="14">
        <v>140000</v>
      </c>
      <c r="H913" s="14">
        <v>115000</v>
      </c>
      <c r="I913" t="s">
        <v>22</v>
      </c>
      <c r="J913" t="s">
        <v>22</v>
      </c>
      <c r="K913" t="s">
        <v>5959</v>
      </c>
      <c r="L913" t="s">
        <v>260</v>
      </c>
      <c r="M913" t="s">
        <v>28</v>
      </c>
      <c r="N913">
        <v>2</v>
      </c>
      <c r="O913" t="s">
        <v>98</v>
      </c>
      <c r="P913" t="s">
        <v>21</v>
      </c>
      <c r="Q913" t="s">
        <v>30</v>
      </c>
      <c r="R913" t="str">
        <f>VLOOKUP($O913,'Mapa Oficinas'!$A$7:$C$46,2,FALSE)</f>
        <v>Interior - Neuquén</v>
      </c>
      <c r="S913" t="str">
        <f>VLOOKUP($O913,'Mapa Oficinas'!$A$7:$C$46,3,FALSE)</f>
        <v>Villa La Angostura</v>
      </c>
    </row>
    <row r="914" spans="1:19" x14ac:dyDescent="0.2">
      <c r="A914" s="1">
        <v>45835</v>
      </c>
      <c r="B914" t="s">
        <v>5949</v>
      </c>
      <c r="D914" t="s">
        <v>5950</v>
      </c>
      <c r="E914" t="s">
        <v>16</v>
      </c>
      <c r="F914" t="s">
        <v>17</v>
      </c>
      <c r="G914" s="14">
        <v>124000</v>
      </c>
      <c r="H914" s="14">
        <v>124000</v>
      </c>
      <c r="I914" t="s">
        <v>22</v>
      </c>
      <c r="J914" t="s">
        <v>22</v>
      </c>
      <c r="K914" t="s">
        <v>5951</v>
      </c>
      <c r="L914" t="s">
        <v>141</v>
      </c>
      <c r="M914" t="s">
        <v>19</v>
      </c>
      <c r="N914">
        <v>2</v>
      </c>
      <c r="O914" t="s">
        <v>103</v>
      </c>
      <c r="P914" t="s">
        <v>21</v>
      </c>
      <c r="Q914" t="s">
        <v>30</v>
      </c>
      <c r="R914" t="str">
        <f>VLOOKUP($O914,'Mapa Oficinas'!$A$7:$C$46,2,FALSE)</f>
        <v>CABA</v>
      </c>
      <c r="S914" t="str">
        <f>VLOOKUP($O914,'Mapa Oficinas'!$A$7:$C$46,3,FALSE)</f>
        <v>Barrio Parque</v>
      </c>
    </row>
    <row r="915" spans="1:19" x14ac:dyDescent="0.2">
      <c r="A915" s="1">
        <v>45835</v>
      </c>
      <c r="B915" t="s">
        <v>5913</v>
      </c>
      <c r="D915" t="s">
        <v>5914</v>
      </c>
      <c r="E915" t="s">
        <v>16</v>
      </c>
      <c r="F915" t="s">
        <v>58</v>
      </c>
      <c r="G915" s="14">
        <v>129900</v>
      </c>
      <c r="H915" s="14">
        <v>125000</v>
      </c>
      <c r="I915" t="s">
        <v>22</v>
      </c>
      <c r="J915" t="s">
        <v>22</v>
      </c>
      <c r="K915" t="s">
        <v>5915</v>
      </c>
      <c r="L915" t="s">
        <v>1490</v>
      </c>
      <c r="M915" t="s">
        <v>19</v>
      </c>
      <c r="N915">
        <v>2</v>
      </c>
      <c r="O915" t="s">
        <v>50</v>
      </c>
      <c r="P915" t="s">
        <v>21</v>
      </c>
      <c r="Q915" t="s">
        <v>30</v>
      </c>
      <c r="R915" t="str">
        <f>VLOOKUP($O915,'Mapa Oficinas'!$A$7:$C$46,2,FALSE)</f>
        <v>CABA</v>
      </c>
      <c r="S915" t="str">
        <f>VLOOKUP($O915,'Mapa Oficinas'!$A$7:$C$46,3,FALSE)</f>
        <v>Villa Urquiza</v>
      </c>
    </row>
    <row r="916" spans="1:19" x14ac:dyDescent="0.2">
      <c r="A916" s="1">
        <v>45835</v>
      </c>
      <c r="B916" t="s">
        <v>5038</v>
      </c>
      <c r="D916" t="s">
        <v>5039</v>
      </c>
      <c r="E916" t="s">
        <v>16</v>
      </c>
      <c r="F916" t="s">
        <v>58</v>
      </c>
      <c r="G916" s="14">
        <v>159900</v>
      </c>
      <c r="H916" s="14">
        <v>154000</v>
      </c>
      <c r="I916" t="s">
        <v>22</v>
      </c>
      <c r="J916" t="s">
        <v>22</v>
      </c>
      <c r="K916" t="s">
        <v>5040</v>
      </c>
      <c r="L916" t="s">
        <v>205</v>
      </c>
      <c r="M916" t="s">
        <v>19</v>
      </c>
      <c r="N916">
        <v>2</v>
      </c>
      <c r="O916" t="s">
        <v>50</v>
      </c>
      <c r="P916" t="s">
        <v>21</v>
      </c>
      <c r="Q916" t="s">
        <v>30</v>
      </c>
      <c r="R916" t="str">
        <f>VLOOKUP($O916,'Mapa Oficinas'!$A$7:$C$46,2,FALSE)</f>
        <v>CABA</v>
      </c>
      <c r="S916" t="str">
        <f>VLOOKUP($O916,'Mapa Oficinas'!$A$7:$C$46,3,FALSE)</f>
        <v>Villa Urquiza</v>
      </c>
    </row>
    <row r="917" spans="1:19" x14ac:dyDescent="0.2">
      <c r="A917" s="1">
        <v>45835</v>
      </c>
      <c r="B917" t="s">
        <v>5916</v>
      </c>
      <c r="D917" t="s">
        <v>5916</v>
      </c>
      <c r="E917" t="s">
        <v>16</v>
      </c>
      <c r="F917" t="s">
        <v>17</v>
      </c>
      <c r="G917" s="14">
        <v>155000</v>
      </c>
      <c r="H917" s="14">
        <v>155000</v>
      </c>
      <c r="I917" t="s">
        <v>22</v>
      </c>
      <c r="J917" t="s">
        <v>22</v>
      </c>
      <c r="K917" t="s">
        <v>5916</v>
      </c>
      <c r="L917" t="s">
        <v>102</v>
      </c>
      <c r="M917" t="s">
        <v>19</v>
      </c>
      <c r="N917">
        <v>2</v>
      </c>
      <c r="O917" t="s">
        <v>35</v>
      </c>
      <c r="P917" t="s">
        <v>21</v>
      </c>
      <c r="Q917" t="s">
        <v>30</v>
      </c>
      <c r="R917" t="str">
        <f>VLOOKUP($O917,'Mapa Oficinas'!$A$7:$C$46,2,FALSE)</f>
        <v>Zona Norte (GBA)</v>
      </c>
      <c r="S917" t="str">
        <f>VLOOKUP($O917,'Mapa Oficinas'!$A$7:$C$46,3,FALSE)</f>
        <v>Vicente López</v>
      </c>
    </row>
    <row r="918" spans="1:19" x14ac:dyDescent="0.2">
      <c r="A918" s="1">
        <v>45835</v>
      </c>
      <c r="D918" t="s">
        <v>5930</v>
      </c>
      <c r="E918" t="s">
        <v>16</v>
      </c>
      <c r="F918" t="s">
        <v>17</v>
      </c>
      <c r="G918" s="14">
        <v>210000</v>
      </c>
      <c r="H918" s="14">
        <v>210000</v>
      </c>
      <c r="I918" t="s">
        <v>22</v>
      </c>
      <c r="J918" t="s">
        <v>22</v>
      </c>
      <c r="L918" t="s">
        <v>419</v>
      </c>
      <c r="M918" t="s">
        <v>19</v>
      </c>
      <c r="N918">
        <v>1</v>
      </c>
      <c r="O918" t="s">
        <v>65</v>
      </c>
      <c r="P918" t="s">
        <v>146</v>
      </c>
      <c r="Q918" t="s">
        <v>30</v>
      </c>
      <c r="R918" t="str">
        <f>VLOOKUP($O918,'Mapa Oficinas'!$A$7:$C$46,2,FALSE)</f>
        <v>Interior - Mendoza</v>
      </c>
      <c r="S918" t="str">
        <f>VLOOKUP($O918,'Mapa Oficinas'!$A$7:$C$46,3,FALSE)</f>
        <v>Capital Mendoza</v>
      </c>
    </row>
    <row r="919" spans="1:19" x14ac:dyDescent="0.2">
      <c r="A919" s="1">
        <v>45835</v>
      </c>
      <c r="B919" t="s">
        <v>5923</v>
      </c>
      <c r="D919" t="s">
        <v>5924</v>
      </c>
      <c r="E919" t="s">
        <v>16</v>
      </c>
      <c r="F919" t="s">
        <v>17</v>
      </c>
      <c r="G919" s="14">
        <v>230197</v>
      </c>
      <c r="H919" s="14">
        <v>245500</v>
      </c>
      <c r="I919" t="s">
        <v>22</v>
      </c>
      <c r="J919" t="s">
        <v>22</v>
      </c>
      <c r="K919" t="s">
        <v>5925</v>
      </c>
      <c r="L919" t="s">
        <v>2132</v>
      </c>
      <c r="M919" t="s">
        <v>19</v>
      </c>
      <c r="N919">
        <v>2</v>
      </c>
      <c r="O919" t="s">
        <v>142</v>
      </c>
      <c r="P919" t="s">
        <v>21</v>
      </c>
      <c r="Q919" t="s">
        <v>30</v>
      </c>
      <c r="R919" t="str">
        <f>VLOOKUP($O919,'Mapa Oficinas'!$A$7:$C$46,2,FALSE)</f>
        <v>Zona Norte (GBA)</v>
      </c>
      <c r="S919" t="str">
        <f>VLOOKUP($O919,'Mapa Oficinas'!$A$7:$C$46,3,FALSE)</f>
        <v>Nordelta</v>
      </c>
    </row>
    <row r="920" spans="1:19" x14ac:dyDescent="0.2">
      <c r="A920" s="1">
        <v>45835</v>
      </c>
      <c r="B920" t="s">
        <v>5931</v>
      </c>
      <c r="D920" t="s">
        <v>5932</v>
      </c>
      <c r="E920" t="s">
        <v>16</v>
      </c>
      <c r="F920" t="s">
        <v>17</v>
      </c>
      <c r="G920" s="14">
        <v>295000</v>
      </c>
      <c r="H920" s="14">
        <v>258000</v>
      </c>
      <c r="I920" t="s">
        <v>22</v>
      </c>
      <c r="J920" t="s">
        <v>22</v>
      </c>
      <c r="K920" t="s">
        <v>2880</v>
      </c>
      <c r="L920" t="s">
        <v>2881</v>
      </c>
      <c r="M920" t="s">
        <v>28</v>
      </c>
      <c r="N920">
        <v>2</v>
      </c>
      <c r="O920" t="s">
        <v>65</v>
      </c>
      <c r="P920" t="s">
        <v>21</v>
      </c>
      <c r="Q920" t="s">
        <v>30</v>
      </c>
      <c r="R920" t="str">
        <f>VLOOKUP($O920,'Mapa Oficinas'!$A$7:$C$46,2,FALSE)</f>
        <v>Interior - Mendoza</v>
      </c>
      <c r="S920" t="str">
        <f>VLOOKUP($O920,'Mapa Oficinas'!$A$7:$C$46,3,FALSE)</f>
        <v>Capital Mendoza</v>
      </c>
    </row>
    <row r="921" spans="1:19" x14ac:dyDescent="0.2">
      <c r="A921" s="1">
        <v>45835</v>
      </c>
      <c r="B921">
        <v>10429</v>
      </c>
      <c r="D921" t="s">
        <v>5940</v>
      </c>
      <c r="E921" t="s">
        <v>16</v>
      </c>
      <c r="F921" t="s">
        <v>17</v>
      </c>
      <c r="G921" s="14">
        <v>0</v>
      </c>
      <c r="H921" s="14">
        <v>290000</v>
      </c>
      <c r="I921" t="s">
        <v>22</v>
      </c>
      <c r="J921" t="s">
        <v>22</v>
      </c>
      <c r="L921" t="s">
        <v>191</v>
      </c>
      <c r="M921" t="s">
        <v>19</v>
      </c>
      <c r="N921">
        <v>1</v>
      </c>
      <c r="O921" t="s">
        <v>103</v>
      </c>
      <c r="P921" t="s">
        <v>146</v>
      </c>
      <c r="Q921" t="s">
        <v>30</v>
      </c>
      <c r="R921" t="str">
        <f>VLOOKUP($O921,'Mapa Oficinas'!$A$7:$C$46,2,FALSE)</f>
        <v>CABA</v>
      </c>
      <c r="S921" t="str">
        <f>VLOOKUP($O921,'Mapa Oficinas'!$A$7:$C$46,3,FALSE)</f>
        <v>Barrio Parque</v>
      </c>
    </row>
    <row r="922" spans="1:19" x14ac:dyDescent="0.2">
      <c r="A922" s="1">
        <v>45835</v>
      </c>
      <c r="B922" t="s">
        <v>5946</v>
      </c>
      <c r="D922" t="s">
        <v>5947</v>
      </c>
      <c r="E922" t="s">
        <v>16</v>
      </c>
      <c r="F922" t="s">
        <v>17</v>
      </c>
      <c r="G922" s="14">
        <v>300000</v>
      </c>
      <c r="H922" s="14">
        <v>300000</v>
      </c>
      <c r="I922" t="s">
        <v>22</v>
      </c>
      <c r="J922" t="s">
        <v>22</v>
      </c>
      <c r="K922" t="s">
        <v>5948</v>
      </c>
      <c r="L922" t="s">
        <v>277</v>
      </c>
      <c r="M922" t="s">
        <v>19</v>
      </c>
      <c r="N922">
        <v>2</v>
      </c>
      <c r="O922" t="s">
        <v>103</v>
      </c>
      <c r="P922" t="s">
        <v>276</v>
      </c>
      <c r="Q922" t="s">
        <v>30</v>
      </c>
      <c r="R922" t="str">
        <f>VLOOKUP($O922,'Mapa Oficinas'!$A$7:$C$46,2,FALSE)</f>
        <v>CABA</v>
      </c>
      <c r="S922" t="str">
        <f>VLOOKUP($O922,'Mapa Oficinas'!$A$7:$C$46,3,FALSE)</f>
        <v>Barrio Parque</v>
      </c>
    </row>
    <row r="923" spans="1:19" x14ac:dyDescent="0.2">
      <c r="A923" s="1">
        <v>45835</v>
      </c>
      <c r="B923" t="s">
        <v>5952</v>
      </c>
      <c r="D923" t="s">
        <v>5953</v>
      </c>
      <c r="E923" t="s">
        <v>16</v>
      </c>
      <c r="F923" t="s">
        <v>17</v>
      </c>
      <c r="G923" s="14">
        <v>450000</v>
      </c>
      <c r="H923" s="14">
        <v>450000</v>
      </c>
      <c r="I923" t="s">
        <v>22</v>
      </c>
      <c r="J923" t="s">
        <v>22</v>
      </c>
      <c r="K923" t="s">
        <v>5954</v>
      </c>
      <c r="L923" t="s">
        <v>191</v>
      </c>
      <c r="M923" t="s">
        <v>19</v>
      </c>
      <c r="N923">
        <v>2</v>
      </c>
      <c r="O923" t="s">
        <v>103</v>
      </c>
      <c r="P923" t="s">
        <v>21</v>
      </c>
      <c r="Q923" t="s">
        <v>30</v>
      </c>
      <c r="R923" t="str">
        <f>VLOOKUP($O923,'Mapa Oficinas'!$A$7:$C$46,2,FALSE)</f>
        <v>CABA</v>
      </c>
      <c r="S923" t="str">
        <f>VLOOKUP($O923,'Mapa Oficinas'!$A$7:$C$46,3,FALSE)</f>
        <v>Barrio Parque</v>
      </c>
    </row>
    <row r="924" spans="1:19" x14ac:dyDescent="0.2">
      <c r="A924" s="1">
        <v>45835</v>
      </c>
      <c r="B924" t="s">
        <v>5933</v>
      </c>
      <c r="D924" t="s">
        <v>5934</v>
      </c>
      <c r="E924" t="s">
        <v>16</v>
      </c>
      <c r="F924" t="s">
        <v>17</v>
      </c>
      <c r="G924" s="14">
        <v>1145000</v>
      </c>
      <c r="H924" s="14">
        <v>1175000</v>
      </c>
      <c r="I924" t="s">
        <v>22</v>
      </c>
      <c r="J924" t="s">
        <v>22</v>
      </c>
      <c r="K924" t="s">
        <v>5935</v>
      </c>
      <c r="L924" t="s">
        <v>5936</v>
      </c>
      <c r="M924" t="s">
        <v>28</v>
      </c>
      <c r="N924">
        <v>2</v>
      </c>
      <c r="O924" t="s">
        <v>20</v>
      </c>
      <c r="P924" t="s">
        <v>41</v>
      </c>
      <c r="Q924" t="s">
        <v>30</v>
      </c>
      <c r="R924" t="str">
        <f>VLOOKUP($O924,'Mapa Oficinas'!$A$7:$C$46,2,FALSE)</f>
        <v>CABA</v>
      </c>
      <c r="S924" t="str">
        <f>VLOOKUP($O924,'Mapa Oficinas'!$A$7:$C$46,3,FALSE)</f>
        <v>Palermo</v>
      </c>
    </row>
    <row r="925" spans="1:19" x14ac:dyDescent="0.2">
      <c r="A925" s="1">
        <v>45836</v>
      </c>
      <c r="D925" t="s">
        <v>5911</v>
      </c>
      <c r="E925" t="s">
        <v>16</v>
      </c>
      <c r="F925" t="s">
        <v>38</v>
      </c>
      <c r="G925" s="14">
        <v>128000</v>
      </c>
      <c r="H925" s="14">
        <v>128000</v>
      </c>
      <c r="I925" t="s">
        <v>22</v>
      </c>
      <c r="J925" t="s">
        <v>22</v>
      </c>
      <c r="K925" t="s">
        <v>5912</v>
      </c>
      <c r="L925" t="s">
        <v>1191</v>
      </c>
      <c r="M925" t="s">
        <v>28</v>
      </c>
      <c r="N925">
        <v>1</v>
      </c>
      <c r="O925" t="s">
        <v>98</v>
      </c>
      <c r="P925" t="s">
        <v>131</v>
      </c>
      <c r="Q925" t="s">
        <v>30</v>
      </c>
      <c r="R925" t="str">
        <f>VLOOKUP($O925,'Mapa Oficinas'!$A$7:$C$46,2,FALSE)</f>
        <v>Interior - Neuquén</v>
      </c>
      <c r="S925" t="str">
        <f>VLOOKUP($O925,'Mapa Oficinas'!$A$7:$C$46,3,FALSE)</f>
        <v>Villa La Angostura</v>
      </c>
    </row>
    <row r="926" spans="1:19" x14ac:dyDescent="0.2">
      <c r="A926" s="1">
        <v>45837</v>
      </c>
      <c r="B926" t="s">
        <v>5902</v>
      </c>
      <c r="D926" t="s">
        <v>5903</v>
      </c>
      <c r="E926" t="s">
        <v>16</v>
      </c>
      <c r="F926" t="s">
        <v>17</v>
      </c>
      <c r="G926" s="14">
        <v>150000</v>
      </c>
      <c r="H926" s="14">
        <v>149000</v>
      </c>
      <c r="I926" t="s">
        <v>22</v>
      </c>
      <c r="J926" t="s">
        <v>22</v>
      </c>
      <c r="K926" t="s">
        <v>5904</v>
      </c>
      <c r="L926" t="s">
        <v>5156</v>
      </c>
      <c r="M926" t="s">
        <v>28</v>
      </c>
      <c r="N926">
        <v>2</v>
      </c>
      <c r="O926" t="s">
        <v>142</v>
      </c>
      <c r="P926" t="s">
        <v>41</v>
      </c>
      <c r="Q926" t="s">
        <v>30</v>
      </c>
      <c r="R926" t="str">
        <f>VLOOKUP($O926,'Mapa Oficinas'!$A$7:$C$46,2,FALSE)</f>
        <v>Zona Norte (GBA)</v>
      </c>
      <c r="S926" t="str">
        <f>VLOOKUP($O926,'Mapa Oficinas'!$A$7:$C$46,3,FALSE)</f>
        <v>Nordelta</v>
      </c>
    </row>
    <row r="927" spans="1:19" x14ac:dyDescent="0.2">
      <c r="A927" s="1">
        <v>45837</v>
      </c>
      <c r="B927" t="s">
        <v>5898</v>
      </c>
      <c r="D927" t="s">
        <v>5899</v>
      </c>
      <c r="E927" t="s">
        <v>16</v>
      </c>
      <c r="F927" t="s">
        <v>17</v>
      </c>
      <c r="G927" s="14">
        <v>175000</v>
      </c>
      <c r="H927" s="14">
        <v>170000</v>
      </c>
      <c r="I927" t="s">
        <v>22</v>
      </c>
      <c r="J927" t="s">
        <v>22</v>
      </c>
      <c r="K927" t="s">
        <v>5900</v>
      </c>
      <c r="L927" t="s">
        <v>5901</v>
      </c>
      <c r="M927" t="s">
        <v>97</v>
      </c>
      <c r="N927">
        <v>2</v>
      </c>
      <c r="O927" t="s">
        <v>142</v>
      </c>
      <c r="P927" t="s">
        <v>41</v>
      </c>
      <c r="Q927" t="s">
        <v>30</v>
      </c>
      <c r="R927" t="str">
        <f>VLOOKUP($O927,'Mapa Oficinas'!$A$7:$C$46,2,FALSE)</f>
        <v>Zona Norte (GBA)</v>
      </c>
      <c r="S927" t="str">
        <f>VLOOKUP($O927,'Mapa Oficinas'!$A$7:$C$46,3,FALSE)</f>
        <v>Nordelta</v>
      </c>
    </row>
    <row r="928" spans="1:19" x14ac:dyDescent="0.2">
      <c r="A928" s="1">
        <v>45838</v>
      </c>
      <c r="B928" t="s">
        <v>5878</v>
      </c>
      <c r="D928" t="s">
        <v>5879</v>
      </c>
      <c r="E928" t="s">
        <v>16</v>
      </c>
      <c r="F928" t="s">
        <v>134</v>
      </c>
      <c r="G928" s="14">
        <v>41760</v>
      </c>
      <c r="H928" s="14">
        <v>37753</v>
      </c>
      <c r="I928" t="s">
        <v>22</v>
      </c>
      <c r="J928" t="s">
        <v>22</v>
      </c>
      <c r="K928" t="s">
        <v>2966</v>
      </c>
      <c r="L928" t="s">
        <v>5880</v>
      </c>
      <c r="M928" t="s">
        <v>97</v>
      </c>
      <c r="N928">
        <v>2</v>
      </c>
      <c r="O928" t="s">
        <v>130</v>
      </c>
      <c r="P928" t="s">
        <v>41</v>
      </c>
      <c r="Q928" t="s">
        <v>30</v>
      </c>
      <c r="R928" t="str">
        <f>VLOOKUP($O928,'Mapa Oficinas'!$A$7:$C$46,2,FALSE)</f>
        <v>Interior - Río Negro</v>
      </c>
      <c r="S928" t="str">
        <f>VLOOKUP($O928,'Mapa Oficinas'!$A$7:$C$46,3,FALSE)</f>
        <v>Bariloche</v>
      </c>
    </row>
    <row r="929" spans="1:19" x14ac:dyDescent="0.2">
      <c r="A929" s="1">
        <v>45838</v>
      </c>
      <c r="B929" t="s">
        <v>5863</v>
      </c>
      <c r="D929" t="s">
        <v>5864</v>
      </c>
      <c r="E929" t="s">
        <v>16</v>
      </c>
      <c r="F929" t="s">
        <v>134</v>
      </c>
      <c r="G929" s="14">
        <v>50000</v>
      </c>
      <c r="H929" s="14">
        <v>47500</v>
      </c>
      <c r="I929" t="s">
        <v>22</v>
      </c>
      <c r="J929" t="s">
        <v>22</v>
      </c>
      <c r="K929" t="s">
        <v>5865</v>
      </c>
      <c r="L929" t="s">
        <v>1922</v>
      </c>
      <c r="M929" t="s">
        <v>72</v>
      </c>
      <c r="N929">
        <v>2</v>
      </c>
      <c r="O929" t="s">
        <v>171</v>
      </c>
      <c r="P929" t="s">
        <v>276</v>
      </c>
      <c r="Q929" t="s">
        <v>30</v>
      </c>
      <c r="R929" t="str">
        <f>VLOOKUP($O929,'Mapa Oficinas'!$A$7:$C$46,2,FALSE)</f>
        <v>Zona Sur (GBA)</v>
      </c>
      <c r="S929" t="str">
        <f>VLOOKUP($O929,'Mapa Oficinas'!$A$7:$C$46,3,FALSE)</f>
        <v>La Plata</v>
      </c>
    </row>
    <row r="930" spans="1:19" x14ac:dyDescent="0.2">
      <c r="A930" s="1">
        <v>45838</v>
      </c>
      <c r="B930" t="s">
        <v>5869</v>
      </c>
      <c r="D930" t="s">
        <v>5870</v>
      </c>
      <c r="E930" t="s">
        <v>16</v>
      </c>
      <c r="F930" t="s">
        <v>243</v>
      </c>
      <c r="G930" s="14">
        <v>54000</v>
      </c>
      <c r="H930" s="14">
        <v>48000</v>
      </c>
      <c r="I930" t="s">
        <v>22</v>
      </c>
      <c r="J930" t="s">
        <v>22</v>
      </c>
      <c r="K930" t="s">
        <v>5871</v>
      </c>
      <c r="L930" t="s">
        <v>245</v>
      </c>
      <c r="M930" t="s">
        <v>19</v>
      </c>
      <c r="N930">
        <v>2</v>
      </c>
      <c r="O930" t="s">
        <v>246</v>
      </c>
      <c r="P930" t="s">
        <v>41</v>
      </c>
      <c r="Q930" t="s">
        <v>30</v>
      </c>
      <c r="R930" t="str">
        <f>VLOOKUP($O930,'Mapa Oficinas'!$A$7:$C$46,2,FALSE)</f>
        <v>Interior - Salta</v>
      </c>
      <c r="S930" t="str">
        <f>VLOOKUP($O930,'Mapa Oficinas'!$A$7:$C$46,3,FALSE)</f>
        <v>San Lorenzo Chico</v>
      </c>
    </row>
    <row r="931" spans="1:19" x14ac:dyDescent="0.2">
      <c r="A931" s="1">
        <v>45838</v>
      </c>
      <c r="B931" t="s">
        <v>5885</v>
      </c>
      <c r="D931" t="s">
        <v>5886</v>
      </c>
      <c r="E931" t="s">
        <v>16</v>
      </c>
      <c r="F931" t="s">
        <v>17</v>
      </c>
      <c r="G931" s="14">
        <v>75000</v>
      </c>
      <c r="H931" s="14">
        <v>65000</v>
      </c>
      <c r="I931" t="s">
        <v>22</v>
      </c>
      <c r="J931" t="s">
        <v>22</v>
      </c>
      <c r="K931" t="s">
        <v>5887</v>
      </c>
      <c r="L931" t="s">
        <v>5888</v>
      </c>
      <c r="M931" t="s">
        <v>19</v>
      </c>
      <c r="N931">
        <v>1</v>
      </c>
      <c r="O931" t="s">
        <v>389</v>
      </c>
      <c r="P931" t="s">
        <v>66</v>
      </c>
      <c r="Q931" t="s">
        <v>30</v>
      </c>
      <c r="R931" t="str">
        <f>VLOOKUP($O931,'Mapa Oficinas'!$A$7:$C$46,2,FALSE)</f>
        <v>Zona Norte (GBA)</v>
      </c>
      <c r="S931" t="str">
        <f>VLOOKUP($O931,'Mapa Oficinas'!$A$7:$C$46,3,FALSE)</f>
        <v>Escobar</v>
      </c>
    </row>
    <row r="932" spans="1:19" x14ac:dyDescent="0.2">
      <c r="A932" s="1">
        <v>45838</v>
      </c>
      <c r="B932" t="s">
        <v>5875</v>
      </c>
      <c r="D932" t="s">
        <v>5876</v>
      </c>
      <c r="E932" t="s">
        <v>16</v>
      </c>
      <c r="F932" t="s">
        <v>17</v>
      </c>
      <c r="G932" s="14">
        <v>68000</v>
      </c>
      <c r="H932" s="14">
        <v>68000</v>
      </c>
      <c r="I932" t="s">
        <v>22</v>
      </c>
      <c r="J932" t="s">
        <v>22</v>
      </c>
      <c r="K932" t="s">
        <v>5877</v>
      </c>
      <c r="L932" t="s">
        <v>189</v>
      </c>
      <c r="M932" t="s">
        <v>28</v>
      </c>
      <c r="N932">
        <v>2</v>
      </c>
      <c r="O932" t="s">
        <v>151</v>
      </c>
      <c r="P932" t="s">
        <v>21</v>
      </c>
      <c r="Q932" t="s">
        <v>30</v>
      </c>
      <c r="R932" t="str">
        <f>VLOOKUP($O932,'Mapa Oficinas'!$A$7:$C$46,2,FALSE)</f>
        <v>Interior - Neuquén</v>
      </c>
      <c r="S932" t="str">
        <f>VLOOKUP($O932,'Mapa Oficinas'!$A$7:$C$46,3,FALSE)</f>
        <v>Capital Neuquén</v>
      </c>
    </row>
    <row r="933" spans="1:19" x14ac:dyDescent="0.2">
      <c r="A933" s="1">
        <v>45838</v>
      </c>
      <c r="B933" t="s">
        <v>5860</v>
      </c>
      <c r="D933" t="s">
        <v>5861</v>
      </c>
      <c r="E933" t="s">
        <v>16</v>
      </c>
      <c r="F933" t="s">
        <v>17</v>
      </c>
      <c r="G933" s="14">
        <v>134000</v>
      </c>
      <c r="H933" s="14">
        <v>90000</v>
      </c>
      <c r="I933" t="s">
        <v>22</v>
      </c>
      <c r="J933" t="s">
        <v>22</v>
      </c>
      <c r="K933" t="s">
        <v>5862</v>
      </c>
      <c r="L933" t="s">
        <v>1644</v>
      </c>
      <c r="M933" t="s">
        <v>28</v>
      </c>
      <c r="N933">
        <v>2</v>
      </c>
      <c r="O933" t="s">
        <v>156</v>
      </c>
      <c r="P933" t="s">
        <v>21</v>
      </c>
      <c r="Q933" t="s">
        <v>30</v>
      </c>
      <c r="R933" t="str">
        <f>VLOOKUP($O933,'Mapa Oficinas'!$A$7:$C$46,2,FALSE)</f>
        <v>Zona Norte (GBA)</v>
      </c>
      <c r="S933" t="str">
        <f>VLOOKUP($O933,'Mapa Oficinas'!$A$7:$C$46,3,FALSE)</f>
        <v>Pilar</v>
      </c>
    </row>
    <row r="934" spans="1:19" x14ac:dyDescent="0.2">
      <c r="A934" s="1">
        <v>45838</v>
      </c>
      <c r="B934" t="s">
        <v>5848</v>
      </c>
      <c r="D934" t="s">
        <v>5849</v>
      </c>
      <c r="E934" t="s">
        <v>16</v>
      </c>
      <c r="F934" t="s">
        <v>58</v>
      </c>
      <c r="G934" s="14">
        <v>93000</v>
      </c>
      <c r="H934" s="14">
        <v>91500</v>
      </c>
      <c r="I934" t="s">
        <v>22</v>
      </c>
      <c r="J934" t="s">
        <v>22</v>
      </c>
      <c r="K934" t="s">
        <v>5850</v>
      </c>
      <c r="L934" t="s">
        <v>71</v>
      </c>
      <c r="M934" t="s">
        <v>19</v>
      </c>
      <c r="N934">
        <v>2</v>
      </c>
      <c r="O934" t="s">
        <v>50</v>
      </c>
      <c r="P934" t="s">
        <v>21</v>
      </c>
      <c r="Q934" t="s">
        <v>30</v>
      </c>
      <c r="R934" t="str">
        <f>VLOOKUP($O934,'Mapa Oficinas'!$A$7:$C$46,2,FALSE)</f>
        <v>CABA</v>
      </c>
      <c r="S934" t="str">
        <f>VLOOKUP($O934,'Mapa Oficinas'!$A$7:$C$46,3,FALSE)</f>
        <v>Villa Urquiza</v>
      </c>
    </row>
    <row r="935" spans="1:19" x14ac:dyDescent="0.2">
      <c r="A935" s="1">
        <v>45838</v>
      </c>
      <c r="B935" t="s">
        <v>5881</v>
      </c>
      <c r="D935" t="s">
        <v>5882</v>
      </c>
      <c r="E935" t="s">
        <v>16</v>
      </c>
      <c r="F935" t="s">
        <v>38</v>
      </c>
      <c r="G935" s="14">
        <v>91500</v>
      </c>
      <c r="H935" s="14">
        <v>91500</v>
      </c>
      <c r="I935" t="s">
        <v>22</v>
      </c>
      <c r="J935" t="s">
        <v>22</v>
      </c>
      <c r="L935" t="s">
        <v>71</v>
      </c>
      <c r="M935" t="s">
        <v>19</v>
      </c>
      <c r="N935">
        <v>2</v>
      </c>
      <c r="O935" t="s">
        <v>130</v>
      </c>
      <c r="P935" t="s">
        <v>44</v>
      </c>
      <c r="Q935" t="s">
        <v>30</v>
      </c>
      <c r="R935" t="str">
        <f>VLOOKUP($O935,'Mapa Oficinas'!$A$7:$C$46,2,FALSE)</f>
        <v>Interior - Río Negro</v>
      </c>
      <c r="S935" t="str">
        <f>VLOOKUP($O935,'Mapa Oficinas'!$A$7:$C$46,3,FALSE)</f>
        <v>Bariloche</v>
      </c>
    </row>
    <row r="936" spans="1:19" x14ac:dyDescent="0.2">
      <c r="A936" s="1">
        <v>45838</v>
      </c>
      <c r="B936" t="s">
        <v>5889</v>
      </c>
      <c r="D936" t="s">
        <v>5890</v>
      </c>
      <c r="E936" t="s">
        <v>16</v>
      </c>
      <c r="F936" t="s">
        <v>17</v>
      </c>
      <c r="G936" s="14">
        <v>95000</v>
      </c>
      <c r="H936" s="14">
        <v>92000</v>
      </c>
      <c r="I936" t="s">
        <v>22</v>
      </c>
      <c r="J936" t="s">
        <v>22</v>
      </c>
      <c r="K936" t="s">
        <v>5891</v>
      </c>
      <c r="L936" t="s">
        <v>5892</v>
      </c>
      <c r="M936" t="s">
        <v>97</v>
      </c>
      <c r="N936">
        <v>2</v>
      </c>
      <c r="O936" t="s">
        <v>151</v>
      </c>
      <c r="P936" t="s">
        <v>276</v>
      </c>
      <c r="Q936" t="s">
        <v>30</v>
      </c>
      <c r="R936" t="str">
        <f>VLOOKUP($O936,'Mapa Oficinas'!$A$7:$C$46,2,FALSE)</f>
        <v>Interior - Neuquén</v>
      </c>
      <c r="S936" t="str">
        <f>VLOOKUP($O936,'Mapa Oficinas'!$A$7:$C$46,3,FALSE)</f>
        <v>Capital Neuquén</v>
      </c>
    </row>
    <row r="937" spans="1:19" x14ac:dyDescent="0.2">
      <c r="A937" s="1">
        <v>45838</v>
      </c>
      <c r="B937" t="s">
        <v>5895</v>
      </c>
      <c r="D937" t="s">
        <v>5896</v>
      </c>
      <c r="E937" t="s">
        <v>16</v>
      </c>
      <c r="F937" t="s">
        <v>82</v>
      </c>
      <c r="G937" s="14">
        <v>120000</v>
      </c>
      <c r="H937" s="14">
        <v>95000</v>
      </c>
      <c r="I937" t="s">
        <v>22</v>
      </c>
      <c r="J937" t="s">
        <v>22</v>
      </c>
      <c r="K937" t="s">
        <v>5897</v>
      </c>
      <c r="L937" t="s">
        <v>5894</v>
      </c>
      <c r="M937" t="s">
        <v>97</v>
      </c>
      <c r="N937">
        <v>2</v>
      </c>
      <c r="O937" t="s">
        <v>367</v>
      </c>
      <c r="P937" t="s">
        <v>41</v>
      </c>
      <c r="Q937" t="s">
        <v>30</v>
      </c>
      <c r="R937" t="str">
        <f>VLOOKUP($O937,'Mapa Oficinas'!$A$7:$C$46,2,FALSE)</f>
        <v>Interior - Neuquén</v>
      </c>
      <c r="S937" t="str">
        <f>VLOOKUP($O937,'Mapa Oficinas'!$A$7:$C$46,3,FALSE)</f>
        <v>San Martín de los Andes</v>
      </c>
    </row>
    <row r="938" spans="1:19" x14ac:dyDescent="0.2">
      <c r="A938" s="1">
        <v>45838</v>
      </c>
      <c r="B938">
        <v>10408</v>
      </c>
      <c r="D938" t="s">
        <v>5856</v>
      </c>
      <c r="E938" t="s">
        <v>16</v>
      </c>
      <c r="F938" t="s">
        <v>17</v>
      </c>
      <c r="G938" s="14">
        <v>0</v>
      </c>
      <c r="H938" s="14">
        <v>111500</v>
      </c>
      <c r="I938" t="s">
        <v>22</v>
      </c>
      <c r="J938" t="s">
        <v>22</v>
      </c>
      <c r="L938" t="s">
        <v>277</v>
      </c>
      <c r="M938" t="s">
        <v>19</v>
      </c>
      <c r="N938">
        <v>2</v>
      </c>
      <c r="O938" t="s">
        <v>103</v>
      </c>
      <c r="P938" t="s">
        <v>21</v>
      </c>
      <c r="Q938" t="s">
        <v>30</v>
      </c>
      <c r="R938" t="str">
        <f>VLOOKUP($O938,'Mapa Oficinas'!$A$7:$C$46,2,FALSE)</f>
        <v>CABA</v>
      </c>
      <c r="S938" t="str">
        <f>VLOOKUP($O938,'Mapa Oficinas'!$A$7:$C$46,3,FALSE)</f>
        <v>Barrio Parque</v>
      </c>
    </row>
    <row r="939" spans="1:19" x14ac:dyDescent="0.2">
      <c r="A939" s="1">
        <v>45838</v>
      </c>
      <c r="B939" t="s">
        <v>5854</v>
      </c>
      <c r="D939" t="s">
        <v>332</v>
      </c>
      <c r="E939" t="s">
        <v>16</v>
      </c>
      <c r="F939" t="s">
        <v>38</v>
      </c>
      <c r="G939" s="14">
        <v>128000</v>
      </c>
      <c r="H939" s="14">
        <v>126000</v>
      </c>
      <c r="I939" t="s">
        <v>22</v>
      </c>
      <c r="J939" t="s">
        <v>22</v>
      </c>
      <c r="K939" t="s">
        <v>5855</v>
      </c>
      <c r="L939" t="s">
        <v>79</v>
      </c>
      <c r="M939" t="s">
        <v>19</v>
      </c>
      <c r="N939">
        <v>2</v>
      </c>
      <c r="O939" t="s">
        <v>547</v>
      </c>
      <c r="P939" t="s">
        <v>21</v>
      </c>
      <c r="Q939" t="s">
        <v>30</v>
      </c>
      <c r="R939" t="str">
        <f>VLOOKUP($O939,'Mapa Oficinas'!$A$7:$C$46,2,FALSE)</f>
        <v>CABA</v>
      </c>
      <c r="S939" t="str">
        <f>VLOOKUP($O939,'Mapa Oficinas'!$A$7:$C$46,3,FALSE)</f>
        <v>Núñez</v>
      </c>
    </row>
    <row r="940" spans="1:19" x14ac:dyDescent="0.2">
      <c r="A940" s="1">
        <v>45838</v>
      </c>
      <c r="B940" t="s">
        <v>5866</v>
      </c>
      <c r="D940" t="s">
        <v>5867</v>
      </c>
      <c r="E940" t="s">
        <v>16</v>
      </c>
      <c r="F940" t="s">
        <v>17</v>
      </c>
      <c r="G940" s="14">
        <v>143000</v>
      </c>
      <c r="H940" s="14">
        <v>133000</v>
      </c>
      <c r="I940" t="s">
        <v>22</v>
      </c>
      <c r="J940" t="s">
        <v>22</v>
      </c>
      <c r="K940" t="s">
        <v>5868</v>
      </c>
      <c r="L940" t="s">
        <v>2016</v>
      </c>
      <c r="M940" t="s">
        <v>28</v>
      </c>
      <c r="N940">
        <v>2</v>
      </c>
      <c r="O940" t="s">
        <v>201</v>
      </c>
      <c r="P940" t="s">
        <v>21</v>
      </c>
      <c r="Q940" t="s">
        <v>30</v>
      </c>
      <c r="R940" t="str">
        <f>VLOOKUP($O940,'Mapa Oficinas'!$A$7:$C$46,2,FALSE)</f>
        <v>CABA</v>
      </c>
      <c r="S940" t="str">
        <f>VLOOKUP($O940,'Mapa Oficinas'!$A$7:$C$46,3,FALSE)</f>
        <v>Recoleta</v>
      </c>
    </row>
    <row r="941" spans="1:19" x14ac:dyDescent="0.2">
      <c r="A941" s="1">
        <v>45838</v>
      </c>
      <c r="D941" t="s">
        <v>5893</v>
      </c>
      <c r="E941" t="s">
        <v>16</v>
      </c>
      <c r="F941" t="s">
        <v>82</v>
      </c>
      <c r="G941" s="14">
        <v>135000</v>
      </c>
      <c r="H941" s="14">
        <v>135000</v>
      </c>
      <c r="I941" t="s">
        <v>22</v>
      </c>
      <c r="J941" t="s">
        <v>22</v>
      </c>
      <c r="L941" t="s">
        <v>5894</v>
      </c>
      <c r="M941" t="s">
        <v>97</v>
      </c>
      <c r="N941">
        <v>2</v>
      </c>
      <c r="O941" t="s">
        <v>367</v>
      </c>
      <c r="P941" t="s">
        <v>21</v>
      </c>
      <c r="Q941" t="s">
        <v>30</v>
      </c>
      <c r="R941" t="str">
        <f>VLOOKUP($O941,'Mapa Oficinas'!$A$7:$C$46,2,FALSE)</f>
        <v>Interior - Neuquén</v>
      </c>
      <c r="S941" t="str">
        <f>VLOOKUP($O941,'Mapa Oficinas'!$A$7:$C$46,3,FALSE)</f>
        <v>San Martín de los Andes</v>
      </c>
    </row>
    <row r="942" spans="1:19" x14ac:dyDescent="0.2">
      <c r="A942" s="1">
        <v>45838</v>
      </c>
      <c r="B942" t="s">
        <v>5857</v>
      </c>
      <c r="D942" t="s">
        <v>5858</v>
      </c>
      <c r="E942" t="s">
        <v>16</v>
      </c>
      <c r="F942" t="s">
        <v>17</v>
      </c>
      <c r="G942" s="14">
        <v>158000</v>
      </c>
      <c r="H942" s="14">
        <v>154000</v>
      </c>
      <c r="I942" t="s">
        <v>22</v>
      </c>
      <c r="J942" t="s">
        <v>22</v>
      </c>
      <c r="K942" t="s">
        <v>5859</v>
      </c>
      <c r="L942" t="s">
        <v>191</v>
      </c>
      <c r="M942" t="s">
        <v>19</v>
      </c>
      <c r="N942">
        <v>2</v>
      </c>
      <c r="O942" t="s">
        <v>73</v>
      </c>
      <c r="P942" t="s">
        <v>21</v>
      </c>
      <c r="Q942" t="s">
        <v>30</v>
      </c>
      <c r="R942" t="str">
        <f>VLOOKUP($O942,'Mapa Oficinas'!$A$7:$C$46,2,FALSE)</f>
        <v>CABA</v>
      </c>
      <c r="S942" t="str">
        <f>VLOOKUP($O942,'Mapa Oficinas'!$A$7:$C$46,3,FALSE)</f>
        <v>Recoleta</v>
      </c>
    </row>
    <row r="943" spans="1:19" x14ac:dyDescent="0.2">
      <c r="A943" s="1">
        <v>45838</v>
      </c>
      <c r="B943" t="s">
        <v>5872</v>
      </c>
      <c r="D943" t="s">
        <v>5873</v>
      </c>
      <c r="E943" t="s">
        <v>16</v>
      </c>
      <c r="F943" t="s">
        <v>17</v>
      </c>
      <c r="G943" s="14">
        <v>175000</v>
      </c>
      <c r="H943" s="14">
        <v>160000</v>
      </c>
      <c r="I943" t="s">
        <v>22</v>
      </c>
      <c r="J943" t="s">
        <v>22</v>
      </c>
      <c r="K943" t="s">
        <v>5874</v>
      </c>
      <c r="L943" t="s">
        <v>5324</v>
      </c>
      <c r="M943" t="s">
        <v>28</v>
      </c>
      <c r="N943">
        <v>2</v>
      </c>
      <c r="O943" t="s">
        <v>103</v>
      </c>
      <c r="P943" t="s">
        <v>21</v>
      </c>
      <c r="Q943" t="s">
        <v>30</v>
      </c>
      <c r="R943" t="str">
        <f>VLOOKUP($O943,'Mapa Oficinas'!$A$7:$C$46,2,FALSE)</f>
        <v>CABA</v>
      </c>
      <c r="S943" t="str">
        <f>VLOOKUP($O943,'Mapa Oficinas'!$A$7:$C$46,3,FALSE)</f>
        <v>Barrio Parque</v>
      </c>
    </row>
    <row r="944" spans="1:19" x14ac:dyDescent="0.2">
      <c r="A944" s="1">
        <v>45839</v>
      </c>
      <c r="B944" t="s">
        <v>5845</v>
      </c>
      <c r="D944" t="s">
        <v>5846</v>
      </c>
      <c r="E944" t="s">
        <v>16</v>
      </c>
      <c r="F944" t="s">
        <v>243</v>
      </c>
      <c r="G944" s="14">
        <v>45000</v>
      </c>
      <c r="H944" s="14">
        <v>37500</v>
      </c>
      <c r="I944" t="s">
        <v>22</v>
      </c>
      <c r="J944" t="s">
        <v>22</v>
      </c>
      <c r="K944" t="s">
        <v>5847</v>
      </c>
      <c r="L944" t="s">
        <v>538</v>
      </c>
      <c r="M944" t="s">
        <v>28</v>
      </c>
      <c r="N944">
        <v>2</v>
      </c>
      <c r="O944" t="s">
        <v>367</v>
      </c>
      <c r="P944" t="s">
        <v>44</v>
      </c>
      <c r="Q944" t="s">
        <v>30</v>
      </c>
      <c r="R944" t="str">
        <f>VLOOKUP($O944,'Mapa Oficinas'!$A$7:$C$46,2,FALSE)</f>
        <v>Interior - Neuquén</v>
      </c>
      <c r="S944" t="str">
        <f>VLOOKUP($O944,'Mapa Oficinas'!$A$7:$C$46,3,FALSE)</f>
        <v>San Martín de los Andes</v>
      </c>
    </row>
    <row r="945" spans="1:19" x14ac:dyDescent="0.2">
      <c r="A945" s="1">
        <v>45839</v>
      </c>
      <c r="B945" t="s">
        <v>4818</v>
      </c>
      <c r="D945" t="s">
        <v>4819</v>
      </c>
      <c r="E945" t="s">
        <v>16</v>
      </c>
      <c r="F945" t="s">
        <v>82</v>
      </c>
      <c r="G945" s="14">
        <v>44350</v>
      </c>
      <c r="H945" s="14">
        <v>44350</v>
      </c>
      <c r="I945" t="s">
        <v>22</v>
      </c>
      <c r="J945" t="s">
        <v>22</v>
      </c>
      <c r="K945" t="s">
        <v>4820</v>
      </c>
      <c r="L945" t="s">
        <v>84</v>
      </c>
      <c r="M945" t="s">
        <v>97</v>
      </c>
      <c r="N945">
        <v>2</v>
      </c>
      <c r="O945" t="s">
        <v>85</v>
      </c>
      <c r="P945" t="s">
        <v>21</v>
      </c>
      <c r="Q945" t="s">
        <v>30</v>
      </c>
      <c r="R945" t="str">
        <f>VLOOKUP($O945,'Mapa Oficinas'!$A$7:$C$46,2,FALSE)</f>
        <v>Interior - Jujuy</v>
      </c>
      <c r="S945" t="str">
        <f>VLOOKUP($O945,'Mapa Oficinas'!$A$7:$C$46,3,FALSE)</f>
        <v>Capital Jujuy</v>
      </c>
    </row>
    <row r="946" spans="1:19" x14ac:dyDescent="0.2">
      <c r="A946" s="1">
        <v>45839</v>
      </c>
      <c r="B946" t="s">
        <v>5826</v>
      </c>
      <c r="D946" t="s">
        <v>5827</v>
      </c>
      <c r="E946" t="s">
        <v>16</v>
      </c>
      <c r="F946" t="s">
        <v>134</v>
      </c>
      <c r="G946" s="14">
        <v>85000</v>
      </c>
      <c r="H946" s="14">
        <v>82000</v>
      </c>
      <c r="I946" t="s">
        <v>22</v>
      </c>
      <c r="J946" t="s">
        <v>22</v>
      </c>
      <c r="K946" t="s">
        <v>5828</v>
      </c>
      <c r="L946" t="s">
        <v>5829</v>
      </c>
      <c r="M946" t="s">
        <v>19</v>
      </c>
      <c r="N946">
        <v>2</v>
      </c>
      <c r="O946" t="s">
        <v>171</v>
      </c>
      <c r="P946" t="s">
        <v>21</v>
      </c>
      <c r="Q946" t="s">
        <v>30</v>
      </c>
      <c r="R946" t="str">
        <f>VLOOKUP($O946,'Mapa Oficinas'!$A$7:$C$46,2,FALSE)</f>
        <v>Zona Sur (GBA)</v>
      </c>
      <c r="S946" t="str">
        <f>VLOOKUP($O946,'Mapa Oficinas'!$A$7:$C$46,3,FALSE)</f>
        <v>La Plata</v>
      </c>
    </row>
    <row r="947" spans="1:19" x14ac:dyDescent="0.2">
      <c r="A947" s="1">
        <v>45839</v>
      </c>
      <c r="B947" t="s">
        <v>5830</v>
      </c>
      <c r="D947" t="s">
        <v>5831</v>
      </c>
      <c r="E947" t="s">
        <v>16</v>
      </c>
      <c r="F947" t="s">
        <v>17</v>
      </c>
      <c r="G947" s="14">
        <v>119000</v>
      </c>
      <c r="H947" s="14">
        <v>107000</v>
      </c>
      <c r="I947" t="s">
        <v>22</v>
      </c>
      <c r="J947" t="s">
        <v>22</v>
      </c>
      <c r="K947" t="s">
        <v>5832</v>
      </c>
      <c r="L947" t="s">
        <v>111</v>
      </c>
      <c r="M947" t="s">
        <v>13</v>
      </c>
      <c r="N947">
        <v>2</v>
      </c>
      <c r="O947" t="s">
        <v>547</v>
      </c>
      <c r="P947" t="s">
        <v>276</v>
      </c>
      <c r="Q947" t="s">
        <v>30</v>
      </c>
      <c r="R947" t="str">
        <f>VLOOKUP($O947,'Mapa Oficinas'!$A$7:$C$46,2,FALSE)</f>
        <v>CABA</v>
      </c>
      <c r="S947" t="str">
        <f>VLOOKUP($O947,'Mapa Oficinas'!$A$7:$C$46,3,FALSE)</f>
        <v>Núñez</v>
      </c>
    </row>
    <row r="948" spans="1:19" x14ac:dyDescent="0.2">
      <c r="A948" s="1">
        <v>45839</v>
      </c>
      <c r="B948" t="s">
        <v>5836</v>
      </c>
      <c r="D948" t="s">
        <v>5837</v>
      </c>
      <c r="E948" t="s">
        <v>16</v>
      </c>
      <c r="F948" t="s">
        <v>38</v>
      </c>
      <c r="G948" s="14">
        <v>155000</v>
      </c>
      <c r="H948" s="14">
        <v>129500</v>
      </c>
      <c r="I948" t="s">
        <v>22</v>
      </c>
      <c r="J948" t="s">
        <v>22</v>
      </c>
      <c r="K948" t="s">
        <v>5838</v>
      </c>
      <c r="L948" t="s">
        <v>960</v>
      </c>
      <c r="M948" t="s">
        <v>19</v>
      </c>
      <c r="N948">
        <v>2</v>
      </c>
      <c r="O948" t="s">
        <v>87</v>
      </c>
      <c r="P948" t="s">
        <v>276</v>
      </c>
      <c r="Q948" t="s">
        <v>30</v>
      </c>
      <c r="R948" t="str">
        <f>VLOOKUP($O948,'Mapa Oficinas'!$A$7:$C$46,2,FALSE)</f>
        <v>Zona Norte (GBA)</v>
      </c>
      <c r="S948" t="str">
        <f>VLOOKUP($O948,'Mapa Oficinas'!$A$7:$C$46,3,FALSE)</f>
        <v>Tigre</v>
      </c>
    </row>
    <row r="949" spans="1:19" x14ac:dyDescent="0.2">
      <c r="A949" s="1">
        <v>45839</v>
      </c>
      <c r="B949" t="s">
        <v>5839</v>
      </c>
      <c r="D949" t="s">
        <v>5840</v>
      </c>
      <c r="E949" t="s">
        <v>16</v>
      </c>
      <c r="F949" t="s">
        <v>53</v>
      </c>
      <c r="G949" s="14">
        <v>155000</v>
      </c>
      <c r="H949" s="14">
        <v>144650</v>
      </c>
      <c r="I949" t="s">
        <v>22</v>
      </c>
      <c r="J949" t="s">
        <v>22</v>
      </c>
      <c r="K949" t="s">
        <v>5841</v>
      </c>
      <c r="L949" t="s">
        <v>1249</v>
      </c>
      <c r="M949" t="s">
        <v>28</v>
      </c>
      <c r="N949">
        <v>1</v>
      </c>
      <c r="O949" t="s">
        <v>87</v>
      </c>
      <c r="P949" t="s">
        <v>146</v>
      </c>
      <c r="Q949" t="s">
        <v>30</v>
      </c>
      <c r="R949" t="str">
        <f>VLOOKUP($O949,'Mapa Oficinas'!$A$7:$C$46,2,FALSE)</f>
        <v>Zona Norte (GBA)</v>
      </c>
      <c r="S949" t="str">
        <f>VLOOKUP($O949,'Mapa Oficinas'!$A$7:$C$46,3,FALSE)</f>
        <v>Tigre</v>
      </c>
    </row>
    <row r="950" spans="1:19" x14ac:dyDescent="0.2">
      <c r="A950" s="1">
        <v>45839</v>
      </c>
      <c r="B950" t="s">
        <v>5842</v>
      </c>
      <c r="D950" t="s">
        <v>5843</v>
      </c>
      <c r="E950" t="s">
        <v>16</v>
      </c>
      <c r="F950" t="s">
        <v>17</v>
      </c>
      <c r="G950" s="14">
        <v>180000</v>
      </c>
      <c r="H950" s="14">
        <v>170000</v>
      </c>
      <c r="I950" t="s">
        <v>22</v>
      </c>
      <c r="J950" t="s">
        <v>22</v>
      </c>
      <c r="K950" t="s">
        <v>5844</v>
      </c>
      <c r="L950" t="s">
        <v>503</v>
      </c>
      <c r="M950" t="s">
        <v>19</v>
      </c>
      <c r="N950">
        <v>2</v>
      </c>
      <c r="O950" t="s">
        <v>20</v>
      </c>
      <c r="P950" t="s">
        <v>21</v>
      </c>
      <c r="Q950" t="s">
        <v>30</v>
      </c>
      <c r="R950" t="str">
        <f>VLOOKUP($O950,'Mapa Oficinas'!$A$7:$C$46,2,FALSE)</f>
        <v>CABA</v>
      </c>
      <c r="S950" t="str">
        <f>VLOOKUP($O950,'Mapa Oficinas'!$A$7:$C$46,3,FALSE)</f>
        <v>Palermo</v>
      </c>
    </row>
    <row r="951" spans="1:19" x14ac:dyDescent="0.2">
      <c r="A951" s="1">
        <v>45839</v>
      </c>
      <c r="B951" t="s">
        <v>5833</v>
      </c>
      <c r="D951" t="s">
        <v>5834</v>
      </c>
      <c r="E951" t="s">
        <v>16</v>
      </c>
      <c r="F951" t="s">
        <v>17</v>
      </c>
      <c r="G951" s="14">
        <v>249000</v>
      </c>
      <c r="H951" s="14">
        <v>249000</v>
      </c>
      <c r="I951" t="s">
        <v>22</v>
      </c>
      <c r="J951" t="s">
        <v>22</v>
      </c>
      <c r="K951" t="s">
        <v>5835</v>
      </c>
      <c r="L951" t="s">
        <v>4622</v>
      </c>
      <c r="M951" t="s">
        <v>28</v>
      </c>
      <c r="N951">
        <v>2</v>
      </c>
      <c r="O951" t="s">
        <v>103</v>
      </c>
      <c r="P951" t="s">
        <v>276</v>
      </c>
      <c r="Q951" t="s">
        <v>30</v>
      </c>
      <c r="R951" t="str">
        <f>VLOOKUP($O951,'Mapa Oficinas'!$A$7:$C$46,2,FALSE)</f>
        <v>CABA</v>
      </c>
      <c r="S951" t="str">
        <f>VLOOKUP($O951,'Mapa Oficinas'!$A$7:$C$46,3,FALSE)</f>
        <v>Barrio Parque</v>
      </c>
    </row>
    <row r="952" spans="1:19" x14ac:dyDescent="0.2">
      <c r="A952" s="1">
        <v>45840</v>
      </c>
      <c r="B952" t="s">
        <v>5813</v>
      </c>
      <c r="D952" t="s">
        <v>5814</v>
      </c>
      <c r="E952" t="s">
        <v>16</v>
      </c>
      <c r="F952" t="s">
        <v>58</v>
      </c>
      <c r="G952" s="14">
        <v>50000</v>
      </c>
      <c r="H952" s="14">
        <v>45000</v>
      </c>
      <c r="I952" t="s">
        <v>22</v>
      </c>
      <c r="J952" t="s">
        <v>22</v>
      </c>
      <c r="K952" t="s">
        <v>5815</v>
      </c>
      <c r="L952" t="s">
        <v>181</v>
      </c>
      <c r="M952" t="s">
        <v>97</v>
      </c>
      <c r="N952">
        <v>2</v>
      </c>
      <c r="O952" t="s">
        <v>65</v>
      </c>
      <c r="P952" t="s">
        <v>21</v>
      </c>
      <c r="Q952" t="s">
        <v>30</v>
      </c>
      <c r="R952" t="str">
        <f>VLOOKUP($O952,'Mapa Oficinas'!$A$7:$C$46,2,FALSE)</f>
        <v>Interior - Mendoza</v>
      </c>
      <c r="S952" t="str">
        <f>VLOOKUP($O952,'Mapa Oficinas'!$A$7:$C$46,3,FALSE)</f>
        <v>Capital Mendoza</v>
      </c>
    </row>
    <row r="953" spans="1:19" x14ac:dyDescent="0.2">
      <c r="A953" s="1">
        <v>45840</v>
      </c>
      <c r="B953" t="s">
        <v>5806</v>
      </c>
      <c r="D953" t="s">
        <v>5807</v>
      </c>
      <c r="E953" t="s">
        <v>16</v>
      </c>
      <c r="F953" t="s">
        <v>17</v>
      </c>
      <c r="G953" s="14">
        <v>54000</v>
      </c>
      <c r="H953" s="14">
        <v>48500</v>
      </c>
      <c r="I953" t="s">
        <v>22</v>
      </c>
      <c r="J953" t="s">
        <v>22</v>
      </c>
      <c r="K953" t="s">
        <v>5808</v>
      </c>
      <c r="L953" t="s">
        <v>5809</v>
      </c>
      <c r="M953" t="s">
        <v>72</v>
      </c>
      <c r="N953">
        <v>2</v>
      </c>
      <c r="O953" t="s">
        <v>227</v>
      </c>
      <c r="P953" t="s">
        <v>21</v>
      </c>
      <c r="Q953" t="s">
        <v>30</v>
      </c>
      <c r="R953" t="str">
        <f>VLOOKUP($O953,'Mapa Oficinas'!$A$7:$C$46,2,FALSE)</f>
        <v>Zona Oeste (GBA)</v>
      </c>
      <c r="S953" t="str">
        <f>VLOOKUP($O953,'Mapa Oficinas'!$A$7:$C$46,3,FALSE)</f>
        <v>Parque Leloir</v>
      </c>
    </row>
    <row r="954" spans="1:19" x14ac:dyDescent="0.2">
      <c r="A954" s="1">
        <v>45840</v>
      </c>
      <c r="B954" t="s">
        <v>5822</v>
      </c>
      <c r="D954" t="s">
        <v>5823</v>
      </c>
      <c r="E954" t="s">
        <v>16</v>
      </c>
      <c r="F954" t="s">
        <v>38</v>
      </c>
      <c r="G954" s="14">
        <v>82000</v>
      </c>
      <c r="H954" s="14">
        <v>80000</v>
      </c>
      <c r="I954" t="s">
        <v>22</v>
      </c>
      <c r="J954" t="s">
        <v>22</v>
      </c>
      <c r="K954" t="s">
        <v>5824</v>
      </c>
      <c r="L954" t="s">
        <v>5825</v>
      </c>
      <c r="M954" t="s">
        <v>19</v>
      </c>
      <c r="N954">
        <v>2</v>
      </c>
      <c r="O954" t="s">
        <v>55</v>
      </c>
      <c r="P954" t="s">
        <v>21</v>
      </c>
      <c r="Q954" t="s">
        <v>30</v>
      </c>
      <c r="R954" t="str">
        <f>VLOOKUP($O954,'Mapa Oficinas'!$A$7:$C$46,2,FALSE)</f>
        <v>Interior - Santa Fe</v>
      </c>
      <c r="S954" t="str">
        <f>VLOOKUP($O954,'Mapa Oficinas'!$A$7:$C$46,3,FALSE)</f>
        <v>Capital Santa Fe</v>
      </c>
    </row>
    <row r="955" spans="1:19" x14ac:dyDescent="0.2">
      <c r="A955" s="1">
        <v>45840</v>
      </c>
      <c r="B955" t="s">
        <v>5816</v>
      </c>
      <c r="D955" t="s">
        <v>5817</v>
      </c>
      <c r="E955" t="s">
        <v>16</v>
      </c>
      <c r="F955" t="s">
        <v>17</v>
      </c>
      <c r="G955" s="14">
        <v>94000</v>
      </c>
      <c r="H955" s="14">
        <v>90000</v>
      </c>
      <c r="I955" t="s">
        <v>22</v>
      </c>
      <c r="J955" t="s">
        <v>22</v>
      </c>
      <c r="K955" t="s">
        <v>5818</v>
      </c>
      <c r="L955" t="s">
        <v>717</v>
      </c>
      <c r="M955" t="s">
        <v>19</v>
      </c>
      <c r="N955">
        <v>2</v>
      </c>
      <c r="O955" t="s">
        <v>201</v>
      </c>
      <c r="P955" t="s">
        <v>276</v>
      </c>
      <c r="Q955" t="s">
        <v>30</v>
      </c>
      <c r="R955" t="str">
        <f>VLOOKUP($O955,'Mapa Oficinas'!$A$7:$C$46,2,FALSE)</f>
        <v>CABA</v>
      </c>
      <c r="S955" t="str">
        <f>VLOOKUP($O955,'Mapa Oficinas'!$A$7:$C$46,3,FALSE)</f>
        <v>Recoleta</v>
      </c>
    </row>
    <row r="956" spans="1:19" x14ac:dyDescent="0.2">
      <c r="A956" s="1">
        <v>45840</v>
      </c>
      <c r="B956" t="s">
        <v>5810</v>
      </c>
      <c r="D956" t="s">
        <v>5811</v>
      </c>
      <c r="E956" t="s">
        <v>16</v>
      </c>
      <c r="F956" t="s">
        <v>17</v>
      </c>
      <c r="G956" s="14">
        <v>170000</v>
      </c>
      <c r="H956" s="14">
        <v>167000</v>
      </c>
      <c r="I956" t="s">
        <v>22</v>
      </c>
      <c r="J956" t="s">
        <v>22</v>
      </c>
      <c r="K956" t="s">
        <v>5812</v>
      </c>
      <c r="L956" t="s">
        <v>1198</v>
      </c>
      <c r="M956" t="s">
        <v>19</v>
      </c>
      <c r="N956">
        <v>2</v>
      </c>
      <c r="O956" t="s">
        <v>35</v>
      </c>
      <c r="P956" t="s">
        <v>21</v>
      </c>
      <c r="Q956" t="s">
        <v>30</v>
      </c>
      <c r="R956" t="str">
        <f>VLOOKUP($O956,'Mapa Oficinas'!$A$7:$C$46,2,FALSE)</f>
        <v>Zona Norte (GBA)</v>
      </c>
      <c r="S956" t="str">
        <f>VLOOKUP($O956,'Mapa Oficinas'!$A$7:$C$46,3,FALSE)</f>
        <v>Vicente López</v>
      </c>
    </row>
    <row r="957" spans="1:19" x14ac:dyDescent="0.2">
      <c r="A957" s="1">
        <v>45841</v>
      </c>
      <c r="B957" t="s">
        <v>5797</v>
      </c>
      <c r="D957" t="s">
        <v>5798</v>
      </c>
      <c r="E957" t="s">
        <v>16</v>
      </c>
      <c r="F957" t="s">
        <v>58</v>
      </c>
      <c r="G957" s="14">
        <v>54900</v>
      </c>
      <c r="H957" s="14">
        <v>55000</v>
      </c>
      <c r="I957" t="s">
        <v>22</v>
      </c>
      <c r="J957" t="s">
        <v>22</v>
      </c>
      <c r="K957" t="s">
        <v>5799</v>
      </c>
      <c r="L957" t="s">
        <v>4278</v>
      </c>
      <c r="M957" t="s">
        <v>19</v>
      </c>
      <c r="N957">
        <v>2</v>
      </c>
      <c r="O957" t="s">
        <v>50</v>
      </c>
      <c r="P957" t="s">
        <v>21</v>
      </c>
      <c r="Q957" t="s">
        <v>30</v>
      </c>
      <c r="R957" t="str">
        <f>VLOOKUP($O957,'Mapa Oficinas'!$A$7:$C$46,2,FALSE)</f>
        <v>CABA</v>
      </c>
      <c r="S957" t="str">
        <f>VLOOKUP($O957,'Mapa Oficinas'!$A$7:$C$46,3,FALSE)</f>
        <v>Villa Urquiza</v>
      </c>
    </row>
    <row r="958" spans="1:19" x14ac:dyDescent="0.2">
      <c r="A958" s="1">
        <v>45841</v>
      </c>
      <c r="B958" t="s">
        <v>5775</v>
      </c>
      <c r="D958" t="s">
        <v>5776</v>
      </c>
      <c r="E958" t="s">
        <v>16</v>
      </c>
      <c r="F958" t="s">
        <v>17</v>
      </c>
      <c r="G958" s="14">
        <v>60000</v>
      </c>
      <c r="H958" s="14">
        <v>55000</v>
      </c>
      <c r="I958" t="s">
        <v>22</v>
      </c>
      <c r="J958" t="s">
        <v>22</v>
      </c>
      <c r="K958" t="s">
        <v>5777</v>
      </c>
      <c r="L958" t="s">
        <v>2686</v>
      </c>
      <c r="M958" t="s">
        <v>13</v>
      </c>
      <c r="N958">
        <v>2</v>
      </c>
      <c r="O958" t="s">
        <v>65</v>
      </c>
      <c r="P958" t="s">
        <v>21</v>
      </c>
      <c r="Q958" t="s">
        <v>30</v>
      </c>
      <c r="R958" t="str">
        <f>VLOOKUP($O958,'Mapa Oficinas'!$A$7:$C$46,2,FALSE)</f>
        <v>Interior - Mendoza</v>
      </c>
      <c r="S958" t="str">
        <f>VLOOKUP($O958,'Mapa Oficinas'!$A$7:$C$46,3,FALSE)</f>
        <v>Capital Mendoza</v>
      </c>
    </row>
    <row r="959" spans="1:19" x14ac:dyDescent="0.2">
      <c r="A959" s="1">
        <v>45841</v>
      </c>
      <c r="B959" t="s">
        <v>5791</v>
      </c>
      <c r="D959" t="s">
        <v>5792</v>
      </c>
      <c r="E959" t="s">
        <v>16</v>
      </c>
      <c r="F959" t="s">
        <v>17</v>
      </c>
      <c r="G959" s="14">
        <v>65000</v>
      </c>
      <c r="H959" s="14">
        <v>57000</v>
      </c>
      <c r="I959" t="s">
        <v>22</v>
      </c>
      <c r="J959" t="s">
        <v>22</v>
      </c>
      <c r="K959" t="s">
        <v>5793</v>
      </c>
      <c r="L959" t="s">
        <v>1849</v>
      </c>
      <c r="M959" t="s">
        <v>19</v>
      </c>
      <c r="N959">
        <v>2</v>
      </c>
      <c r="O959" t="s">
        <v>50</v>
      </c>
      <c r="P959" t="s">
        <v>41</v>
      </c>
      <c r="Q959" t="s">
        <v>30</v>
      </c>
      <c r="R959" t="str">
        <f>VLOOKUP($O959,'Mapa Oficinas'!$A$7:$C$46,2,FALSE)</f>
        <v>CABA</v>
      </c>
      <c r="S959" t="str">
        <f>VLOOKUP($O959,'Mapa Oficinas'!$A$7:$C$46,3,FALSE)</f>
        <v>Villa Urquiza</v>
      </c>
    </row>
    <row r="960" spans="1:19" x14ac:dyDescent="0.2">
      <c r="A960" s="1">
        <v>45841</v>
      </c>
      <c r="B960" t="s">
        <v>5785</v>
      </c>
      <c r="D960" t="s">
        <v>5786</v>
      </c>
      <c r="E960" t="s">
        <v>16</v>
      </c>
      <c r="F960" t="s">
        <v>17</v>
      </c>
      <c r="G960" s="14">
        <v>62000</v>
      </c>
      <c r="H960" s="14">
        <v>60000</v>
      </c>
      <c r="I960" t="s">
        <v>22</v>
      </c>
      <c r="J960" t="s">
        <v>22</v>
      </c>
      <c r="K960" t="s">
        <v>5787</v>
      </c>
      <c r="L960" t="s">
        <v>71</v>
      </c>
      <c r="M960" t="s">
        <v>19</v>
      </c>
      <c r="N960">
        <v>2</v>
      </c>
      <c r="O960" t="s">
        <v>35</v>
      </c>
      <c r="P960" t="s">
        <v>21</v>
      </c>
      <c r="Q960" t="s">
        <v>30</v>
      </c>
      <c r="R960" t="str">
        <f>VLOOKUP($O960,'Mapa Oficinas'!$A$7:$C$46,2,FALSE)</f>
        <v>Zona Norte (GBA)</v>
      </c>
      <c r="S960" t="str">
        <f>VLOOKUP($O960,'Mapa Oficinas'!$A$7:$C$46,3,FALSE)</f>
        <v>Vicente López</v>
      </c>
    </row>
    <row r="961" spans="1:19" x14ac:dyDescent="0.2">
      <c r="A961" s="1">
        <v>45841</v>
      </c>
      <c r="B961" t="s">
        <v>5803</v>
      </c>
      <c r="D961" t="s">
        <v>5804</v>
      </c>
      <c r="E961" t="s">
        <v>16</v>
      </c>
      <c r="F961" t="s">
        <v>17</v>
      </c>
      <c r="G961" s="14">
        <v>65000</v>
      </c>
      <c r="H961" s="14">
        <v>65000</v>
      </c>
      <c r="I961" t="s">
        <v>22</v>
      </c>
      <c r="J961" t="s">
        <v>22</v>
      </c>
      <c r="K961" t="s">
        <v>5805</v>
      </c>
      <c r="L961" t="s">
        <v>313</v>
      </c>
      <c r="M961" t="s">
        <v>28</v>
      </c>
      <c r="N961">
        <v>2</v>
      </c>
      <c r="O961" t="s">
        <v>213</v>
      </c>
      <c r="P961" t="s">
        <v>41</v>
      </c>
      <c r="Q961" t="s">
        <v>30</v>
      </c>
      <c r="R961" t="str">
        <f>VLOOKUP($O961,'Mapa Oficinas'!$A$7:$C$46,2,FALSE)</f>
        <v>Interior - Mendoza</v>
      </c>
      <c r="S961" t="str">
        <f>VLOOKUP($O961,'Mapa Oficinas'!$A$7:$C$46,3,FALSE)</f>
        <v>San Rafael</v>
      </c>
    </row>
    <row r="962" spans="1:19" x14ac:dyDescent="0.2">
      <c r="A962" s="1">
        <v>45841</v>
      </c>
      <c r="B962" t="s">
        <v>5794</v>
      </c>
      <c r="D962" t="s">
        <v>5795</v>
      </c>
      <c r="E962" t="s">
        <v>16</v>
      </c>
      <c r="F962" t="s">
        <v>47</v>
      </c>
      <c r="G962" s="14">
        <v>110000</v>
      </c>
      <c r="H962" s="14">
        <v>104280</v>
      </c>
      <c r="I962" t="s">
        <v>22</v>
      </c>
      <c r="J962" t="s">
        <v>22</v>
      </c>
      <c r="K962" t="s">
        <v>5796</v>
      </c>
      <c r="L962" t="s">
        <v>569</v>
      </c>
      <c r="M962" t="s">
        <v>19</v>
      </c>
      <c r="N962">
        <v>2</v>
      </c>
      <c r="O962" t="s">
        <v>50</v>
      </c>
      <c r="P962" t="s">
        <v>21</v>
      </c>
      <c r="Q962" t="s">
        <v>30</v>
      </c>
      <c r="R962" t="str">
        <f>VLOOKUP($O962,'Mapa Oficinas'!$A$7:$C$46,2,FALSE)</f>
        <v>CABA</v>
      </c>
      <c r="S962" t="str">
        <f>VLOOKUP($O962,'Mapa Oficinas'!$A$7:$C$46,3,FALSE)</f>
        <v>Villa Urquiza</v>
      </c>
    </row>
    <row r="963" spans="1:19" x14ac:dyDescent="0.2">
      <c r="A963" s="1">
        <v>45841</v>
      </c>
      <c r="B963" t="s">
        <v>5800</v>
      </c>
      <c r="D963" t="s">
        <v>5801</v>
      </c>
      <c r="E963" t="s">
        <v>16</v>
      </c>
      <c r="F963" t="s">
        <v>17</v>
      </c>
      <c r="G963" s="14">
        <v>120000</v>
      </c>
      <c r="H963" s="14">
        <v>115000</v>
      </c>
      <c r="I963" t="s">
        <v>22</v>
      </c>
      <c r="J963" t="s">
        <v>22</v>
      </c>
      <c r="K963" t="s">
        <v>5802</v>
      </c>
      <c r="L963" t="s">
        <v>318</v>
      </c>
      <c r="M963" t="s">
        <v>19</v>
      </c>
      <c r="N963">
        <v>2</v>
      </c>
      <c r="O963" t="s">
        <v>73</v>
      </c>
      <c r="P963" t="s">
        <v>41</v>
      </c>
      <c r="Q963" t="s">
        <v>30</v>
      </c>
      <c r="R963" t="str">
        <f>VLOOKUP($O963,'Mapa Oficinas'!$A$7:$C$46,2,FALSE)</f>
        <v>CABA</v>
      </c>
      <c r="S963" t="str">
        <f>VLOOKUP($O963,'Mapa Oficinas'!$A$7:$C$46,3,FALSE)</f>
        <v>Recoleta</v>
      </c>
    </row>
    <row r="964" spans="1:19" x14ac:dyDescent="0.2">
      <c r="A964" s="1">
        <v>45841</v>
      </c>
      <c r="B964" t="s">
        <v>5780</v>
      </c>
      <c r="D964" t="s">
        <v>5781</v>
      </c>
      <c r="E964" t="s">
        <v>16</v>
      </c>
      <c r="F964" t="s">
        <v>17</v>
      </c>
      <c r="G964" s="14">
        <v>125000</v>
      </c>
      <c r="H964" s="14">
        <v>120000</v>
      </c>
      <c r="I964" t="s">
        <v>22</v>
      </c>
      <c r="J964" t="s">
        <v>22</v>
      </c>
      <c r="K964" t="s">
        <v>5782</v>
      </c>
      <c r="L964" t="s">
        <v>318</v>
      </c>
      <c r="M964" t="s">
        <v>19</v>
      </c>
      <c r="N964">
        <v>2</v>
      </c>
      <c r="O964" t="s">
        <v>201</v>
      </c>
      <c r="P964" t="s">
        <v>21</v>
      </c>
      <c r="Q964" t="s">
        <v>30</v>
      </c>
      <c r="R964" t="str">
        <f>VLOOKUP($O964,'Mapa Oficinas'!$A$7:$C$46,2,FALSE)</f>
        <v>CABA</v>
      </c>
      <c r="S964" t="str">
        <f>VLOOKUP($O964,'Mapa Oficinas'!$A$7:$C$46,3,FALSE)</f>
        <v>Recoleta</v>
      </c>
    </row>
    <row r="965" spans="1:19" x14ac:dyDescent="0.2">
      <c r="A965" s="1">
        <v>45841</v>
      </c>
      <c r="B965" t="s">
        <v>5788</v>
      </c>
      <c r="D965" t="s">
        <v>5789</v>
      </c>
      <c r="E965" t="s">
        <v>16</v>
      </c>
      <c r="F965" t="s">
        <v>17</v>
      </c>
      <c r="G965" s="14">
        <v>159000</v>
      </c>
      <c r="H965" s="14">
        <v>159000</v>
      </c>
      <c r="I965" t="s">
        <v>22</v>
      </c>
      <c r="J965" t="s">
        <v>22</v>
      </c>
      <c r="K965" t="s">
        <v>5790</v>
      </c>
      <c r="L965" t="s">
        <v>27</v>
      </c>
      <c r="M965" t="s">
        <v>72</v>
      </c>
      <c r="N965">
        <v>2</v>
      </c>
      <c r="O965" t="s">
        <v>50</v>
      </c>
      <c r="P965" t="s">
        <v>21</v>
      </c>
      <c r="Q965" t="s">
        <v>30</v>
      </c>
      <c r="R965" t="str">
        <f>VLOOKUP($O965,'Mapa Oficinas'!$A$7:$C$46,2,FALSE)</f>
        <v>CABA</v>
      </c>
      <c r="S965" t="str">
        <f>VLOOKUP($O965,'Mapa Oficinas'!$A$7:$C$46,3,FALSE)</f>
        <v>Villa Urquiza</v>
      </c>
    </row>
    <row r="966" spans="1:19" x14ac:dyDescent="0.2">
      <c r="A966" s="1">
        <v>45842</v>
      </c>
      <c r="B966" t="s">
        <v>5749</v>
      </c>
      <c r="D966" t="s">
        <v>5750</v>
      </c>
      <c r="E966" t="s">
        <v>16</v>
      </c>
      <c r="F966" t="s">
        <v>38</v>
      </c>
      <c r="G966" s="14">
        <v>55000</v>
      </c>
      <c r="H966" s="14">
        <v>51000</v>
      </c>
      <c r="I966" t="s">
        <v>22</v>
      </c>
      <c r="J966" t="s">
        <v>22</v>
      </c>
      <c r="K966" t="s">
        <v>5751</v>
      </c>
      <c r="L966" t="s">
        <v>5752</v>
      </c>
      <c r="M966" t="s">
        <v>19</v>
      </c>
      <c r="N966">
        <v>1</v>
      </c>
      <c r="O966" t="s">
        <v>171</v>
      </c>
      <c r="P966" t="s">
        <v>146</v>
      </c>
      <c r="Q966" t="s">
        <v>30</v>
      </c>
      <c r="R966" t="str">
        <f>VLOOKUP($O966,'Mapa Oficinas'!$A$7:$C$46,2,FALSE)</f>
        <v>Zona Sur (GBA)</v>
      </c>
      <c r="S966" t="str">
        <f>VLOOKUP($O966,'Mapa Oficinas'!$A$7:$C$46,3,FALSE)</f>
        <v>La Plata</v>
      </c>
    </row>
    <row r="967" spans="1:19" x14ac:dyDescent="0.2">
      <c r="A967" s="1">
        <v>45842</v>
      </c>
      <c r="D967" t="s">
        <v>5773</v>
      </c>
      <c r="E967" t="s">
        <v>16</v>
      </c>
      <c r="F967" t="s">
        <v>47</v>
      </c>
      <c r="G967" s="14">
        <v>52000</v>
      </c>
      <c r="H967" s="14">
        <v>63000</v>
      </c>
      <c r="I967" t="s">
        <v>22</v>
      </c>
      <c r="J967" t="s">
        <v>22</v>
      </c>
      <c r="K967" t="s">
        <v>5773</v>
      </c>
      <c r="L967" t="s">
        <v>5774</v>
      </c>
      <c r="N967">
        <v>2</v>
      </c>
      <c r="O967" t="s">
        <v>98</v>
      </c>
      <c r="P967" t="s">
        <v>44</v>
      </c>
      <c r="Q967" t="s">
        <v>30</v>
      </c>
      <c r="R967" t="str">
        <f>VLOOKUP($O967,'Mapa Oficinas'!$A$7:$C$46,2,FALSE)</f>
        <v>Interior - Neuquén</v>
      </c>
      <c r="S967" t="str">
        <f>VLOOKUP($O967,'Mapa Oficinas'!$A$7:$C$46,3,FALSE)</f>
        <v>Villa La Angostura</v>
      </c>
    </row>
    <row r="968" spans="1:19" x14ac:dyDescent="0.2">
      <c r="A968" s="1">
        <v>45842</v>
      </c>
      <c r="B968" t="s">
        <v>5743</v>
      </c>
      <c r="D968" t="s">
        <v>5744</v>
      </c>
      <c r="E968" t="s">
        <v>16</v>
      </c>
      <c r="F968" t="s">
        <v>17</v>
      </c>
      <c r="G968" s="14">
        <v>72000</v>
      </c>
      <c r="H968" s="14">
        <v>65000</v>
      </c>
      <c r="I968" t="s">
        <v>22</v>
      </c>
      <c r="J968" t="s">
        <v>22</v>
      </c>
      <c r="K968" t="s">
        <v>5745</v>
      </c>
      <c r="L968" t="s">
        <v>5746</v>
      </c>
      <c r="M968" t="s">
        <v>19</v>
      </c>
      <c r="N968">
        <v>2</v>
      </c>
      <c r="O968" t="s">
        <v>35</v>
      </c>
      <c r="P968" t="s">
        <v>21</v>
      </c>
      <c r="Q968" t="s">
        <v>30</v>
      </c>
      <c r="R968" t="str">
        <f>VLOOKUP($O968,'Mapa Oficinas'!$A$7:$C$46,2,FALSE)</f>
        <v>Zona Norte (GBA)</v>
      </c>
      <c r="S968" t="str">
        <f>VLOOKUP($O968,'Mapa Oficinas'!$A$7:$C$46,3,FALSE)</f>
        <v>Vicente López</v>
      </c>
    </row>
    <row r="969" spans="1:19" x14ac:dyDescent="0.2">
      <c r="A969" s="1">
        <v>45842</v>
      </c>
      <c r="B969" t="s">
        <v>5755</v>
      </c>
      <c r="D969" t="s">
        <v>5756</v>
      </c>
      <c r="E969" t="s">
        <v>16</v>
      </c>
      <c r="F969" t="s">
        <v>17</v>
      </c>
      <c r="G969" s="14">
        <v>77000</v>
      </c>
      <c r="H969" s="14">
        <v>69000</v>
      </c>
      <c r="I969" t="s">
        <v>22</v>
      </c>
      <c r="J969" t="s">
        <v>22</v>
      </c>
      <c r="K969" t="s">
        <v>5757</v>
      </c>
      <c r="L969" t="s">
        <v>318</v>
      </c>
      <c r="M969" t="s">
        <v>19</v>
      </c>
      <c r="N969">
        <v>2</v>
      </c>
      <c r="O969" t="s">
        <v>227</v>
      </c>
      <c r="P969" t="s">
        <v>21</v>
      </c>
      <c r="Q969" t="s">
        <v>30</v>
      </c>
      <c r="R969" t="str">
        <f>VLOOKUP($O969,'Mapa Oficinas'!$A$7:$C$46,2,FALSE)</f>
        <v>Zona Oeste (GBA)</v>
      </c>
      <c r="S969" t="str">
        <f>VLOOKUP($O969,'Mapa Oficinas'!$A$7:$C$46,3,FALSE)</f>
        <v>Parque Leloir</v>
      </c>
    </row>
    <row r="970" spans="1:19" x14ac:dyDescent="0.2">
      <c r="A970" s="1">
        <v>45842</v>
      </c>
      <c r="B970" t="s">
        <v>5738</v>
      </c>
      <c r="D970" t="s">
        <v>5474</v>
      </c>
      <c r="E970" t="s">
        <v>16</v>
      </c>
      <c r="F970" t="s">
        <v>17</v>
      </c>
      <c r="G970" s="14">
        <v>88000</v>
      </c>
      <c r="H970" s="14">
        <v>88000</v>
      </c>
      <c r="I970" t="s">
        <v>22</v>
      </c>
      <c r="J970" t="s">
        <v>22</v>
      </c>
      <c r="K970" t="s">
        <v>5739</v>
      </c>
      <c r="L970" t="s">
        <v>191</v>
      </c>
      <c r="M970" t="s">
        <v>19</v>
      </c>
      <c r="N970">
        <v>1</v>
      </c>
      <c r="O970" t="s">
        <v>73</v>
      </c>
      <c r="P970" t="s">
        <v>146</v>
      </c>
      <c r="Q970" t="s">
        <v>30</v>
      </c>
      <c r="R970" t="str">
        <f>VLOOKUP($O970,'Mapa Oficinas'!$A$7:$C$46,2,FALSE)</f>
        <v>CABA</v>
      </c>
      <c r="S970" t="str">
        <f>VLOOKUP($O970,'Mapa Oficinas'!$A$7:$C$46,3,FALSE)</f>
        <v>Recoleta</v>
      </c>
    </row>
    <row r="971" spans="1:19" x14ac:dyDescent="0.2">
      <c r="A971" s="1">
        <v>45842</v>
      </c>
      <c r="B971" t="s">
        <v>5764</v>
      </c>
      <c r="D971" t="s">
        <v>5765</v>
      </c>
      <c r="E971" t="s">
        <v>16</v>
      </c>
      <c r="F971" t="s">
        <v>17</v>
      </c>
      <c r="G971" s="14">
        <v>120000</v>
      </c>
      <c r="H971" s="14">
        <v>111500</v>
      </c>
      <c r="I971" t="s">
        <v>22</v>
      </c>
      <c r="J971" t="s">
        <v>22</v>
      </c>
      <c r="K971" t="s">
        <v>5766</v>
      </c>
      <c r="L971" t="s">
        <v>933</v>
      </c>
      <c r="M971" t="s">
        <v>19</v>
      </c>
      <c r="N971">
        <v>2</v>
      </c>
      <c r="O971" t="s">
        <v>103</v>
      </c>
      <c r="P971" t="s">
        <v>21</v>
      </c>
      <c r="Q971" t="s">
        <v>30</v>
      </c>
      <c r="R971" t="str">
        <f>VLOOKUP($O971,'Mapa Oficinas'!$A$7:$C$46,2,FALSE)</f>
        <v>CABA</v>
      </c>
      <c r="S971" t="str">
        <f>VLOOKUP($O971,'Mapa Oficinas'!$A$7:$C$46,3,FALSE)</f>
        <v>Barrio Parque</v>
      </c>
    </row>
    <row r="972" spans="1:19" x14ac:dyDescent="0.2">
      <c r="A972" s="1">
        <v>45842</v>
      </c>
      <c r="B972" t="s">
        <v>5758</v>
      </c>
      <c r="D972" t="s">
        <v>5759</v>
      </c>
      <c r="E972" t="s">
        <v>16</v>
      </c>
      <c r="F972" t="s">
        <v>17</v>
      </c>
      <c r="G972" s="14">
        <v>120000</v>
      </c>
      <c r="H972" s="14">
        <v>119000</v>
      </c>
      <c r="I972" t="s">
        <v>22</v>
      </c>
      <c r="J972" t="s">
        <v>22</v>
      </c>
      <c r="K972" t="s">
        <v>5760</v>
      </c>
      <c r="L972" t="s">
        <v>330</v>
      </c>
      <c r="M972" t="s">
        <v>19</v>
      </c>
      <c r="N972">
        <v>2</v>
      </c>
      <c r="O972" t="s">
        <v>35</v>
      </c>
      <c r="P972" t="s">
        <v>21</v>
      </c>
      <c r="Q972" t="s">
        <v>30</v>
      </c>
      <c r="R972" t="str">
        <f>VLOOKUP($O972,'Mapa Oficinas'!$A$7:$C$46,2,FALSE)</f>
        <v>Zona Norte (GBA)</v>
      </c>
      <c r="S972" t="str">
        <f>VLOOKUP($O972,'Mapa Oficinas'!$A$7:$C$46,3,FALSE)</f>
        <v>Vicente López</v>
      </c>
    </row>
    <row r="973" spans="1:19" x14ac:dyDescent="0.2">
      <c r="A973" s="1">
        <v>45842</v>
      </c>
      <c r="B973" t="s">
        <v>5767</v>
      </c>
      <c r="D973" t="s">
        <v>5768</v>
      </c>
      <c r="E973" t="s">
        <v>16</v>
      </c>
      <c r="F973" t="s">
        <v>17</v>
      </c>
      <c r="G973" s="14">
        <v>140000</v>
      </c>
      <c r="H973" s="14">
        <v>130000</v>
      </c>
      <c r="I973" t="s">
        <v>22</v>
      </c>
      <c r="J973" t="s">
        <v>22</v>
      </c>
      <c r="K973" t="s">
        <v>5769</v>
      </c>
      <c r="L973" t="s">
        <v>2298</v>
      </c>
      <c r="M973" t="s">
        <v>309</v>
      </c>
      <c r="N973">
        <v>2</v>
      </c>
      <c r="O973" t="s">
        <v>213</v>
      </c>
      <c r="P973" t="s">
        <v>41</v>
      </c>
      <c r="Q973" t="s">
        <v>30</v>
      </c>
      <c r="R973" t="str">
        <f>VLOOKUP($O973,'Mapa Oficinas'!$A$7:$C$46,2,FALSE)</f>
        <v>Interior - Mendoza</v>
      </c>
      <c r="S973" t="str">
        <f>VLOOKUP($O973,'Mapa Oficinas'!$A$7:$C$46,3,FALSE)</f>
        <v>San Rafael</v>
      </c>
    </row>
    <row r="974" spans="1:19" x14ac:dyDescent="0.2">
      <c r="A974" s="1">
        <v>45842</v>
      </c>
      <c r="B974" t="s">
        <v>1217</v>
      </c>
      <c r="D974" t="s">
        <v>5241</v>
      </c>
      <c r="E974" t="s">
        <v>16</v>
      </c>
      <c r="F974" t="s">
        <v>82</v>
      </c>
      <c r="G974" s="14">
        <v>175000</v>
      </c>
      <c r="H974" s="14">
        <v>180000</v>
      </c>
      <c r="I974" t="s">
        <v>22</v>
      </c>
      <c r="J974" t="s">
        <v>22</v>
      </c>
      <c r="K974" t="s">
        <v>5242</v>
      </c>
      <c r="L974" t="s">
        <v>88</v>
      </c>
      <c r="M974" t="s">
        <v>19</v>
      </c>
      <c r="N974">
        <v>2</v>
      </c>
      <c r="O974" t="s">
        <v>40</v>
      </c>
      <c r="P974" t="s">
        <v>44</v>
      </c>
      <c r="Q974" t="s">
        <v>30</v>
      </c>
      <c r="R974" t="str">
        <f>VLOOKUP($O974,'Mapa Oficinas'!$A$7:$C$46,2,FALSE)</f>
        <v>Zona Norte (GBA)</v>
      </c>
      <c r="S974" t="str">
        <f>VLOOKUP($O974,'Mapa Oficinas'!$A$7:$C$46,3,FALSE)</f>
        <v>Pilar</v>
      </c>
    </row>
    <row r="975" spans="1:19" x14ac:dyDescent="0.2">
      <c r="A975" s="1">
        <v>45842</v>
      </c>
      <c r="B975" t="s">
        <v>5740</v>
      </c>
      <c r="D975" t="s">
        <v>5741</v>
      </c>
      <c r="E975" t="s">
        <v>16</v>
      </c>
      <c r="F975" t="s">
        <v>17</v>
      </c>
      <c r="G975" s="14">
        <v>235000</v>
      </c>
      <c r="H975" s="14">
        <v>235000</v>
      </c>
      <c r="I975" t="s">
        <v>22</v>
      </c>
      <c r="J975" t="s">
        <v>22</v>
      </c>
      <c r="K975" t="s">
        <v>5742</v>
      </c>
      <c r="L975" t="s">
        <v>79</v>
      </c>
      <c r="M975" t="s">
        <v>19</v>
      </c>
      <c r="N975">
        <v>2</v>
      </c>
      <c r="O975" t="s">
        <v>35</v>
      </c>
      <c r="P975" t="s">
        <v>21</v>
      </c>
      <c r="Q975" t="s">
        <v>30</v>
      </c>
      <c r="R975" t="str">
        <f>VLOOKUP($O975,'Mapa Oficinas'!$A$7:$C$46,2,FALSE)</f>
        <v>Zona Norte (GBA)</v>
      </c>
      <c r="S975" t="str">
        <f>VLOOKUP($O975,'Mapa Oficinas'!$A$7:$C$46,3,FALSE)</f>
        <v>Vicente López</v>
      </c>
    </row>
    <row r="976" spans="1:19" x14ac:dyDescent="0.2">
      <c r="A976" s="1">
        <v>45842</v>
      </c>
      <c r="B976" t="s">
        <v>5761</v>
      </c>
      <c r="D976" t="s">
        <v>5762</v>
      </c>
      <c r="E976" t="s">
        <v>16</v>
      </c>
      <c r="F976" t="s">
        <v>17</v>
      </c>
      <c r="G976" s="14">
        <v>259000</v>
      </c>
      <c r="H976" s="14">
        <v>250000</v>
      </c>
      <c r="I976" t="s">
        <v>22</v>
      </c>
      <c r="J976" t="s">
        <v>22</v>
      </c>
      <c r="K976" t="s">
        <v>5763</v>
      </c>
      <c r="L976" t="s">
        <v>282</v>
      </c>
      <c r="M976" t="s">
        <v>19</v>
      </c>
      <c r="N976">
        <v>2</v>
      </c>
      <c r="O976" t="s">
        <v>35</v>
      </c>
      <c r="P976" t="s">
        <v>21</v>
      </c>
      <c r="Q976" t="s">
        <v>30</v>
      </c>
      <c r="R976" t="str">
        <f>VLOOKUP($O976,'Mapa Oficinas'!$A$7:$C$46,2,FALSE)</f>
        <v>Zona Norte (GBA)</v>
      </c>
      <c r="S976" t="str">
        <f>VLOOKUP($O976,'Mapa Oficinas'!$A$7:$C$46,3,FALSE)</f>
        <v>Vicente López</v>
      </c>
    </row>
    <row r="977" spans="1:19" x14ac:dyDescent="0.2">
      <c r="A977" s="1">
        <v>45842</v>
      </c>
      <c r="B977" t="s">
        <v>5770</v>
      </c>
      <c r="D977" t="s">
        <v>5771</v>
      </c>
      <c r="E977" t="s">
        <v>16</v>
      </c>
      <c r="F977" t="s">
        <v>17</v>
      </c>
      <c r="G977" s="14">
        <v>750000</v>
      </c>
      <c r="H977" s="14">
        <v>650000</v>
      </c>
      <c r="I977" t="s">
        <v>22</v>
      </c>
      <c r="J977" t="s">
        <v>22</v>
      </c>
      <c r="K977" t="s">
        <v>5772</v>
      </c>
      <c r="L977" t="s">
        <v>191</v>
      </c>
      <c r="M977" t="s">
        <v>19</v>
      </c>
      <c r="N977">
        <v>2</v>
      </c>
      <c r="O977" t="s">
        <v>40</v>
      </c>
      <c r="P977" t="s">
        <v>21</v>
      </c>
      <c r="Q977" t="s">
        <v>30</v>
      </c>
      <c r="R977" t="str">
        <f>VLOOKUP($O977,'Mapa Oficinas'!$A$7:$C$46,2,FALSE)</f>
        <v>Zona Norte (GBA)</v>
      </c>
      <c r="S977" t="str">
        <f>VLOOKUP($O977,'Mapa Oficinas'!$A$7:$C$46,3,FALSE)</f>
        <v>Pilar</v>
      </c>
    </row>
    <row r="978" spans="1:19" x14ac:dyDescent="0.2">
      <c r="A978" s="1">
        <v>45845</v>
      </c>
      <c r="B978" t="s">
        <v>5730</v>
      </c>
      <c r="D978" t="s">
        <v>5731</v>
      </c>
      <c r="E978" t="s">
        <v>16</v>
      </c>
      <c r="F978" t="s">
        <v>17</v>
      </c>
      <c r="G978" s="14">
        <v>70000</v>
      </c>
      <c r="H978" s="14">
        <v>63000</v>
      </c>
      <c r="I978" t="s">
        <v>22</v>
      </c>
      <c r="J978" t="s">
        <v>22</v>
      </c>
      <c r="K978" t="s">
        <v>5732</v>
      </c>
      <c r="L978" t="s">
        <v>821</v>
      </c>
      <c r="M978" t="s">
        <v>72</v>
      </c>
      <c r="N978">
        <v>1</v>
      </c>
      <c r="O978" t="s">
        <v>151</v>
      </c>
      <c r="P978" t="s">
        <v>66</v>
      </c>
      <c r="Q978" t="s">
        <v>30</v>
      </c>
      <c r="R978" t="str">
        <f>VLOOKUP($O978,'Mapa Oficinas'!$A$7:$C$46,2,FALSE)</f>
        <v>Interior - Neuquén</v>
      </c>
      <c r="S978" t="str">
        <f>VLOOKUP($O978,'Mapa Oficinas'!$A$7:$C$46,3,FALSE)</f>
        <v>Capital Neuquén</v>
      </c>
    </row>
    <row r="979" spans="1:19" x14ac:dyDescent="0.2">
      <c r="A979" s="1">
        <v>45845</v>
      </c>
      <c r="B979" t="s">
        <v>5734</v>
      </c>
      <c r="D979" t="s">
        <v>5734</v>
      </c>
      <c r="E979" t="s">
        <v>16</v>
      </c>
      <c r="F979" t="s">
        <v>17</v>
      </c>
      <c r="G979" s="14">
        <v>82000</v>
      </c>
      <c r="H979" s="14">
        <v>82000</v>
      </c>
      <c r="I979" t="s">
        <v>22</v>
      </c>
      <c r="J979" t="s">
        <v>22</v>
      </c>
      <c r="L979" t="s">
        <v>189</v>
      </c>
      <c r="M979" t="s">
        <v>28</v>
      </c>
      <c r="N979">
        <v>1</v>
      </c>
      <c r="O979" t="s">
        <v>151</v>
      </c>
      <c r="P979" t="s">
        <v>146</v>
      </c>
      <c r="Q979" t="s">
        <v>30</v>
      </c>
      <c r="R979" t="str">
        <f>VLOOKUP($O979,'Mapa Oficinas'!$A$7:$C$46,2,FALSE)</f>
        <v>Interior - Neuquén</v>
      </c>
      <c r="S979" t="str">
        <f>VLOOKUP($O979,'Mapa Oficinas'!$A$7:$C$46,3,FALSE)</f>
        <v>Capital Neuquén</v>
      </c>
    </row>
    <row r="980" spans="1:19" x14ac:dyDescent="0.2">
      <c r="A980" s="1">
        <v>45845</v>
      </c>
      <c r="B980" t="s">
        <v>5721</v>
      </c>
      <c r="D980" t="s">
        <v>5722</v>
      </c>
      <c r="E980" t="s">
        <v>16</v>
      </c>
      <c r="F980" t="s">
        <v>17</v>
      </c>
      <c r="G980" s="14">
        <v>89000</v>
      </c>
      <c r="H980" s="14">
        <v>87000</v>
      </c>
      <c r="I980" t="s">
        <v>22</v>
      </c>
      <c r="J980" t="s">
        <v>22</v>
      </c>
      <c r="K980" t="s">
        <v>5723</v>
      </c>
      <c r="L980" t="s">
        <v>330</v>
      </c>
      <c r="M980" t="s">
        <v>19</v>
      </c>
      <c r="N980">
        <v>2</v>
      </c>
      <c r="O980" t="s">
        <v>206</v>
      </c>
      <c r="P980" t="s">
        <v>276</v>
      </c>
      <c r="Q980" t="s">
        <v>30</v>
      </c>
      <c r="R980" t="str">
        <f>VLOOKUP($O980,'Mapa Oficinas'!$A$7:$C$46,2,FALSE)</f>
        <v>CABA</v>
      </c>
      <c r="S980" t="str">
        <f>VLOOKUP($O980,'Mapa Oficinas'!$A$7:$C$46,3,FALSE)</f>
        <v>Belgrano</v>
      </c>
    </row>
    <row r="981" spans="1:19" x14ac:dyDescent="0.2">
      <c r="A981" s="1">
        <v>45845</v>
      </c>
      <c r="B981" t="s">
        <v>5733</v>
      </c>
      <c r="D981" t="s">
        <v>5733</v>
      </c>
      <c r="E981" t="s">
        <v>16</v>
      </c>
      <c r="F981" t="s">
        <v>17</v>
      </c>
      <c r="G981" s="14">
        <v>100000</v>
      </c>
      <c r="H981" s="14">
        <v>100000</v>
      </c>
      <c r="I981" t="s">
        <v>22</v>
      </c>
      <c r="J981" t="s">
        <v>22</v>
      </c>
      <c r="L981" t="s">
        <v>189</v>
      </c>
      <c r="M981" t="s">
        <v>28</v>
      </c>
      <c r="N981">
        <v>1</v>
      </c>
      <c r="O981" t="s">
        <v>151</v>
      </c>
      <c r="P981" t="s">
        <v>146</v>
      </c>
      <c r="Q981" t="s">
        <v>30</v>
      </c>
      <c r="R981" t="str">
        <f>VLOOKUP($O981,'Mapa Oficinas'!$A$7:$C$46,2,FALSE)</f>
        <v>Interior - Neuquén</v>
      </c>
      <c r="S981" t="str">
        <f>VLOOKUP($O981,'Mapa Oficinas'!$A$7:$C$46,3,FALSE)</f>
        <v>Capital Neuquén</v>
      </c>
    </row>
    <row r="982" spans="1:19" x14ac:dyDescent="0.2">
      <c r="A982" s="1">
        <v>45845</v>
      </c>
      <c r="B982" t="s">
        <v>5724</v>
      </c>
      <c r="D982" t="s">
        <v>5724</v>
      </c>
      <c r="E982" t="s">
        <v>16</v>
      </c>
      <c r="F982" t="s">
        <v>58</v>
      </c>
      <c r="G982" s="14">
        <v>155000</v>
      </c>
      <c r="H982" s="14">
        <v>155000</v>
      </c>
      <c r="I982" t="s">
        <v>22</v>
      </c>
      <c r="J982" t="s">
        <v>22</v>
      </c>
      <c r="K982" t="s">
        <v>5724</v>
      </c>
      <c r="L982" t="s">
        <v>523</v>
      </c>
      <c r="M982" t="s">
        <v>19</v>
      </c>
      <c r="N982">
        <v>2</v>
      </c>
      <c r="O982" t="s">
        <v>50</v>
      </c>
      <c r="P982" t="s">
        <v>41</v>
      </c>
      <c r="Q982" t="s">
        <v>30</v>
      </c>
      <c r="R982" t="str">
        <f>VLOOKUP($O982,'Mapa Oficinas'!$A$7:$C$46,2,FALSE)</f>
        <v>CABA</v>
      </c>
      <c r="S982" t="str">
        <f>VLOOKUP($O982,'Mapa Oficinas'!$A$7:$C$46,3,FALSE)</f>
        <v>Villa Urquiza</v>
      </c>
    </row>
    <row r="983" spans="1:19" x14ac:dyDescent="0.2">
      <c r="A983" s="1">
        <v>45845</v>
      </c>
      <c r="B983" t="s">
        <v>5735</v>
      </c>
      <c r="D983" t="s">
        <v>5736</v>
      </c>
      <c r="E983" t="s">
        <v>16</v>
      </c>
      <c r="F983" t="s">
        <v>58</v>
      </c>
      <c r="G983" s="14">
        <v>240000</v>
      </c>
      <c r="H983" s="14">
        <v>230000</v>
      </c>
      <c r="I983" t="s">
        <v>22</v>
      </c>
      <c r="J983" t="s">
        <v>22</v>
      </c>
      <c r="K983" t="s">
        <v>5737</v>
      </c>
      <c r="L983" t="s">
        <v>503</v>
      </c>
      <c r="M983" t="s">
        <v>19</v>
      </c>
      <c r="N983">
        <v>2</v>
      </c>
      <c r="O983" t="s">
        <v>50</v>
      </c>
      <c r="P983" t="s">
        <v>41</v>
      </c>
      <c r="Q983" t="s">
        <v>30</v>
      </c>
      <c r="R983" t="str">
        <f>VLOOKUP($O983,'Mapa Oficinas'!$A$7:$C$46,2,FALSE)</f>
        <v>CABA</v>
      </c>
      <c r="S983" t="str">
        <f>VLOOKUP($O983,'Mapa Oficinas'!$A$7:$C$46,3,FALSE)</f>
        <v>Villa Urquiza</v>
      </c>
    </row>
    <row r="984" spans="1:19" x14ac:dyDescent="0.2">
      <c r="A984" s="1">
        <v>45845</v>
      </c>
      <c r="B984" t="s">
        <v>5727</v>
      </c>
      <c r="D984" t="s">
        <v>5728</v>
      </c>
      <c r="E984" t="s">
        <v>16</v>
      </c>
      <c r="F984" t="s">
        <v>82</v>
      </c>
      <c r="G984" s="14">
        <v>240000</v>
      </c>
      <c r="H984" s="14">
        <v>238128</v>
      </c>
      <c r="I984" t="s">
        <v>22</v>
      </c>
      <c r="J984" t="s">
        <v>22</v>
      </c>
      <c r="K984" t="s">
        <v>5729</v>
      </c>
      <c r="L984" t="s">
        <v>960</v>
      </c>
      <c r="M984" t="s">
        <v>19</v>
      </c>
      <c r="N984">
        <v>2</v>
      </c>
      <c r="O984" t="s">
        <v>40</v>
      </c>
      <c r="P984" t="s">
        <v>36</v>
      </c>
      <c r="Q984" t="s">
        <v>30</v>
      </c>
      <c r="R984" t="str">
        <f>VLOOKUP($O984,'Mapa Oficinas'!$A$7:$C$46,2,FALSE)</f>
        <v>Zona Norte (GBA)</v>
      </c>
      <c r="S984" t="str">
        <f>VLOOKUP($O984,'Mapa Oficinas'!$A$7:$C$46,3,FALSE)</f>
        <v>Pilar</v>
      </c>
    </row>
    <row r="985" spans="1:19" x14ac:dyDescent="0.2">
      <c r="A985" s="1">
        <v>45845</v>
      </c>
      <c r="B985">
        <v>7072025</v>
      </c>
      <c r="D985" t="s">
        <v>5725</v>
      </c>
      <c r="E985" t="s">
        <v>16</v>
      </c>
      <c r="F985" t="s">
        <v>134</v>
      </c>
      <c r="G985" s="14">
        <v>262496</v>
      </c>
      <c r="H985" s="14">
        <v>262496</v>
      </c>
      <c r="I985" t="s">
        <v>22</v>
      </c>
      <c r="J985" t="s">
        <v>22</v>
      </c>
      <c r="K985" t="s">
        <v>5726</v>
      </c>
      <c r="L985" t="s">
        <v>129</v>
      </c>
      <c r="M985" t="s">
        <v>19</v>
      </c>
      <c r="N985">
        <v>1</v>
      </c>
      <c r="O985" t="s">
        <v>130</v>
      </c>
      <c r="P985" t="s">
        <v>131</v>
      </c>
      <c r="Q985" t="s">
        <v>30</v>
      </c>
      <c r="R985" t="str">
        <f>VLOOKUP($O985,'Mapa Oficinas'!$A$7:$C$46,2,FALSE)</f>
        <v>Interior - Río Negro</v>
      </c>
      <c r="S985" t="str">
        <f>VLOOKUP($O985,'Mapa Oficinas'!$A$7:$C$46,3,FALSE)</f>
        <v>Bariloche</v>
      </c>
    </row>
    <row r="986" spans="1:19" x14ac:dyDescent="0.2">
      <c r="A986" s="1">
        <v>45846</v>
      </c>
      <c r="B986" t="s">
        <v>5697</v>
      </c>
      <c r="D986" t="s">
        <v>5698</v>
      </c>
      <c r="E986" t="s">
        <v>16</v>
      </c>
      <c r="F986" t="s">
        <v>82</v>
      </c>
      <c r="G986" s="14">
        <v>42000</v>
      </c>
      <c r="H986" s="14">
        <v>42000</v>
      </c>
      <c r="I986" t="s">
        <v>22</v>
      </c>
      <c r="J986" t="s">
        <v>22</v>
      </c>
      <c r="L986" t="s">
        <v>1747</v>
      </c>
      <c r="M986" t="s">
        <v>19</v>
      </c>
      <c r="N986">
        <v>2</v>
      </c>
      <c r="O986" t="s">
        <v>227</v>
      </c>
      <c r="P986" t="s">
        <v>21</v>
      </c>
      <c r="Q986" t="s">
        <v>30</v>
      </c>
      <c r="R986" t="str">
        <f>VLOOKUP($O986,'Mapa Oficinas'!$A$7:$C$46,2,FALSE)</f>
        <v>Zona Oeste (GBA)</v>
      </c>
      <c r="S986" t="str">
        <f>VLOOKUP($O986,'Mapa Oficinas'!$A$7:$C$46,3,FALSE)</f>
        <v>Parque Leloir</v>
      </c>
    </row>
    <row r="987" spans="1:19" x14ac:dyDescent="0.2">
      <c r="A987" s="1">
        <v>45846</v>
      </c>
      <c r="B987" t="s">
        <v>4253</v>
      </c>
      <c r="D987" t="s">
        <v>4254</v>
      </c>
      <c r="E987" t="s">
        <v>16</v>
      </c>
      <c r="F987" t="s">
        <v>17</v>
      </c>
      <c r="G987" s="14">
        <v>44880</v>
      </c>
      <c r="H987" s="14">
        <v>42000</v>
      </c>
      <c r="I987" t="s">
        <v>22</v>
      </c>
      <c r="J987" t="s">
        <v>22</v>
      </c>
      <c r="K987" t="s">
        <v>4255</v>
      </c>
      <c r="L987" t="s">
        <v>4256</v>
      </c>
      <c r="M987" t="s">
        <v>97</v>
      </c>
      <c r="N987">
        <v>2</v>
      </c>
      <c r="O987" t="s">
        <v>142</v>
      </c>
      <c r="P987" t="s">
        <v>41</v>
      </c>
      <c r="Q987" t="s">
        <v>30</v>
      </c>
      <c r="R987" t="str">
        <f>VLOOKUP($O987,'Mapa Oficinas'!$A$7:$C$46,2,FALSE)</f>
        <v>Zona Norte (GBA)</v>
      </c>
      <c r="S987" t="str">
        <f>VLOOKUP($O987,'Mapa Oficinas'!$A$7:$C$46,3,FALSE)</f>
        <v>Nordelta</v>
      </c>
    </row>
    <row r="988" spans="1:19" x14ac:dyDescent="0.2">
      <c r="A988" s="1">
        <v>45846</v>
      </c>
      <c r="B988" t="s">
        <v>5715</v>
      </c>
      <c r="D988" t="s">
        <v>5716</v>
      </c>
      <c r="E988" t="s">
        <v>16</v>
      </c>
      <c r="F988" t="s">
        <v>17</v>
      </c>
      <c r="G988" s="14">
        <v>57000</v>
      </c>
      <c r="H988" s="14">
        <v>56000</v>
      </c>
      <c r="I988" t="s">
        <v>22</v>
      </c>
      <c r="J988" t="s">
        <v>22</v>
      </c>
      <c r="K988" t="s">
        <v>5717</v>
      </c>
      <c r="L988" t="s">
        <v>141</v>
      </c>
      <c r="M988" t="s">
        <v>19</v>
      </c>
      <c r="N988">
        <v>2</v>
      </c>
      <c r="O988" t="s">
        <v>50</v>
      </c>
      <c r="P988" t="s">
        <v>21</v>
      </c>
      <c r="Q988" t="s">
        <v>30</v>
      </c>
      <c r="R988" t="str">
        <f>VLOOKUP($O988,'Mapa Oficinas'!$A$7:$C$46,2,FALSE)</f>
        <v>CABA</v>
      </c>
      <c r="S988" t="str">
        <f>VLOOKUP($O988,'Mapa Oficinas'!$A$7:$C$46,3,FALSE)</f>
        <v>Villa Urquiza</v>
      </c>
    </row>
    <row r="989" spans="1:19" x14ac:dyDescent="0.2">
      <c r="A989" s="1">
        <v>45846</v>
      </c>
      <c r="B989" t="s">
        <v>5711</v>
      </c>
      <c r="D989" t="s">
        <v>5712</v>
      </c>
      <c r="E989" t="s">
        <v>16</v>
      </c>
      <c r="F989" t="s">
        <v>82</v>
      </c>
      <c r="G989" s="14">
        <v>80000</v>
      </c>
      <c r="H989" s="14">
        <v>60000</v>
      </c>
      <c r="I989" t="s">
        <v>22</v>
      </c>
      <c r="J989" t="s">
        <v>22</v>
      </c>
      <c r="K989" t="s">
        <v>5713</v>
      </c>
      <c r="L989" t="s">
        <v>5714</v>
      </c>
      <c r="M989" t="s">
        <v>212</v>
      </c>
      <c r="N989">
        <v>2</v>
      </c>
      <c r="O989" t="s">
        <v>213</v>
      </c>
      <c r="P989" t="s">
        <v>21</v>
      </c>
      <c r="Q989" t="s">
        <v>30</v>
      </c>
      <c r="R989" t="str">
        <f>VLOOKUP($O989,'Mapa Oficinas'!$A$7:$C$46,2,FALSE)</f>
        <v>Interior - Mendoza</v>
      </c>
      <c r="S989" t="str">
        <f>VLOOKUP($O989,'Mapa Oficinas'!$A$7:$C$46,3,FALSE)</f>
        <v>San Rafael</v>
      </c>
    </row>
    <row r="990" spans="1:19" x14ac:dyDescent="0.2">
      <c r="A990" s="1">
        <v>45846</v>
      </c>
      <c r="B990" t="s">
        <v>5703</v>
      </c>
      <c r="D990" t="s">
        <v>5704</v>
      </c>
      <c r="E990" t="s">
        <v>16</v>
      </c>
      <c r="F990" t="s">
        <v>17</v>
      </c>
      <c r="G990" s="14">
        <v>135000</v>
      </c>
      <c r="H990" s="14">
        <v>128500</v>
      </c>
      <c r="I990" t="s">
        <v>22</v>
      </c>
      <c r="J990" t="s">
        <v>22</v>
      </c>
      <c r="K990" t="s">
        <v>3445</v>
      </c>
      <c r="L990" t="s">
        <v>330</v>
      </c>
      <c r="M990" t="s">
        <v>19</v>
      </c>
      <c r="N990">
        <v>2</v>
      </c>
      <c r="O990" t="s">
        <v>103</v>
      </c>
      <c r="P990" t="s">
        <v>21</v>
      </c>
      <c r="Q990" t="s">
        <v>30</v>
      </c>
      <c r="R990" t="str">
        <f>VLOOKUP($O990,'Mapa Oficinas'!$A$7:$C$46,2,FALSE)</f>
        <v>CABA</v>
      </c>
      <c r="S990" t="str">
        <f>VLOOKUP($O990,'Mapa Oficinas'!$A$7:$C$46,3,FALSE)</f>
        <v>Barrio Parque</v>
      </c>
    </row>
    <row r="991" spans="1:19" x14ac:dyDescent="0.2">
      <c r="A991" s="1">
        <v>45846</v>
      </c>
      <c r="B991" t="s">
        <v>5694</v>
      </c>
      <c r="D991" t="s">
        <v>5695</v>
      </c>
      <c r="E991" t="s">
        <v>16</v>
      </c>
      <c r="F991" t="s">
        <v>58</v>
      </c>
      <c r="G991" s="14">
        <v>179900</v>
      </c>
      <c r="H991" s="14">
        <v>170000</v>
      </c>
      <c r="I991" t="s">
        <v>22</v>
      </c>
      <c r="J991" t="s">
        <v>22</v>
      </c>
      <c r="K991" t="s">
        <v>5696</v>
      </c>
      <c r="L991" t="s">
        <v>888</v>
      </c>
      <c r="M991" t="s">
        <v>72</v>
      </c>
      <c r="N991">
        <v>2</v>
      </c>
      <c r="O991" t="s">
        <v>50</v>
      </c>
      <c r="P991" t="s">
        <v>21</v>
      </c>
      <c r="Q991" t="s">
        <v>30</v>
      </c>
      <c r="R991" t="str">
        <f>VLOOKUP($O991,'Mapa Oficinas'!$A$7:$C$46,2,FALSE)</f>
        <v>CABA</v>
      </c>
      <c r="S991" t="str">
        <f>VLOOKUP($O991,'Mapa Oficinas'!$A$7:$C$46,3,FALSE)</f>
        <v>Villa Urquiza</v>
      </c>
    </row>
    <row r="992" spans="1:19" x14ac:dyDescent="0.2">
      <c r="A992" s="1">
        <v>45846</v>
      </c>
      <c r="B992" t="s">
        <v>5708</v>
      </c>
      <c r="D992" t="s">
        <v>5709</v>
      </c>
      <c r="E992" t="s">
        <v>16</v>
      </c>
      <c r="F992" t="s">
        <v>17</v>
      </c>
      <c r="G992" s="14">
        <v>240000</v>
      </c>
      <c r="H992" s="14">
        <v>190000</v>
      </c>
      <c r="I992" t="s">
        <v>22</v>
      </c>
      <c r="J992" t="s">
        <v>22</v>
      </c>
      <c r="K992" t="s">
        <v>5710</v>
      </c>
      <c r="L992" t="s">
        <v>569</v>
      </c>
      <c r="M992" t="s">
        <v>2595</v>
      </c>
      <c r="N992">
        <v>2</v>
      </c>
      <c r="O992" t="s">
        <v>116</v>
      </c>
      <c r="P992" t="s">
        <v>21</v>
      </c>
      <c r="Q992" t="s">
        <v>30</v>
      </c>
      <c r="R992" t="str">
        <f>VLOOKUP($O992,'Mapa Oficinas'!$A$7:$C$46,2,FALSE)</f>
        <v>CABA</v>
      </c>
      <c r="S992" t="str">
        <f>VLOOKUP($O992,'Mapa Oficinas'!$A$7:$C$46,3,FALSE)</f>
        <v>Puerto Madero</v>
      </c>
    </row>
    <row r="993" spans="1:19" x14ac:dyDescent="0.2">
      <c r="A993" s="1">
        <v>45846</v>
      </c>
      <c r="B993" t="s">
        <v>4931</v>
      </c>
      <c r="D993" t="s">
        <v>4932</v>
      </c>
      <c r="E993" t="s">
        <v>16</v>
      </c>
      <c r="F993" t="s">
        <v>17</v>
      </c>
      <c r="G993" s="14">
        <v>1200</v>
      </c>
      <c r="H993" s="14">
        <v>205000</v>
      </c>
      <c r="I993" t="s">
        <v>22</v>
      </c>
      <c r="J993" t="s">
        <v>22</v>
      </c>
      <c r="K993" t="s">
        <v>4933</v>
      </c>
      <c r="L993" t="s">
        <v>4934</v>
      </c>
      <c r="M993" t="s">
        <v>28</v>
      </c>
      <c r="N993">
        <v>2</v>
      </c>
      <c r="O993" t="s">
        <v>142</v>
      </c>
      <c r="P993" t="s">
        <v>21</v>
      </c>
      <c r="Q993" t="s">
        <v>30</v>
      </c>
      <c r="R993" t="str">
        <f>VLOOKUP($O993,'Mapa Oficinas'!$A$7:$C$46,2,FALSE)</f>
        <v>Zona Norte (GBA)</v>
      </c>
      <c r="S993" t="str">
        <f>VLOOKUP($O993,'Mapa Oficinas'!$A$7:$C$46,3,FALSE)</f>
        <v>Nordelta</v>
      </c>
    </row>
    <row r="994" spans="1:19" x14ac:dyDescent="0.2">
      <c r="A994" s="1">
        <v>45846</v>
      </c>
      <c r="B994">
        <v>10424</v>
      </c>
      <c r="D994" t="s">
        <v>5699</v>
      </c>
      <c r="E994" t="s">
        <v>16</v>
      </c>
      <c r="F994" t="s">
        <v>1708</v>
      </c>
      <c r="G994" s="14">
        <v>0</v>
      </c>
      <c r="H994" s="14">
        <v>238128</v>
      </c>
      <c r="I994" t="s">
        <v>22</v>
      </c>
      <c r="J994" t="s">
        <v>22</v>
      </c>
      <c r="K994" t="s">
        <v>5699</v>
      </c>
      <c r="L994" t="s">
        <v>960</v>
      </c>
      <c r="M994" t="s">
        <v>19</v>
      </c>
      <c r="N994">
        <v>2</v>
      </c>
      <c r="O994" t="s">
        <v>103</v>
      </c>
      <c r="P994" t="s">
        <v>36</v>
      </c>
      <c r="Q994" t="s">
        <v>30</v>
      </c>
      <c r="R994" t="str">
        <f>VLOOKUP($O994,'Mapa Oficinas'!$A$7:$C$46,2,FALSE)</f>
        <v>CABA</v>
      </c>
      <c r="S994" t="str">
        <f>VLOOKUP($O994,'Mapa Oficinas'!$A$7:$C$46,3,FALSE)</f>
        <v>Barrio Parque</v>
      </c>
    </row>
    <row r="995" spans="1:19" x14ac:dyDescent="0.2">
      <c r="A995" s="1">
        <v>45846</v>
      </c>
      <c r="B995" t="s">
        <v>5718</v>
      </c>
      <c r="D995" t="s">
        <v>5719</v>
      </c>
      <c r="E995" t="s">
        <v>16</v>
      </c>
      <c r="F995" t="s">
        <v>17</v>
      </c>
      <c r="G995" s="14">
        <v>300000</v>
      </c>
      <c r="H995" s="14">
        <v>300000</v>
      </c>
      <c r="I995" t="s">
        <v>22</v>
      </c>
      <c r="J995" t="s">
        <v>22</v>
      </c>
      <c r="K995" t="s">
        <v>5720</v>
      </c>
      <c r="L995" t="s">
        <v>111</v>
      </c>
      <c r="M995" t="s">
        <v>19</v>
      </c>
      <c r="N995">
        <v>1</v>
      </c>
      <c r="O995" t="s">
        <v>20</v>
      </c>
      <c r="P995" t="s">
        <v>146</v>
      </c>
      <c r="Q995" t="s">
        <v>30</v>
      </c>
      <c r="R995" t="str">
        <f>VLOOKUP($O995,'Mapa Oficinas'!$A$7:$C$46,2,FALSE)</f>
        <v>CABA</v>
      </c>
      <c r="S995" t="str">
        <f>VLOOKUP($O995,'Mapa Oficinas'!$A$7:$C$46,3,FALSE)</f>
        <v>Palermo</v>
      </c>
    </row>
    <row r="996" spans="1:19" x14ac:dyDescent="0.2">
      <c r="A996" s="1">
        <v>45846</v>
      </c>
      <c r="B996" t="s">
        <v>5705</v>
      </c>
      <c r="D996" t="s">
        <v>5706</v>
      </c>
      <c r="E996" t="s">
        <v>16</v>
      </c>
      <c r="F996" t="s">
        <v>17</v>
      </c>
      <c r="G996" s="14">
        <v>350000</v>
      </c>
      <c r="H996" s="14">
        <v>340000</v>
      </c>
      <c r="I996" t="s">
        <v>22</v>
      </c>
      <c r="J996" t="s">
        <v>22</v>
      </c>
      <c r="K996" t="s">
        <v>5707</v>
      </c>
      <c r="L996" t="s">
        <v>512</v>
      </c>
      <c r="M996" t="s">
        <v>28</v>
      </c>
      <c r="N996">
        <v>2</v>
      </c>
      <c r="O996" t="s">
        <v>103</v>
      </c>
      <c r="P996" t="s">
        <v>276</v>
      </c>
      <c r="Q996" t="s">
        <v>30</v>
      </c>
      <c r="R996" t="str">
        <f>VLOOKUP($O996,'Mapa Oficinas'!$A$7:$C$46,2,FALSE)</f>
        <v>CABA</v>
      </c>
      <c r="S996" t="str">
        <f>VLOOKUP($O996,'Mapa Oficinas'!$A$7:$C$46,3,FALSE)</f>
        <v>Barrio Parque</v>
      </c>
    </row>
    <row r="997" spans="1:19" x14ac:dyDescent="0.2">
      <c r="A997" s="1">
        <v>45847</v>
      </c>
      <c r="B997" t="s">
        <v>5690</v>
      </c>
      <c r="D997" t="s">
        <v>5691</v>
      </c>
      <c r="E997" t="s">
        <v>16</v>
      </c>
      <c r="F997" t="s">
        <v>17</v>
      </c>
      <c r="G997" s="14">
        <v>138000</v>
      </c>
      <c r="H997" s="14">
        <v>120000</v>
      </c>
      <c r="I997" t="s">
        <v>22</v>
      </c>
      <c r="J997" t="s">
        <v>22</v>
      </c>
      <c r="K997" t="s">
        <v>5692</v>
      </c>
      <c r="L997" t="s">
        <v>398</v>
      </c>
      <c r="M997" t="s">
        <v>28</v>
      </c>
      <c r="N997">
        <v>2</v>
      </c>
      <c r="O997" t="s">
        <v>142</v>
      </c>
      <c r="P997" t="s">
        <v>21</v>
      </c>
      <c r="Q997" t="s">
        <v>30</v>
      </c>
      <c r="R997" t="str">
        <f>VLOOKUP($O997,'Mapa Oficinas'!$A$7:$C$46,2,FALSE)</f>
        <v>Zona Norte (GBA)</v>
      </c>
      <c r="S997" t="str">
        <f>VLOOKUP($O997,'Mapa Oficinas'!$A$7:$C$46,3,FALSE)</f>
        <v>Nordelta</v>
      </c>
    </row>
    <row r="998" spans="1:19" x14ac:dyDescent="0.2">
      <c r="A998" s="1">
        <v>45847</v>
      </c>
      <c r="B998" t="s">
        <v>5693</v>
      </c>
      <c r="D998" t="s">
        <v>5693</v>
      </c>
      <c r="E998" t="s">
        <v>16</v>
      </c>
      <c r="F998" t="s">
        <v>17</v>
      </c>
      <c r="G998" s="14">
        <v>360000</v>
      </c>
      <c r="H998" s="14">
        <v>360000</v>
      </c>
      <c r="I998" t="s">
        <v>22</v>
      </c>
      <c r="J998" t="s">
        <v>22</v>
      </c>
      <c r="K998" t="s">
        <v>5693</v>
      </c>
      <c r="L998" t="s">
        <v>523</v>
      </c>
      <c r="M998" t="s">
        <v>28</v>
      </c>
      <c r="N998">
        <v>2</v>
      </c>
      <c r="O998" t="s">
        <v>50</v>
      </c>
      <c r="P998" t="s">
        <v>21</v>
      </c>
      <c r="Q998" t="s">
        <v>30</v>
      </c>
      <c r="R998" t="str">
        <f>VLOOKUP($O998,'Mapa Oficinas'!$A$7:$C$46,2,FALSE)</f>
        <v>CABA</v>
      </c>
      <c r="S998" t="str">
        <f>VLOOKUP($O998,'Mapa Oficinas'!$A$7:$C$46,3,FALSE)</f>
        <v>Villa Urquiza</v>
      </c>
    </row>
    <row r="999" spans="1:19" x14ac:dyDescent="0.2">
      <c r="A999" s="1">
        <v>45848</v>
      </c>
      <c r="B999" t="s">
        <v>5678</v>
      </c>
      <c r="D999" t="s">
        <v>5679</v>
      </c>
      <c r="E999" t="s">
        <v>16</v>
      </c>
      <c r="F999" t="s">
        <v>243</v>
      </c>
      <c r="G999" s="14">
        <v>62000</v>
      </c>
      <c r="H999" s="14">
        <v>62000</v>
      </c>
      <c r="I999" t="s">
        <v>22</v>
      </c>
      <c r="J999" t="s">
        <v>22</v>
      </c>
      <c r="K999" t="s">
        <v>5680</v>
      </c>
      <c r="L999" t="s">
        <v>630</v>
      </c>
      <c r="M999" t="s">
        <v>28</v>
      </c>
      <c r="N999">
        <v>2</v>
      </c>
      <c r="O999" t="s">
        <v>246</v>
      </c>
      <c r="P999" t="s">
        <v>21</v>
      </c>
      <c r="Q999" t="s">
        <v>30</v>
      </c>
      <c r="R999" t="str">
        <f>VLOOKUP($O999,'Mapa Oficinas'!$A$7:$C$46,2,FALSE)</f>
        <v>Interior - Salta</v>
      </c>
      <c r="S999" t="str">
        <f>VLOOKUP($O999,'Mapa Oficinas'!$A$7:$C$46,3,FALSE)</f>
        <v>San Lorenzo Chico</v>
      </c>
    </row>
    <row r="1000" spans="1:19" x14ac:dyDescent="0.2">
      <c r="A1000" s="1">
        <v>45848</v>
      </c>
      <c r="B1000" t="s">
        <v>5673</v>
      </c>
      <c r="D1000" t="s">
        <v>5674</v>
      </c>
      <c r="E1000" t="s">
        <v>16</v>
      </c>
      <c r="F1000" t="s">
        <v>17</v>
      </c>
      <c r="G1000" s="14">
        <v>79000</v>
      </c>
      <c r="H1000" s="14">
        <v>68500</v>
      </c>
      <c r="I1000" t="s">
        <v>22</v>
      </c>
      <c r="J1000" t="s">
        <v>22</v>
      </c>
      <c r="K1000" t="s">
        <v>5675</v>
      </c>
      <c r="L1000" t="s">
        <v>1177</v>
      </c>
      <c r="M1000" t="s">
        <v>19</v>
      </c>
      <c r="N1000">
        <v>2</v>
      </c>
      <c r="O1000" t="s">
        <v>201</v>
      </c>
      <c r="P1000" t="s">
        <v>21</v>
      </c>
      <c r="Q1000" t="s">
        <v>30</v>
      </c>
      <c r="R1000" t="str">
        <f>VLOOKUP($O1000,'Mapa Oficinas'!$A$7:$C$46,2,FALSE)</f>
        <v>CABA</v>
      </c>
      <c r="S1000" t="str">
        <f>VLOOKUP($O1000,'Mapa Oficinas'!$A$7:$C$46,3,FALSE)</f>
        <v>Recoleta</v>
      </c>
    </row>
    <row r="1001" spans="1:19" x14ac:dyDescent="0.2">
      <c r="A1001" s="1">
        <v>45848</v>
      </c>
      <c r="B1001" t="s">
        <v>5671</v>
      </c>
      <c r="D1001" t="s">
        <v>5636</v>
      </c>
      <c r="E1001" t="s">
        <v>16</v>
      </c>
      <c r="F1001" t="s">
        <v>53</v>
      </c>
      <c r="G1001" s="14">
        <v>87000</v>
      </c>
      <c r="H1001" s="14">
        <v>81600</v>
      </c>
      <c r="I1001" t="s">
        <v>22</v>
      </c>
      <c r="J1001" t="s">
        <v>22</v>
      </c>
      <c r="K1001" t="s">
        <v>5672</v>
      </c>
      <c r="L1001" t="s">
        <v>54</v>
      </c>
      <c r="M1001" t="s">
        <v>97</v>
      </c>
      <c r="N1001">
        <v>1</v>
      </c>
      <c r="O1001" t="s">
        <v>55</v>
      </c>
      <c r="P1001" t="s">
        <v>131</v>
      </c>
      <c r="Q1001" t="s">
        <v>30</v>
      </c>
      <c r="R1001" t="str">
        <f>VLOOKUP($O1001,'Mapa Oficinas'!$A$7:$C$46,2,FALSE)</f>
        <v>Interior - Santa Fe</v>
      </c>
      <c r="S1001" t="str">
        <f>VLOOKUP($O1001,'Mapa Oficinas'!$A$7:$C$46,3,FALSE)</f>
        <v>Capital Santa Fe</v>
      </c>
    </row>
    <row r="1002" spans="1:19" x14ac:dyDescent="0.2">
      <c r="A1002" s="1">
        <v>45848</v>
      </c>
      <c r="D1002" t="s">
        <v>5684</v>
      </c>
      <c r="E1002" t="s">
        <v>16</v>
      </c>
      <c r="F1002" t="s">
        <v>17</v>
      </c>
      <c r="G1002" s="14">
        <v>99000</v>
      </c>
      <c r="H1002" s="14">
        <v>99000</v>
      </c>
      <c r="I1002" t="s">
        <v>22</v>
      </c>
      <c r="J1002" t="s">
        <v>22</v>
      </c>
      <c r="K1002" t="s">
        <v>5685</v>
      </c>
      <c r="L1002" t="s">
        <v>1931</v>
      </c>
      <c r="M1002" t="s">
        <v>19</v>
      </c>
      <c r="N1002">
        <v>2</v>
      </c>
      <c r="O1002" t="s">
        <v>98</v>
      </c>
      <c r="P1002" t="s">
        <v>44</v>
      </c>
      <c r="Q1002" t="s">
        <v>30</v>
      </c>
      <c r="R1002" t="str">
        <f>VLOOKUP($O1002,'Mapa Oficinas'!$A$7:$C$46,2,FALSE)</f>
        <v>Interior - Neuquén</v>
      </c>
      <c r="S1002" t="str">
        <f>VLOOKUP($O1002,'Mapa Oficinas'!$A$7:$C$46,3,FALSE)</f>
        <v>Villa La Angostura</v>
      </c>
    </row>
    <row r="1003" spans="1:19" x14ac:dyDescent="0.2">
      <c r="A1003" s="1">
        <v>45848</v>
      </c>
      <c r="B1003" t="s">
        <v>5681</v>
      </c>
      <c r="D1003" t="s">
        <v>5682</v>
      </c>
      <c r="E1003" t="s">
        <v>16</v>
      </c>
      <c r="F1003" t="s">
        <v>243</v>
      </c>
      <c r="G1003" s="14">
        <v>115000</v>
      </c>
      <c r="H1003" s="14">
        <v>115000</v>
      </c>
      <c r="I1003" t="s">
        <v>22</v>
      </c>
      <c r="J1003" t="s">
        <v>22</v>
      </c>
      <c r="K1003" t="s">
        <v>5683</v>
      </c>
      <c r="L1003" t="s">
        <v>630</v>
      </c>
      <c r="M1003" t="s">
        <v>28</v>
      </c>
      <c r="N1003">
        <v>2</v>
      </c>
      <c r="O1003" t="s">
        <v>246</v>
      </c>
      <c r="P1003" t="s">
        <v>41</v>
      </c>
      <c r="Q1003" t="s">
        <v>30</v>
      </c>
      <c r="R1003" t="str">
        <f>VLOOKUP($O1003,'Mapa Oficinas'!$A$7:$C$46,2,FALSE)</f>
        <v>Interior - Salta</v>
      </c>
      <c r="S1003" t="str">
        <f>VLOOKUP($O1003,'Mapa Oficinas'!$A$7:$C$46,3,FALSE)</f>
        <v>San Lorenzo Chico</v>
      </c>
    </row>
    <row r="1004" spans="1:19" x14ac:dyDescent="0.2">
      <c r="A1004" s="1">
        <v>45848</v>
      </c>
      <c r="B1004" t="s">
        <v>5686</v>
      </c>
      <c r="D1004" t="s">
        <v>5687</v>
      </c>
      <c r="E1004" t="s">
        <v>16</v>
      </c>
      <c r="F1004" t="s">
        <v>17</v>
      </c>
      <c r="G1004" s="14">
        <v>180000</v>
      </c>
      <c r="H1004" s="14">
        <v>180000</v>
      </c>
      <c r="I1004" t="s">
        <v>22</v>
      </c>
      <c r="J1004" t="s">
        <v>22</v>
      </c>
      <c r="K1004" t="s">
        <v>4962</v>
      </c>
      <c r="L1004" t="s">
        <v>4963</v>
      </c>
      <c r="M1004" t="s">
        <v>19</v>
      </c>
      <c r="N1004">
        <v>2</v>
      </c>
      <c r="O1004" t="s">
        <v>20</v>
      </c>
      <c r="P1004" t="s">
        <v>21</v>
      </c>
      <c r="Q1004" t="s">
        <v>30</v>
      </c>
      <c r="R1004" t="str">
        <f>VLOOKUP($O1004,'Mapa Oficinas'!$A$7:$C$46,2,FALSE)</f>
        <v>CABA</v>
      </c>
      <c r="S1004" t="str">
        <f>VLOOKUP($O1004,'Mapa Oficinas'!$A$7:$C$46,3,FALSE)</f>
        <v>Palermo</v>
      </c>
    </row>
    <row r="1005" spans="1:19" x14ac:dyDescent="0.2">
      <c r="A1005" s="1">
        <v>45849</v>
      </c>
      <c r="B1005" t="s">
        <v>5659</v>
      </c>
      <c r="D1005" t="s">
        <v>5660</v>
      </c>
      <c r="E1005" t="s">
        <v>16</v>
      </c>
      <c r="F1005" t="s">
        <v>17</v>
      </c>
      <c r="G1005" s="14">
        <v>45000</v>
      </c>
      <c r="H1005" s="14">
        <v>44000</v>
      </c>
      <c r="I1005" t="s">
        <v>22</v>
      </c>
      <c r="J1005" t="s">
        <v>22</v>
      </c>
      <c r="K1005" t="s">
        <v>5661</v>
      </c>
      <c r="L1005" t="s">
        <v>4609</v>
      </c>
      <c r="M1005" t="s">
        <v>19</v>
      </c>
      <c r="N1005">
        <v>2</v>
      </c>
      <c r="O1005" t="s">
        <v>547</v>
      </c>
      <c r="P1005" t="s">
        <v>21</v>
      </c>
      <c r="Q1005" t="s">
        <v>30</v>
      </c>
      <c r="R1005" t="str">
        <f>VLOOKUP($O1005,'Mapa Oficinas'!$A$7:$C$46,2,FALSE)</f>
        <v>CABA</v>
      </c>
      <c r="S1005" t="str">
        <f>VLOOKUP($O1005,'Mapa Oficinas'!$A$7:$C$46,3,FALSE)</f>
        <v>Núñez</v>
      </c>
    </row>
    <row r="1006" spans="1:19" x14ac:dyDescent="0.2">
      <c r="A1006" s="1">
        <v>45849</v>
      </c>
      <c r="B1006" t="s">
        <v>5640</v>
      </c>
      <c r="D1006" t="s">
        <v>5641</v>
      </c>
      <c r="E1006" t="s">
        <v>16</v>
      </c>
      <c r="F1006" t="s">
        <v>82</v>
      </c>
      <c r="G1006" s="14">
        <v>48000</v>
      </c>
      <c r="H1006" s="14">
        <v>47000</v>
      </c>
      <c r="I1006" t="s">
        <v>22</v>
      </c>
      <c r="J1006" t="s">
        <v>22</v>
      </c>
      <c r="K1006" t="s">
        <v>5642</v>
      </c>
      <c r="L1006" t="s">
        <v>419</v>
      </c>
      <c r="M1006" t="s">
        <v>19</v>
      </c>
      <c r="N1006">
        <v>2</v>
      </c>
      <c r="O1006" t="s">
        <v>65</v>
      </c>
      <c r="P1006" t="s">
        <v>41</v>
      </c>
      <c r="Q1006" t="s">
        <v>30</v>
      </c>
      <c r="R1006" t="str">
        <f>VLOOKUP($O1006,'Mapa Oficinas'!$A$7:$C$46,2,FALSE)</f>
        <v>Interior - Mendoza</v>
      </c>
      <c r="S1006" t="str">
        <f>VLOOKUP($O1006,'Mapa Oficinas'!$A$7:$C$46,3,FALSE)</f>
        <v>Capital Mendoza</v>
      </c>
    </row>
    <row r="1007" spans="1:19" x14ac:dyDescent="0.2">
      <c r="A1007" s="1">
        <v>45849</v>
      </c>
      <c r="B1007" t="s">
        <v>5648</v>
      </c>
      <c r="D1007" t="s">
        <v>5649</v>
      </c>
      <c r="E1007" t="s">
        <v>16</v>
      </c>
      <c r="F1007" t="s">
        <v>17</v>
      </c>
      <c r="G1007" s="14">
        <v>50000</v>
      </c>
      <c r="H1007" s="14">
        <v>52000</v>
      </c>
      <c r="I1007" t="s">
        <v>22</v>
      </c>
      <c r="J1007" t="s">
        <v>22</v>
      </c>
      <c r="K1007" t="s">
        <v>5650</v>
      </c>
      <c r="L1007" t="s">
        <v>1004</v>
      </c>
      <c r="M1007" t="s">
        <v>19</v>
      </c>
      <c r="N1007">
        <v>2</v>
      </c>
      <c r="O1007" t="s">
        <v>201</v>
      </c>
      <c r="P1007" t="s">
        <v>21</v>
      </c>
      <c r="Q1007" t="s">
        <v>30</v>
      </c>
      <c r="R1007" t="str">
        <f>VLOOKUP($O1007,'Mapa Oficinas'!$A$7:$C$46,2,FALSE)</f>
        <v>CABA</v>
      </c>
      <c r="S1007" t="str">
        <f>VLOOKUP($O1007,'Mapa Oficinas'!$A$7:$C$46,3,FALSE)</f>
        <v>Recoleta</v>
      </c>
    </row>
    <row r="1008" spans="1:19" x14ac:dyDescent="0.2">
      <c r="A1008" s="1">
        <v>45849</v>
      </c>
      <c r="B1008" t="s">
        <v>5654</v>
      </c>
      <c r="D1008" t="s">
        <v>1127</v>
      </c>
      <c r="E1008" t="s">
        <v>16</v>
      </c>
      <c r="F1008" t="s">
        <v>17</v>
      </c>
      <c r="G1008" s="14">
        <v>60000</v>
      </c>
      <c r="H1008" s="14">
        <v>60000</v>
      </c>
      <c r="I1008" t="s">
        <v>22</v>
      </c>
      <c r="J1008" t="s">
        <v>22</v>
      </c>
      <c r="K1008" t="s">
        <v>5655</v>
      </c>
      <c r="L1008" t="s">
        <v>217</v>
      </c>
      <c r="M1008" t="s">
        <v>19</v>
      </c>
      <c r="N1008">
        <v>2</v>
      </c>
      <c r="O1008" t="s">
        <v>389</v>
      </c>
      <c r="P1008" t="s">
        <v>21</v>
      </c>
      <c r="Q1008" t="s">
        <v>30</v>
      </c>
      <c r="R1008" t="str">
        <f>VLOOKUP($O1008,'Mapa Oficinas'!$A$7:$C$46,2,FALSE)</f>
        <v>Zona Norte (GBA)</v>
      </c>
      <c r="S1008" t="str">
        <f>VLOOKUP($O1008,'Mapa Oficinas'!$A$7:$C$46,3,FALSE)</f>
        <v>Escobar</v>
      </c>
    </row>
    <row r="1009" spans="1:19" x14ac:dyDescent="0.2">
      <c r="A1009" s="1">
        <v>45849</v>
      </c>
      <c r="B1009" t="s">
        <v>5643</v>
      </c>
      <c r="D1009" t="s">
        <v>5644</v>
      </c>
      <c r="E1009" t="s">
        <v>16</v>
      </c>
      <c r="F1009" t="s">
        <v>82</v>
      </c>
      <c r="G1009" s="14">
        <v>91000</v>
      </c>
      <c r="H1009" s="14">
        <v>90000</v>
      </c>
      <c r="I1009" t="s">
        <v>22</v>
      </c>
      <c r="J1009" t="s">
        <v>22</v>
      </c>
      <c r="K1009" t="s">
        <v>5645</v>
      </c>
      <c r="L1009" t="s">
        <v>181</v>
      </c>
      <c r="M1009" t="s">
        <v>97</v>
      </c>
      <c r="N1009">
        <v>1</v>
      </c>
      <c r="O1009" t="s">
        <v>65</v>
      </c>
      <c r="P1009" t="s">
        <v>66</v>
      </c>
      <c r="Q1009" t="s">
        <v>30</v>
      </c>
      <c r="R1009" t="str">
        <f>VLOOKUP($O1009,'Mapa Oficinas'!$A$7:$C$46,2,FALSE)</f>
        <v>Interior - Mendoza</v>
      </c>
      <c r="S1009" t="str">
        <f>VLOOKUP($O1009,'Mapa Oficinas'!$A$7:$C$46,3,FALSE)</f>
        <v>Capital Mendoza</v>
      </c>
    </row>
    <row r="1010" spans="1:19" x14ac:dyDescent="0.2">
      <c r="A1010" s="1">
        <v>45849</v>
      </c>
      <c r="B1010" t="s">
        <v>5651</v>
      </c>
      <c r="D1010" t="s">
        <v>5652</v>
      </c>
      <c r="E1010" t="s">
        <v>16</v>
      </c>
      <c r="F1010" t="s">
        <v>17</v>
      </c>
      <c r="G1010" s="14">
        <v>118000</v>
      </c>
      <c r="H1010" s="14">
        <v>115000</v>
      </c>
      <c r="I1010" t="s">
        <v>22</v>
      </c>
      <c r="J1010" t="s">
        <v>22</v>
      </c>
      <c r="K1010" t="s">
        <v>5653</v>
      </c>
      <c r="L1010" t="s">
        <v>191</v>
      </c>
      <c r="M1010" t="s">
        <v>19</v>
      </c>
      <c r="N1010">
        <v>1</v>
      </c>
      <c r="O1010" t="s">
        <v>198</v>
      </c>
      <c r="P1010" t="s">
        <v>66</v>
      </c>
      <c r="Q1010" t="s">
        <v>30</v>
      </c>
      <c r="R1010" t="str">
        <f>VLOOKUP($O1010,'Mapa Oficinas'!$A$7:$C$46,2,FALSE)</f>
        <v>CABA</v>
      </c>
      <c r="S1010" t="str">
        <f>VLOOKUP($O1010,'Mapa Oficinas'!$A$7:$C$46,3,FALSE)</f>
        <v>Caballito</v>
      </c>
    </row>
    <row r="1011" spans="1:19" x14ac:dyDescent="0.2">
      <c r="A1011" s="1">
        <v>45849</v>
      </c>
      <c r="B1011" t="s">
        <v>5638</v>
      </c>
      <c r="D1011" t="s">
        <v>2744</v>
      </c>
      <c r="E1011" t="s">
        <v>16</v>
      </c>
      <c r="F1011" t="s">
        <v>17</v>
      </c>
      <c r="G1011" s="14">
        <v>119000</v>
      </c>
      <c r="H1011" s="14">
        <v>119000</v>
      </c>
      <c r="I1011" t="s">
        <v>22</v>
      </c>
      <c r="J1011" t="s">
        <v>22</v>
      </c>
      <c r="K1011" t="s">
        <v>5639</v>
      </c>
      <c r="L1011" t="s">
        <v>2747</v>
      </c>
      <c r="M1011" t="s">
        <v>28</v>
      </c>
      <c r="N1011">
        <v>2</v>
      </c>
      <c r="O1011" t="s">
        <v>65</v>
      </c>
      <c r="P1011" t="s">
        <v>21</v>
      </c>
      <c r="Q1011" t="s">
        <v>30</v>
      </c>
      <c r="R1011" t="str">
        <f>VLOOKUP($O1011,'Mapa Oficinas'!$A$7:$C$46,2,FALSE)</f>
        <v>Interior - Mendoza</v>
      </c>
      <c r="S1011" t="str">
        <f>VLOOKUP($O1011,'Mapa Oficinas'!$A$7:$C$46,3,FALSE)</f>
        <v>Capital Mendoza</v>
      </c>
    </row>
    <row r="1012" spans="1:19" x14ac:dyDescent="0.2">
      <c r="A1012" s="1">
        <v>45849</v>
      </c>
      <c r="B1012" t="s">
        <v>5646</v>
      </c>
      <c r="D1012" t="s">
        <v>5647</v>
      </c>
      <c r="E1012" t="s">
        <v>16</v>
      </c>
      <c r="F1012" t="s">
        <v>82</v>
      </c>
      <c r="G1012" s="14">
        <v>257000</v>
      </c>
      <c r="H1012" s="14">
        <v>245500</v>
      </c>
      <c r="I1012" t="s">
        <v>22</v>
      </c>
      <c r="J1012" t="s">
        <v>22</v>
      </c>
      <c r="K1012" t="s">
        <v>5647</v>
      </c>
      <c r="L1012" t="s">
        <v>39</v>
      </c>
      <c r="M1012" t="s">
        <v>19</v>
      </c>
      <c r="N1012">
        <v>2</v>
      </c>
      <c r="O1012" t="s">
        <v>40</v>
      </c>
      <c r="P1012" t="s">
        <v>41</v>
      </c>
      <c r="Q1012" t="s">
        <v>30</v>
      </c>
      <c r="R1012" t="str">
        <f>VLOOKUP($O1012,'Mapa Oficinas'!$A$7:$C$46,2,FALSE)</f>
        <v>Zona Norte (GBA)</v>
      </c>
      <c r="S1012" t="str">
        <f>VLOOKUP($O1012,'Mapa Oficinas'!$A$7:$C$46,3,FALSE)</f>
        <v>Pilar</v>
      </c>
    </row>
    <row r="1013" spans="1:19" x14ac:dyDescent="0.2">
      <c r="A1013" s="1">
        <v>45849</v>
      </c>
      <c r="B1013" t="s">
        <v>5656</v>
      </c>
      <c r="D1013" t="s">
        <v>5657</v>
      </c>
      <c r="E1013" t="s">
        <v>16</v>
      </c>
      <c r="F1013" t="s">
        <v>17</v>
      </c>
      <c r="G1013" s="14">
        <v>298000</v>
      </c>
      <c r="H1013" s="14">
        <v>290000</v>
      </c>
      <c r="I1013" t="s">
        <v>22</v>
      </c>
      <c r="J1013" t="s">
        <v>22</v>
      </c>
      <c r="K1013" t="s">
        <v>5658</v>
      </c>
      <c r="L1013" t="s">
        <v>967</v>
      </c>
      <c r="M1013" t="s">
        <v>19</v>
      </c>
      <c r="N1013">
        <v>2</v>
      </c>
      <c r="O1013" t="s">
        <v>103</v>
      </c>
      <c r="P1013" t="s">
        <v>276</v>
      </c>
      <c r="Q1013" t="s">
        <v>30</v>
      </c>
      <c r="R1013" t="str">
        <f>VLOOKUP($O1013,'Mapa Oficinas'!$A$7:$C$46,2,FALSE)</f>
        <v>CABA</v>
      </c>
      <c r="S1013" t="str">
        <f>VLOOKUP($O1013,'Mapa Oficinas'!$A$7:$C$46,3,FALSE)</f>
        <v>Barrio Parque</v>
      </c>
    </row>
    <row r="1014" spans="1:19" x14ac:dyDescent="0.2">
      <c r="A1014" s="1">
        <v>45849</v>
      </c>
      <c r="B1014" t="s">
        <v>5662</v>
      </c>
      <c r="D1014" t="s">
        <v>5663</v>
      </c>
      <c r="E1014" t="s">
        <v>16</v>
      </c>
      <c r="F1014" t="s">
        <v>82</v>
      </c>
      <c r="G1014" s="14">
        <v>330000</v>
      </c>
      <c r="H1014" s="14">
        <v>325000</v>
      </c>
      <c r="I1014" t="s">
        <v>22</v>
      </c>
      <c r="J1014" t="s">
        <v>22</v>
      </c>
      <c r="K1014" t="s">
        <v>5664</v>
      </c>
      <c r="L1014" t="s">
        <v>3005</v>
      </c>
      <c r="M1014" t="s">
        <v>28</v>
      </c>
      <c r="N1014">
        <v>2</v>
      </c>
      <c r="O1014" t="s">
        <v>85</v>
      </c>
      <c r="P1014" t="s">
        <v>41</v>
      </c>
      <c r="Q1014" t="s">
        <v>30</v>
      </c>
      <c r="R1014" t="str">
        <f>VLOOKUP($O1014,'Mapa Oficinas'!$A$7:$C$46,2,FALSE)</f>
        <v>Interior - Jujuy</v>
      </c>
      <c r="S1014" t="str">
        <f>VLOOKUP($O1014,'Mapa Oficinas'!$A$7:$C$46,3,FALSE)</f>
        <v>Capital Jujuy</v>
      </c>
    </row>
    <row r="1015" spans="1:19" x14ac:dyDescent="0.2">
      <c r="A1015" s="1">
        <v>45849</v>
      </c>
      <c r="B1015" t="s">
        <v>5668</v>
      </c>
      <c r="D1015" t="s">
        <v>5669</v>
      </c>
      <c r="E1015" t="s">
        <v>16</v>
      </c>
      <c r="F1015" t="s">
        <v>47</v>
      </c>
      <c r="G1015" s="14">
        <v>480000</v>
      </c>
      <c r="H1015" s="14">
        <v>450000</v>
      </c>
      <c r="I1015" t="s">
        <v>22</v>
      </c>
      <c r="J1015" t="s">
        <v>22</v>
      </c>
      <c r="K1015" t="s">
        <v>5670</v>
      </c>
      <c r="L1015" t="s">
        <v>482</v>
      </c>
      <c r="M1015" t="s">
        <v>28</v>
      </c>
      <c r="N1015">
        <v>2</v>
      </c>
      <c r="O1015" t="s">
        <v>116</v>
      </c>
      <c r="P1015" t="s">
        <v>21</v>
      </c>
      <c r="Q1015" t="s">
        <v>30</v>
      </c>
      <c r="R1015" t="str">
        <f>VLOOKUP($O1015,'Mapa Oficinas'!$A$7:$C$46,2,FALSE)</f>
        <v>CABA</v>
      </c>
      <c r="S1015" t="str">
        <f>VLOOKUP($O1015,'Mapa Oficinas'!$A$7:$C$46,3,FALSE)</f>
        <v>Puerto Madero</v>
      </c>
    </row>
    <row r="1016" spans="1:19" x14ac:dyDescent="0.2">
      <c r="A1016" s="1">
        <v>45849</v>
      </c>
      <c r="B1016" t="s">
        <v>5665</v>
      </c>
      <c r="D1016" t="s">
        <v>5666</v>
      </c>
      <c r="E1016" t="s">
        <v>16</v>
      </c>
      <c r="F1016" t="s">
        <v>58</v>
      </c>
      <c r="G1016" s="14">
        <v>695000</v>
      </c>
      <c r="H1016" s="14">
        <v>625000</v>
      </c>
      <c r="I1016" t="s">
        <v>22</v>
      </c>
      <c r="J1016" t="s">
        <v>22</v>
      </c>
      <c r="K1016" t="s">
        <v>5667</v>
      </c>
      <c r="L1016" t="s">
        <v>271</v>
      </c>
      <c r="M1016" t="s">
        <v>28</v>
      </c>
      <c r="N1016">
        <v>2</v>
      </c>
      <c r="O1016" t="s">
        <v>116</v>
      </c>
      <c r="P1016" t="s">
        <v>21</v>
      </c>
      <c r="Q1016" t="s">
        <v>30</v>
      </c>
      <c r="R1016" t="str">
        <f>VLOOKUP($O1016,'Mapa Oficinas'!$A$7:$C$46,2,FALSE)</f>
        <v>CABA</v>
      </c>
      <c r="S1016" t="str">
        <f>VLOOKUP($O1016,'Mapa Oficinas'!$A$7:$C$46,3,FALSE)</f>
        <v>Puerto Madero</v>
      </c>
    </row>
    <row r="1017" spans="1:19" x14ac:dyDescent="0.2">
      <c r="A1017" s="1">
        <v>45852</v>
      </c>
      <c r="B1017" t="s">
        <v>5605</v>
      </c>
      <c r="D1017" t="s">
        <v>5606</v>
      </c>
      <c r="E1017" t="s">
        <v>16</v>
      </c>
      <c r="F1017" t="s">
        <v>47</v>
      </c>
      <c r="G1017" s="14">
        <v>85000</v>
      </c>
      <c r="H1017" s="14">
        <v>37500</v>
      </c>
      <c r="I1017" t="s">
        <v>22</v>
      </c>
      <c r="J1017" t="s">
        <v>22</v>
      </c>
      <c r="K1017" t="s">
        <v>5607</v>
      </c>
      <c r="L1017" t="s">
        <v>2412</v>
      </c>
      <c r="M1017" t="s">
        <v>19</v>
      </c>
      <c r="N1017">
        <v>2</v>
      </c>
      <c r="O1017" t="s">
        <v>50</v>
      </c>
      <c r="P1017" t="s">
        <v>21</v>
      </c>
      <c r="Q1017" t="s">
        <v>30</v>
      </c>
      <c r="R1017" t="str">
        <f>VLOOKUP($O1017,'Mapa Oficinas'!$A$7:$C$46,2,FALSE)</f>
        <v>CABA</v>
      </c>
      <c r="S1017" t="str">
        <f>VLOOKUP($O1017,'Mapa Oficinas'!$A$7:$C$46,3,FALSE)</f>
        <v>Villa Urquiza</v>
      </c>
    </row>
    <row r="1018" spans="1:19" x14ac:dyDescent="0.2">
      <c r="A1018" s="1">
        <v>45852</v>
      </c>
      <c r="B1018" t="s">
        <v>5628</v>
      </c>
      <c r="D1018" t="s">
        <v>5629</v>
      </c>
      <c r="E1018" t="s">
        <v>16</v>
      </c>
      <c r="F1018" t="s">
        <v>17</v>
      </c>
      <c r="G1018" s="14">
        <v>65000</v>
      </c>
      <c r="H1018" s="14">
        <v>62000</v>
      </c>
      <c r="I1018" t="s">
        <v>22</v>
      </c>
      <c r="J1018" t="s">
        <v>22</v>
      </c>
      <c r="K1018" t="s">
        <v>5630</v>
      </c>
      <c r="L1018" t="s">
        <v>821</v>
      </c>
      <c r="M1018" t="s">
        <v>19</v>
      </c>
      <c r="N1018">
        <v>2</v>
      </c>
      <c r="O1018" t="s">
        <v>151</v>
      </c>
      <c r="P1018" t="s">
        <v>41</v>
      </c>
      <c r="Q1018" t="s">
        <v>30</v>
      </c>
      <c r="R1018" t="str">
        <f>VLOOKUP($O1018,'Mapa Oficinas'!$A$7:$C$46,2,FALSE)</f>
        <v>Interior - Neuquén</v>
      </c>
      <c r="S1018" t="str">
        <f>VLOOKUP($O1018,'Mapa Oficinas'!$A$7:$C$46,3,FALSE)</f>
        <v>Capital Neuquén</v>
      </c>
    </row>
    <row r="1019" spans="1:19" x14ac:dyDescent="0.2">
      <c r="A1019" s="1">
        <v>45852</v>
      </c>
      <c r="B1019" t="s">
        <v>2868</v>
      </c>
      <c r="D1019" t="s">
        <v>2869</v>
      </c>
      <c r="E1019" t="s">
        <v>16</v>
      </c>
      <c r="F1019" t="s">
        <v>82</v>
      </c>
      <c r="G1019" s="14">
        <v>140000</v>
      </c>
      <c r="H1019" s="14">
        <v>130000</v>
      </c>
      <c r="I1019" t="s">
        <v>22</v>
      </c>
      <c r="J1019" t="s">
        <v>22</v>
      </c>
      <c r="K1019" t="s">
        <v>2870</v>
      </c>
      <c r="L1019" t="s">
        <v>2567</v>
      </c>
      <c r="M1019" t="s">
        <v>28</v>
      </c>
      <c r="N1019">
        <v>1</v>
      </c>
      <c r="O1019" t="s">
        <v>65</v>
      </c>
      <c r="P1019" t="s">
        <v>66</v>
      </c>
      <c r="Q1019" t="s">
        <v>30</v>
      </c>
      <c r="R1019" t="str">
        <f>VLOOKUP($O1019,'Mapa Oficinas'!$A$7:$C$46,2,FALSE)</f>
        <v>Interior - Mendoza</v>
      </c>
      <c r="S1019" t="str">
        <f>VLOOKUP($O1019,'Mapa Oficinas'!$A$7:$C$46,3,FALSE)</f>
        <v>Capital Mendoza</v>
      </c>
    </row>
    <row r="1020" spans="1:19" x14ac:dyDescent="0.2">
      <c r="A1020" s="1">
        <v>45852</v>
      </c>
      <c r="B1020" t="s">
        <v>5631</v>
      </c>
      <c r="D1020" t="s">
        <v>5632</v>
      </c>
      <c r="E1020" t="s">
        <v>16</v>
      </c>
      <c r="F1020" t="s">
        <v>17</v>
      </c>
      <c r="G1020" s="14">
        <v>168000</v>
      </c>
      <c r="H1020" s="14">
        <v>168000</v>
      </c>
      <c r="I1020" t="s">
        <v>22</v>
      </c>
      <c r="J1020" t="s">
        <v>22</v>
      </c>
      <c r="L1020" t="s">
        <v>258</v>
      </c>
      <c r="M1020" t="s">
        <v>28</v>
      </c>
      <c r="N1020">
        <v>1</v>
      </c>
      <c r="O1020" t="s">
        <v>389</v>
      </c>
      <c r="P1020" t="s">
        <v>131</v>
      </c>
      <c r="Q1020" t="s">
        <v>30</v>
      </c>
      <c r="R1020" t="str">
        <f>VLOOKUP($O1020,'Mapa Oficinas'!$A$7:$C$46,2,FALSE)</f>
        <v>Zona Norte (GBA)</v>
      </c>
      <c r="S1020" t="str">
        <f>VLOOKUP($O1020,'Mapa Oficinas'!$A$7:$C$46,3,FALSE)</f>
        <v>Escobar</v>
      </c>
    </row>
    <row r="1021" spans="1:19" x14ac:dyDescent="0.2">
      <c r="A1021" s="1">
        <v>45852</v>
      </c>
      <c r="B1021" t="s">
        <v>5625</v>
      </c>
      <c r="D1021" t="s">
        <v>5626</v>
      </c>
      <c r="E1021" t="s">
        <v>16</v>
      </c>
      <c r="F1021" t="s">
        <v>17</v>
      </c>
      <c r="G1021" s="14">
        <v>180000</v>
      </c>
      <c r="H1021" s="14">
        <v>180000</v>
      </c>
      <c r="I1021" t="s">
        <v>22</v>
      </c>
      <c r="J1021" t="s">
        <v>22</v>
      </c>
      <c r="K1021" t="s">
        <v>5627</v>
      </c>
      <c r="L1021" t="s">
        <v>318</v>
      </c>
      <c r="M1021" t="s">
        <v>19</v>
      </c>
      <c r="N1021">
        <v>2</v>
      </c>
      <c r="O1021" t="s">
        <v>227</v>
      </c>
      <c r="P1021" t="s">
        <v>21</v>
      </c>
      <c r="Q1021" t="s">
        <v>30</v>
      </c>
      <c r="R1021" t="str">
        <f>VLOOKUP($O1021,'Mapa Oficinas'!$A$7:$C$46,2,FALSE)</f>
        <v>Zona Oeste (GBA)</v>
      </c>
      <c r="S1021" t="str">
        <f>VLOOKUP($O1021,'Mapa Oficinas'!$A$7:$C$46,3,FALSE)</f>
        <v>Parque Leloir</v>
      </c>
    </row>
    <row r="1022" spans="1:19" x14ac:dyDescent="0.2">
      <c r="A1022" s="1">
        <v>45852</v>
      </c>
      <c r="B1022" t="s">
        <v>5601</v>
      </c>
      <c r="D1022" t="s">
        <v>5602</v>
      </c>
      <c r="E1022" t="s">
        <v>16</v>
      </c>
      <c r="F1022" t="s">
        <v>38</v>
      </c>
      <c r="G1022" s="14">
        <v>246900</v>
      </c>
      <c r="H1022" s="14">
        <v>210000</v>
      </c>
      <c r="I1022" t="s">
        <v>22</v>
      </c>
      <c r="J1022" t="s">
        <v>22</v>
      </c>
      <c r="K1022" t="s">
        <v>5603</v>
      </c>
      <c r="L1022" t="s">
        <v>5604</v>
      </c>
      <c r="M1022" t="s">
        <v>28</v>
      </c>
      <c r="N1022">
        <v>2</v>
      </c>
      <c r="O1022" t="s">
        <v>130</v>
      </c>
      <c r="P1022" t="s">
        <v>1578</v>
      </c>
      <c r="Q1022" t="s">
        <v>30</v>
      </c>
      <c r="R1022" t="str">
        <f>VLOOKUP($O1022,'Mapa Oficinas'!$A$7:$C$46,2,FALSE)</f>
        <v>Interior - Río Negro</v>
      </c>
      <c r="S1022" t="str">
        <f>VLOOKUP($O1022,'Mapa Oficinas'!$A$7:$C$46,3,FALSE)</f>
        <v>Bariloche</v>
      </c>
    </row>
    <row r="1023" spans="1:19" x14ac:dyDescent="0.2">
      <c r="A1023" s="1">
        <v>45852</v>
      </c>
      <c r="B1023" t="s">
        <v>5601</v>
      </c>
      <c r="D1023" t="s">
        <v>5602</v>
      </c>
      <c r="E1023" t="s">
        <v>16</v>
      </c>
      <c r="F1023" t="s">
        <v>38</v>
      </c>
      <c r="G1023" s="14">
        <v>246900</v>
      </c>
      <c r="H1023" s="14">
        <v>210000</v>
      </c>
      <c r="I1023" t="s">
        <v>22</v>
      </c>
      <c r="J1023" t="s">
        <v>22</v>
      </c>
      <c r="K1023" t="s">
        <v>5603</v>
      </c>
      <c r="L1023" t="s">
        <v>5604</v>
      </c>
      <c r="M1023" t="s">
        <v>28</v>
      </c>
      <c r="N1023">
        <v>2</v>
      </c>
      <c r="O1023" t="s">
        <v>87</v>
      </c>
      <c r="P1023" t="s">
        <v>256</v>
      </c>
      <c r="Q1023" t="s">
        <v>30</v>
      </c>
      <c r="R1023" t="str">
        <f>VLOOKUP($O1023,'Mapa Oficinas'!$A$7:$C$46,2,FALSE)</f>
        <v>Zona Norte (GBA)</v>
      </c>
      <c r="S1023" t="str">
        <f>VLOOKUP($O1023,'Mapa Oficinas'!$A$7:$C$46,3,FALSE)</f>
        <v>Tigre</v>
      </c>
    </row>
    <row r="1024" spans="1:19" x14ac:dyDescent="0.2">
      <c r="A1024" s="1">
        <v>45852</v>
      </c>
      <c r="B1024" t="s">
        <v>5608</v>
      </c>
      <c r="D1024" t="s">
        <v>5609</v>
      </c>
      <c r="E1024" t="s">
        <v>16</v>
      </c>
      <c r="F1024" t="s">
        <v>134</v>
      </c>
      <c r="G1024" s="14">
        <v>249000</v>
      </c>
      <c r="H1024" s="14">
        <v>230000</v>
      </c>
      <c r="I1024" t="s">
        <v>22</v>
      </c>
      <c r="J1024" t="s">
        <v>22</v>
      </c>
      <c r="K1024" t="s">
        <v>5610</v>
      </c>
      <c r="L1024" t="s">
        <v>5611</v>
      </c>
      <c r="M1024" t="s">
        <v>28</v>
      </c>
      <c r="N1024">
        <v>2</v>
      </c>
      <c r="O1024" t="s">
        <v>130</v>
      </c>
      <c r="P1024" t="s">
        <v>21</v>
      </c>
      <c r="Q1024" t="s">
        <v>30</v>
      </c>
      <c r="R1024" t="str">
        <f>VLOOKUP($O1024,'Mapa Oficinas'!$A$7:$C$46,2,FALSE)</f>
        <v>Interior - Río Negro</v>
      </c>
      <c r="S1024" t="str">
        <f>VLOOKUP($O1024,'Mapa Oficinas'!$A$7:$C$46,3,FALSE)</f>
        <v>Bariloche</v>
      </c>
    </row>
    <row r="1025" spans="1:19" x14ac:dyDescent="0.2">
      <c r="A1025" s="1">
        <v>45852</v>
      </c>
      <c r="B1025" t="s">
        <v>5618</v>
      </c>
      <c r="D1025" t="s">
        <v>5619</v>
      </c>
      <c r="E1025" t="s">
        <v>16</v>
      </c>
      <c r="F1025" t="s">
        <v>17</v>
      </c>
      <c r="G1025" s="14">
        <v>245000</v>
      </c>
      <c r="H1025" s="14">
        <v>245000</v>
      </c>
      <c r="I1025" t="s">
        <v>22</v>
      </c>
      <c r="J1025" t="s">
        <v>22</v>
      </c>
      <c r="K1025" t="s">
        <v>5620</v>
      </c>
      <c r="L1025" t="s">
        <v>191</v>
      </c>
      <c r="M1025" t="s">
        <v>19</v>
      </c>
      <c r="N1025">
        <v>2</v>
      </c>
      <c r="O1025" t="s">
        <v>142</v>
      </c>
      <c r="P1025" t="s">
        <v>276</v>
      </c>
      <c r="Q1025" t="s">
        <v>30</v>
      </c>
      <c r="R1025" t="str">
        <f>VLOOKUP($O1025,'Mapa Oficinas'!$A$7:$C$46,2,FALSE)</f>
        <v>Zona Norte (GBA)</v>
      </c>
      <c r="S1025" t="str">
        <f>VLOOKUP($O1025,'Mapa Oficinas'!$A$7:$C$46,3,FALSE)</f>
        <v>Nordelta</v>
      </c>
    </row>
    <row r="1026" spans="1:19" x14ac:dyDescent="0.2">
      <c r="A1026" s="1">
        <v>45852</v>
      </c>
      <c r="B1026" t="s">
        <v>5612</v>
      </c>
      <c r="D1026" t="s">
        <v>5613</v>
      </c>
      <c r="E1026" t="s">
        <v>16</v>
      </c>
      <c r="F1026" t="s">
        <v>17</v>
      </c>
      <c r="G1026" s="14">
        <v>355000</v>
      </c>
      <c r="H1026" s="14">
        <v>245000</v>
      </c>
      <c r="I1026" t="s">
        <v>22</v>
      </c>
      <c r="J1026" t="s">
        <v>22</v>
      </c>
      <c r="K1026" t="s">
        <v>5613</v>
      </c>
      <c r="L1026" t="s">
        <v>521</v>
      </c>
      <c r="M1026" t="s">
        <v>28</v>
      </c>
      <c r="N1026">
        <v>2</v>
      </c>
      <c r="O1026" t="s">
        <v>142</v>
      </c>
      <c r="P1026" t="s">
        <v>276</v>
      </c>
      <c r="Q1026" t="s">
        <v>30</v>
      </c>
      <c r="R1026" t="str">
        <f>VLOOKUP($O1026,'Mapa Oficinas'!$A$7:$C$46,2,FALSE)</f>
        <v>Zona Norte (GBA)</v>
      </c>
      <c r="S1026" t="str">
        <f>VLOOKUP($O1026,'Mapa Oficinas'!$A$7:$C$46,3,FALSE)</f>
        <v>Nordelta</v>
      </c>
    </row>
    <row r="1027" spans="1:19" x14ac:dyDescent="0.2">
      <c r="A1027" s="1">
        <v>45852</v>
      </c>
      <c r="B1027" t="s">
        <v>5621</v>
      </c>
      <c r="D1027" t="s">
        <v>5622</v>
      </c>
      <c r="E1027" t="s">
        <v>16</v>
      </c>
      <c r="F1027" t="s">
        <v>17</v>
      </c>
      <c r="G1027" s="14">
        <v>350000</v>
      </c>
      <c r="H1027" s="14">
        <v>285000</v>
      </c>
      <c r="I1027" t="s">
        <v>22</v>
      </c>
      <c r="J1027" t="s">
        <v>22</v>
      </c>
      <c r="K1027" t="s">
        <v>5623</v>
      </c>
      <c r="L1027" t="s">
        <v>5624</v>
      </c>
      <c r="M1027" t="s">
        <v>28</v>
      </c>
      <c r="N1027">
        <v>1</v>
      </c>
      <c r="O1027" t="s">
        <v>171</v>
      </c>
      <c r="P1027" t="s">
        <v>146</v>
      </c>
      <c r="Q1027" t="s">
        <v>30</v>
      </c>
      <c r="R1027" t="str">
        <f>VLOOKUP($O1027,'Mapa Oficinas'!$A$7:$C$46,2,FALSE)</f>
        <v>Zona Sur (GBA)</v>
      </c>
      <c r="S1027" t="str">
        <f>VLOOKUP($O1027,'Mapa Oficinas'!$A$7:$C$46,3,FALSE)</f>
        <v>La Plata</v>
      </c>
    </row>
    <row r="1028" spans="1:19" x14ac:dyDescent="0.2">
      <c r="A1028" s="1">
        <v>45852</v>
      </c>
      <c r="B1028">
        <v>19</v>
      </c>
      <c r="D1028" t="s">
        <v>5633</v>
      </c>
      <c r="E1028" t="s">
        <v>16</v>
      </c>
      <c r="F1028" t="s">
        <v>82</v>
      </c>
      <c r="G1028" s="14">
        <v>675000</v>
      </c>
      <c r="H1028" s="14">
        <v>690000</v>
      </c>
      <c r="I1028" t="s">
        <v>22</v>
      </c>
      <c r="J1028" t="s">
        <v>22</v>
      </c>
      <c r="K1028" t="s">
        <v>5634</v>
      </c>
      <c r="L1028" t="s">
        <v>117</v>
      </c>
      <c r="M1028" t="s">
        <v>19</v>
      </c>
      <c r="N1028">
        <v>1</v>
      </c>
      <c r="O1028" t="s">
        <v>116</v>
      </c>
      <c r="P1028" t="s">
        <v>146</v>
      </c>
      <c r="Q1028" t="s">
        <v>30</v>
      </c>
      <c r="R1028" t="str">
        <f>VLOOKUP($O1028,'Mapa Oficinas'!$A$7:$C$46,2,FALSE)</f>
        <v>CABA</v>
      </c>
      <c r="S1028" t="str">
        <f>VLOOKUP($O1028,'Mapa Oficinas'!$A$7:$C$46,3,FALSE)</f>
        <v>Puerto Madero</v>
      </c>
    </row>
    <row r="1029" spans="1:19" x14ac:dyDescent="0.2">
      <c r="A1029" s="1">
        <v>45853</v>
      </c>
      <c r="B1029" t="s">
        <v>5578</v>
      </c>
      <c r="D1029" t="s">
        <v>5578</v>
      </c>
      <c r="E1029" t="s">
        <v>16</v>
      </c>
      <c r="F1029" t="s">
        <v>47</v>
      </c>
      <c r="G1029" s="14">
        <v>37500</v>
      </c>
      <c r="H1029" s="14">
        <v>37500</v>
      </c>
      <c r="I1029" t="s">
        <v>22</v>
      </c>
      <c r="J1029" t="s">
        <v>22</v>
      </c>
      <c r="K1029" t="s">
        <v>5578</v>
      </c>
      <c r="L1029" t="s">
        <v>107</v>
      </c>
      <c r="M1029" t="s">
        <v>19</v>
      </c>
      <c r="N1029">
        <v>2</v>
      </c>
      <c r="O1029" t="s">
        <v>50</v>
      </c>
      <c r="P1029" t="s">
        <v>21</v>
      </c>
      <c r="Q1029" t="s">
        <v>30</v>
      </c>
      <c r="R1029" t="str">
        <f>VLOOKUP($O1029,'Mapa Oficinas'!$A$7:$C$46,2,FALSE)</f>
        <v>CABA</v>
      </c>
      <c r="S1029" t="str">
        <f>VLOOKUP($O1029,'Mapa Oficinas'!$A$7:$C$46,3,FALSE)</f>
        <v>Villa Urquiza</v>
      </c>
    </row>
    <row r="1030" spans="1:19" x14ac:dyDescent="0.2">
      <c r="A1030" s="1">
        <v>45853</v>
      </c>
      <c r="B1030" t="s">
        <v>5587</v>
      </c>
      <c r="D1030" t="s">
        <v>5588</v>
      </c>
      <c r="E1030" t="s">
        <v>16</v>
      </c>
      <c r="F1030" t="s">
        <v>243</v>
      </c>
      <c r="G1030" s="14">
        <v>52000</v>
      </c>
      <c r="H1030" s="14">
        <v>45000</v>
      </c>
      <c r="I1030" t="s">
        <v>22</v>
      </c>
      <c r="J1030" t="s">
        <v>22</v>
      </c>
      <c r="K1030" t="s">
        <v>5589</v>
      </c>
      <c r="L1030" t="s">
        <v>4869</v>
      </c>
      <c r="M1030" t="s">
        <v>97</v>
      </c>
      <c r="N1030">
        <v>2</v>
      </c>
      <c r="O1030" t="s">
        <v>246</v>
      </c>
      <c r="P1030" t="s">
        <v>41</v>
      </c>
      <c r="Q1030" t="s">
        <v>30</v>
      </c>
      <c r="R1030" t="str">
        <f>VLOOKUP($O1030,'Mapa Oficinas'!$A$7:$C$46,2,FALSE)</f>
        <v>Interior - Salta</v>
      </c>
      <c r="S1030" t="str">
        <f>VLOOKUP($O1030,'Mapa Oficinas'!$A$7:$C$46,3,FALSE)</f>
        <v>San Lorenzo Chico</v>
      </c>
    </row>
    <row r="1031" spans="1:19" x14ac:dyDescent="0.2">
      <c r="A1031" s="1">
        <v>45853</v>
      </c>
      <c r="B1031" t="s">
        <v>5569</v>
      </c>
      <c r="D1031" t="s">
        <v>5570</v>
      </c>
      <c r="E1031" t="s">
        <v>16</v>
      </c>
      <c r="F1031" t="s">
        <v>17</v>
      </c>
      <c r="G1031" s="14">
        <v>83000</v>
      </c>
      <c r="H1031" s="14">
        <v>72000</v>
      </c>
      <c r="I1031" t="s">
        <v>22</v>
      </c>
      <c r="J1031" t="s">
        <v>22</v>
      </c>
      <c r="K1031" t="s">
        <v>5571</v>
      </c>
      <c r="L1031" t="s">
        <v>355</v>
      </c>
      <c r="M1031" t="s">
        <v>300</v>
      </c>
      <c r="N1031">
        <v>2</v>
      </c>
      <c r="O1031" t="s">
        <v>65</v>
      </c>
      <c r="P1031" t="s">
        <v>1578</v>
      </c>
      <c r="Q1031" t="s">
        <v>30</v>
      </c>
      <c r="R1031" t="str">
        <f>VLOOKUP($O1031,'Mapa Oficinas'!$A$7:$C$46,2,FALSE)</f>
        <v>Interior - Mendoza</v>
      </c>
      <c r="S1031" t="str">
        <f>VLOOKUP($O1031,'Mapa Oficinas'!$A$7:$C$46,3,FALSE)</f>
        <v>Capital Mendoza</v>
      </c>
    </row>
    <row r="1032" spans="1:19" x14ac:dyDescent="0.2">
      <c r="A1032" s="1">
        <v>45853</v>
      </c>
      <c r="B1032" t="s">
        <v>5593</v>
      </c>
      <c r="D1032" t="s">
        <v>5594</v>
      </c>
      <c r="E1032" t="s">
        <v>16</v>
      </c>
      <c r="F1032" t="s">
        <v>58</v>
      </c>
      <c r="G1032" s="14">
        <v>106000</v>
      </c>
      <c r="H1032" s="14">
        <v>96000</v>
      </c>
      <c r="I1032" t="s">
        <v>22</v>
      </c>
      <c r="J1032" t="s">
        <v>22</v>
      </c>
      <c r="K1032" t="s">
        <v>5595</v>
      </c>
      <c r="L1032" t="s">
        <v>1995</v>
      </c>
      <c r="M1032" t="s">
        <v>28</v>
      </c>
      <c r="N1032">
        <v>2</v>
      </c>
      <c r="O1032" t="s">
        <v>103</v>
      </c>
      <c r="P1032" t="s">
        <v>21</v>
      </c>
      <c r="Q1032" t="s">
        <v>30</v>
      </c>
      <c r="R1032" t="str">
        <f>VLOOKUP($O1032,'Mapa Oficinas'!$A$7:$C$46,2,FALSE)</f>
        <v>CABA</v>
      </c>
      <c r="S1032" t="str">
        <f>VLOOKUP($O1032,'Mapa Oficinas'!$A$7:$C$46,3,FALSE)</f>
        <v>Barrio Parque</v>
      </c>
    </row>
    <row r="1033" spans="1:19" x14ac:dyDescent="0.2">
      <c r="A1033" s="1">
        <v>45853</v>
      </c>
      <c r="B1033" t="s">
        <v>5583</v>
      </c>
      <c r="D1033" t="s">
        <v>5584</v>
      </c>
      <c r="E1033" t="s">
        <v>16</v>
      </c>
      <c r="F1033" t="s">
        <v>17</v>
      </c>
      <c r="G1033" s="14">
        <v>112000</v>
      </c>
      <c r="H1033" s="14">
        <v>108500</v>
      </c>
      <c r="I1033" t="s">
        <v>22</v>
      </c>
      <c r="J1033" t="s">
        <v>22</v>
      </c>
      <c r="K1033" t="s">
        <v>5585</v>
      </c>
      <c r="L1033" t="s">
        <v>277</v>
      </c>
      <c r="M1033" t="s">
        <v>19</v>
      </c>
      <c r="N1033">
        <v>2</v>
      </c>
      <c r="O1033" t="s">
        <v>201</v>
      </c>
      <c r="P1033" t="s">
        <v>21</v>
      </c>
      <c r="Q1033" t="s">
        <v>30</v>
      </c>
      <c r="R1033" t="str">
        <f>VLOOKUP($O1033,'Mapa Oficinas'!$A$7:$C$46,2,FALSE)</f>
        <v>CABA</v>
      </c>
      <c r="S1033" t="str">
        <f>VLOOKUP($O1033,'Mapa Oficinas'!$A$7:$C$46,3,FALSE)</f>
        <v>Recoleta</v>
      </c>
    </row>
    <row r="1034" spans="1:19" x14ac:dyDescent="0.2">
      <c r="A1034" s="1">
        <v>45853</v>
      </c>
      <c r="B1034" t="s">
        <v>5575</v>
      </c>
      <c r="D1034" t="s">
        <v>5576</v>
      </c>
      <c r="E1034" t="s">
        <v>16</v>
      </c>
      <c r="F1034" t="s">
        <v>17</v>
      </c>
      <c r="G1034" s="14">
        <v>159000</v>
      </c>
      <c r="H1034" s="14">
        <v>147020</v>
      </c>
      <c r="I1034" t="s">
        <v>22</v>
      </c>
      <c r="J1034" t="s">
        <v>22</v>
      </c>
      <c r="K1034" t="s">
        <v>5577</v>
      </c>
      <c r="L1034" t="s">
        <v>564</v>
      </c>
      <c r="M1034" t="s">
        <v>19</v>
      </c>
      <c r="N1034">
        <v>2</v>
      </c>
      <c r="O1034" t="s">
        <v>50</v>
      </c>
      <c r="P1034" t="s">
        <v>1578</v>
      </c>
      <c r="Q1034" t="s">
        <v>30</v>
      </c>
      <c r="R1034" t="str">
        <f>VLOOKUP($O1034,'Mapa Oficinas'!$A$7:$C$46,2,FALSE)</f>
        <v>CABA</v>
      </c>
      <c r="S1034" t="str">
        <f>VLOOKUP($O1034,'Mapa Oficinas'!$A$7:$C$46,3,FALSE)</f>
        <v>Villa Urquiza</v>
      </c>
    </row>
    <row r="1035" spans="1:19" x14ac:dyDescent="0.2">
      <c r="A1035" s="1">
        <v>45853</v>
      </c>
      <c r="B1035">
        <v>15072025</v>
      </c>
      <c r="D1035" t="s">
        <v>5579</v>
      </c>
      <c r="E1035" t="s">
        <v>16</v>
      </c>
      <c r="F1035" t="s">
        <v>38</v>
      </c>
      <c r="G1035" s="14">
        <v>159000</v>
      </c>
      <c r="H1035" s="14">
        <v>147500</v>
      </c>
      <c r="I1035" t="s">
        <v>22</v>
      </c>
      <c r="J1035" t="s">
        <v>22</v>
      </c>
      <c r="L1035" t="s">
        <v>564</v>
      </c>
      <c r="M1035" t="s">
        <v>19</v>
      </c>
      <c r="N1035">
        <v>2</v>
      </c>
      <c r="O1035" t="s">
        <v>130</v>
      </c>
      <c r="P1035" t="s">
        <v>44</v>
      </c>
      <c r="Q1035" t="s">
        <v>30</v>
      </c>
      <c r="R1035" t="str">
        <f>VLOOKUP($O1035,'Mapa Oficinas'!$A$7:$C$46,2,FALSE)</f>
        <v>Interior - Río Negro</v>
      </c>
      <c r="S1035" t="str">
        <f>VLOOKUP($O1035,'Mapa Oficinas'!$A$7:$C$46,3,FALSE)</f>
        <v>Bariloche</v>
      </c>
    </row>
    <row r="1036" spans="1:19" x14ac:dyDescent="0.2">
      <c r="A1036" s="1">
        <v>45853</v>
      </c>
      <c r="B1036">
        <v>10411</v>
      </c>
      <c r="D1036" t="s">
        <v>5586</v>
      </c>
      <c r="E1036" t="s">
        <v>16</v>
      </c>
      <c r="F1036" t="s">
        <v>17</v>
      </c>
      <c r="G1036" s="14">
        <v>0</v>
      </c>
      <c r="H1036" s="14">
        <v>185000</v>
      </c>
      <c r="I1036" t="s">
        <v>22</v>
      </c>
      <c r="J1036" t="s">
        <v>22</v>
      </c>
      <c r="L1036" t="s">
        <v>191</v>
      </c>
      <c r="M1036" t="s">
        <v>28</v>
      </c>
      <c r="N1036">
        <v>1</v>
      </c>
      <c r="O1036" t="s">
        <v>103</v>
      </c>
      <c r="P1036" t="s">
        <v>146</v>
      </c>
      <c r="Q1036" t="s">
        <v>30</v>
      </c>
      <c r="R1036" t="str">
        <f>VLOOKUP($O1036,'Mapa Oficinas'!$A$7:$C$46,2,FALSE)</f>
        <v>CABA</v>
      </c>
      <c r="S1036" t="str">
        <f>VLOOKUP($O1036,'Mapa Oficinas'!$A$7:$C$46,3,FALSE)</f>
        <v>Barrio Parque</v>
      </c>
    </row>
    <row r="1037" spans="1:19" x14ac:dyDescent="0.2">
      <c r="A1037" s="1">
        <v>45853</v>
      </c>
      <c r="B1037" t="s">
        <v>5580</v>
      </c>
      <c r="D1037" t="s">
        <v>5581</v>
      </c>
      <c r="E1037" t="s">
        <v>16</v>
      </c>
      <c r="F1037" t="s">
        <v>17</v>
      </c>
      <c r="G1037" s="14">
        <v>495000</v>
      </c>
      <c r="H1037" s="14">
        <v>280000</v>
      </c>
      <c r="I1037" t="s">
        <v>22</v>
      </c>
      <c r="J1037" t="s">
        <v>22</v>
      </c>
      <c r="K1037" t="s">
        <v>5582</v>
      </c>
      <c r="L1037" t="s">
        <v>556</v>
      </c>
      <c r="M1037" t="s">
        <v>28</v>
      </c>
      <c r="N1037">
        <v>2</v>
      </c>
      <c r="O1037" t="s">
        <v>142</v>
      </c>
      <c r="P1037" t="s">
        <v>21</v>
      </c>
      <c r="Q1037" t="s">
        <v>30</v>
      </c>
      <c r="R1037" t="str">
        <f>VLOOKUP($O1037,'Mapa Oficinas'!$A$7:$C$46,2,FALSE)</f>
        <v>Zona Norte (GBA)</v>
      </c>
      <c r="S1037" t="str">
        <f>VLOOKUP($O1037,'Mapa Oficinas'!$A$7:$C$46,3,FALSE)</f>
        <v>Nordelta</v>
      </c>
    </row>
    <row r="1038" spans="1:19" x14ac:dyDescent="0.2">
      <c r="A1038" s="1">
        <v>45853</v>
      </c>
      <c r="B1038" t="s">
        <v>5572</v>
      </c>
      <c r="D1038" t="s">
        <v>5573</v>
      </c>
      <c r="E1038" t="s">
        <v>16</v>
      </c>
      <c r="F1038" t="s">
        <v>58</v>
      </c>
      <c r="G1038" s="14">
        <v>440000</v>
      </c>
      <c r="H1038" s="14">
        <v>420000</v>
      </c>
      <c r="I1038" t="s">
        <v>22</v>
      </c>
      <c r="J1038" t="s">
        <v>22</v>
      </c>
      <c r="K1038" t="s">
        <v>5574</v>
      </c>
      <c r="L1038" t="s">
        <v>277</v>
      </c>
      <c r="M1038" t="s">
        <v>19</v>
      </c>
      <c r="N1038">
        <v>2</v>
      </c>
      <c r="O1038" t="s">
        <v>50</v>
      </c>
      <c r="P1038" t="s">
        <v>21</v>
      </c>
      <c r="Q1038" t="s">
        <v>30</v>
      </c>
      <c r="R1038" t="str">
        <f>VLOOKUP($O1038,'Mapa Oficinas'!$A$7:$C$46,2,FALSE)</f>
        <v>CABA</v>
      </c>
      <c r="S1038" t="str">
        <f>VLOOKUP($O1038,'Mapa Oficinas'!$A$7:$C$46,3,FALSE)</f>
        <v>Villa Urquiza</v>
      </c>
    </row>
    <row r="1039" spans="1:19" x14ac:dyDescent="0.2">
      <c r="A1039" s="1">
        <v>45854</v>
      </c>
      <c r="B1039" t="s">
        <v>5567</v>
      </c>
      <c r="D1039" t="s">
        <v>5568</v>
      </c>
      <c r="E1039" t="s">
        <v>16</v>
      </c>
      <c r="F1039" t="s">
        <v>17</v>
      </c>
      <c r="G1039" s="14">
        <v>58000</v>
      </c>
      <c r="H1039" s="14">
        <v>58000</v>
      </c>
      <c r="I1039" t="s">
        <v>22</v>
      </c>
      <c r="J1039" t="s">
        <v>22</v>
      </c>
      <c r="L1039" t="s">
        <v>226</v>
      </c>
      <c r="M1039" t="s">
        <v>19</v>
      </c>
      <c r="N1039">
        <v>2</v>
      </c>
      <c r="O1039" t="s">
        <v>359</v>
      </c>
      <c r="P1039" t="s">
        <v>21</v>
      </c>
      <c r="Q1039" t="s">
        <v>30</v>
      </c>
      <c r="R1039" t="str">
        <f>VLOOKUP($O1039,'Mapa Oficinas'!$A$7:$C$46,2,FALSE)</f>
        <v>CABA</v>
      </c>
      <c r="S1039" t="str">
        <f>VLOOKUP($O1039,'Mapa Oficinas'!$A$7:$C$46,3,FALSE)</f>
        <v>Palermo</v>
      </c>
    </row>
    <row r="1040" spans="1:19" x14ac:dyDescent="0.2">
      <c r="A1040" s="1">
        <v>45854</v>
      </c>
      <c r="B1040" t="s">
        <v>5557</v>
      </c>
      <c r="D1040" t="s">
        <v>5558</v>
      </c>
      <c r="E1040" t="s">
        <v>16</v>
      </c>
      <c r="F1040" t="s">
        <v>17</v>
      </c>
      <c r="G1040" s="14">
        <v>67000</v>
      </c>
      <c r="H1040" s="14">
        <v>65000</v>
      </c>
      <c r="I1040" t="s">
        <v>22</v>
      </c>
      <c r="J1040" t="s">
        <v>22</v>
      </c>
      <c r="K1040" t="s">
        <v>5559</v>
      </c>
      <c r="L1040" t="s">
        <v>1064</v>
      </c>
      <c r="M1040" t="s">
        <v>19</v>
      </c>
      <c r="N1040">
        <v>2</v>
      </c>
      <c r="O1040" t="s">
        <v>142</v>
      </c>
      <c r="P1040" t="s">
        <v>21</v>
      </c>
      <c r="Q1040" t="s">
        <v>30</v>
      </c>
      <c r="R1040" t="str">
        <f>VLOOKUP($O1040,'Mapa Oficinas'!$A$7:$C$46,2,FALSE)</f>
        <v>Zona Norte (GBA)</v>
      </c>
      <c r="S1040" t="str">
        <f>VLOOKUP($O1040,'Mapa Oficinas'!$A$7:$C$46,3,FALSE)</f>
        <v>Nordelta</v>
      </c>
    </row>
    <row r="1041" spans="1:19" x14ac:dyDescent="0.2">
      <c r="A1041" s="1">
        <v>45854</v>
      </c>
      <c r="B1041" t="s">
        <v>5544</v>
      </c>
      <c r="D1041" t="s">
        <v>5545</v>
      </c>
      <c r="E1041" t="s">
        <v>16</v>
      </c>
      <c r="F1041" t="s">
        <v>17</v>
      </c>
      <c r="G1041" s="14">
        <v>84500</v>
      </c>
      <c r="H1041" s="14">
        <v>82000</v>
      </c>
      <c r="I1041" t="s">
        <v>22</v>
      </c>
      <c r="J1041" t="s">
        <v>22</v>
      </c>
      <c r="K1041" t="s">
        <v>5546</v>
      </c>
      <c r="L1041" t="s">
        <v>867</v>
      </c>
      <c r="M1041" t="s">
        <v>19</v>
      </c>
      <c r="N1041">
        <v>2</v>
      </c>
      <c r="O1041" t="s">
        <v>252</v>
      </c>
      <c r="P1041" t="s">
        <v>21</v>
      </c>
      <c r="Q1041" t="s">
        <v>30</v>
      </c>
      <c r="R1041" t="str">
        <f>VLOOKUP($O1041,'Mapa Oficinas'!$A$7:$C$46,2,FALSE)</f>
        <v>CABA</v>
      </c>
      <c r="S1041" t="str">
        <f>VLOOKUP($O1041,'Mapa Oficinas'!$A$7:$C$46,3,FALSE)</f>
        <v>Belgrano</v>
      </c>
    </row>
    <row r="1042" spans="1:19" x14ac:dyDescent="0.2">
      <c r="A1042" s="1">
        <v>45854</v>
      </c>
      <c r="B1042" t="s">
        <v>5536</v>
      </c>
      <c r="D1042" t="s">
        <v>5537</v>
      </c>
      <c r="E1042" t="s">
        <v>16</v>
      </c>
      <c r="F1042" t="s">
        <v>47</v>
      </c>
      <c r="G1042" s="14">
        <v>88900</v>
      </c>
      <c r="H1042" s="14">
        <v>84000</v>
      </c>
      <c r="I1042" t="s">
        <v>22</v>
      </c>
      <c r="J1042" t="s">
        <v>22</v>
      </c>
      <c r="K1042" t="s">
        <v>5538</v>
      </c>
      <c r="L1042" t="s">
        <v>318</v>
      </c>
      <c r="M1042" t="s">
        <v>19</v>
      </c>
      <c r="N1042">
        <v>2</v>
      </c>
      <c r="O1042" t="s">
        <v>50</v>
      </c>
      <c r="P1042" t="s">
        <v>21</v>
      </c>
      <c r="Q1042" t="s">
        <v>30</v>
      </c>
      <c r="R1042" t="str">
        <f>VLOOKUP($O1042,'Mapa Oficinas'!$A$7:$C$46,2,FALSE)</f>
        <v>CABA</v>
      </c>
      <c r="S1042" t="str">
        <f>VLOOKUP($O1042,'Mapa Oficinas'!$A$7:$C$46,3,FALSE)</f>
        <v>Villa Urquiza</v>
      </c>
    </row>
    <row r="1043" spans="1:19" x14ac:dyDescent="0.2">
      <c r="A1043" s="1">
        <v>45854</v>
      </c>
      <c r="B1043" t="s">
        <v>5564</v>
      </c>
      <c r="D1043" t="s">
        <v>5565</v>
      </c>
      <c r="E1043" t="s">
        <v>16</v>
      </c>
      <c r="F1043" t="s">
        <v>17</v>
      </c>
      <c r="G1043" s="14">
        <v>119000</v>
      </c>
      <c r="H1043" s="14">
        <v>105000</v>
      </c>
      <c r="I1043" t="s">
        <v>22</v>
      </c>
      <c r="J1043" t="s">
        <v>22</v>
      </c>
      <c r="K1043" t="s">
        <v>5566</v>
      </c>
      <c r="L1043" t="s">
        <v>1077</v>
      </c>
      <c r="M1043" t="s">
        <v>19</v>
      </c>
      <c r="N1043">
        <v>2</v>
      </c>
      <c r="O1043" t="s">
        <v>20</v>
      </c>
      <c r="P1043" t="s">
        <v>21</v>
      </c>
      <c r="Q1043" t="s">
        <v>30</v>
      </c>
      <c r="R1043" t="str">
        <f>VLOOKUP($O1043,'Mapa Oficinas'!$A$7:$C$46,2,FALSE)</f>
        <v>CABA</v>
      </c>
      <c r="S1043" t="str">
        <f>VLOOKUP($O1043,'Mapa Oficinas'!$A$7:$C$46,3,FALSE)</f>
        <v>Palermo</v>
      </c>
    </row>
    <row r="1044" spans="1:19" x14ac:dyDescent="0.2">
      <c r="A1044" s="1">
        <v>45854</v>
      </c>
      <c r="B1044" t="s">
        <v>5542</v>
      </c>
      <c r="D1044" t="s">
        <v>5543</v>
      </c>
      <c r="E1044" t="s">
        <v>16</v>
      </c>
      <c r="F1044" t="s">
        <v>17</v>
      </c>
      <c r="G1044" s="14">
        <v>135000</v>
      </c>
      <c r="H1044" s="14">
        <v>135000</v>
      </c>
      <c r="I1044" t="s">
        <v>22</v>
      </c>
      <c r="J1044" t="s">
        <v>22</v>
      </c>
      <c r="L1044" t="s">
        <v>79</v>
      </c>
      <c r="M1044" t="s">
        <v>97</v>
      </c>
      <c r="N1044">
        <v>2</v>
      </c>
      <c r="O1044" t="s">
        <v>359</v>
      </c>
      <c r="P1044" t="s">
        <v>21</v>
      </c>
      <c r="Q1044" t="s">
        <v>30</v>
      </c>
      <c r="R1044" t="str">
        <f>VLOOKUP($O1044,'Mapa Oficinas'!$A$7:$C$46,2,FALSE)</f>
        <v>CABA</v>
      </c>
      <c r="S1044" t="str">
        <f>VLOOKUP($O1044,'Mapa Oficinas'!$A$7:$C$46,3,FALSE)</f>
        <v>Palermo</v>
      </c>
    </row>
    <row r="1045" spans="1:19" x14ac:dyDescent="0.2">
      <c r="A1045" s="1">
        <v>45854</v>
      </c>
      <c r="B1045" t="s">
        <v>5547</v>
      </c>
      <c r="D1045" t="s">
        <v>5548</v>
      </c>
      <c r="E1045" t="s">
        <v>16</v>
      </c>
      <c r="F1045" t="s">
        <v>17</v>
      </c>
      <c r="G1045" s="14">
        <v>159000</v>
      </c>
      <c r="H1045" s="14">
        <v>156000</v>
      </c>
      <c r="I1045" t="s">
        <v>22</v>
      </c>
      <c r="J1045" t="s">
        <v>22</v>
      </c>
      <c r="K1045" t="s">
        <v>5549</v>
      </c>
      <c r="L1045" t="s">
        <v>1064</v>
      </c>
      <c r="M1045" t="s">
        <v>19</v>
      </c>
      <c r="N1045">
        <v>2</v>
      </c>
      <c r="O1045" t="s">
        <v>252</v>
      </c>
      <c r="P1045" t="s">
        <v>21</v>
      </c>
      <c r="Q1045" t="s">
        <v>30</v>
      </c>
      <c r="R1045" t="str">
        <f>VLOOKUP($O1045,'Mapa Oficinas'!$A$7:$C$46,2,FALSE)</f>
        <v>CABA</v>
      </c>
      <c r="S1045" t="str">
        <f>VLOOKUP($O1045,'Mapa Oficinas'!$A$7:$C$46,3,FALSE)</f>
        <v>Belgrano</v>
      </c>
    </row>
    <row r="1046" spans="1:19" x14ac:dyDescent="0.2">
      <c r="A1046" s="1">
        <v>45854</v>
      </c>
      <c r="B1046" t="s">
        <v>5550</v>
      </c>
      <c r="D1046" t="s">
        <v>5551</v>
      </c>
      <c r="E1046" t="s">
        <v>16</v>
      </c>
      <c r="F1046" t="s">
        <v>17</v>
      </c>
      <c r="G1046" s="14">
        <v>370000</v>
      </c>
      <c r="H1046" s="14">
        <v>340000</v>
      </c>
      <c r="I1046" t="s">
        <v>22</v>
      </c>
      <c r="J1046" t="s">
        <v>22</v>
      </c>
      <c r="K1046" t="s">
        <v>5552</v>
      </c>
      <c r="L1046" t="s">
        <v>1399</v>
      </c>
      <c r="M1046" t="s">
        <v>28</v>
      </c>
      <c r="N1046">
        <v>2</v>
      </c>
      <c r="O1046" t="s">
        <v>40</v>
      </c>
      <c r="P1046" t="s">
        <v>44</v>
      </c>
      <c r="Q1046" t="s">
        <v>30</v>
      </c>
      <c r="R1046" t="str">
        <f>VLOOKUP($O1046,'Mapa Oficinas'!$A$7:$C$46,2,FALSE)</f>
        <v>Zona Norte (GBA)</v>
      </c>
      <c r="S1046" t="str">
        <f>VLOOKUP($O1046,'Mapa Oficinas'!$A$7:$C$46,3,FALSE)</f>
        <v>Pilar</v>
      </c>
    </row>
    <row r="1047" spans="1:19" x14ac:dyDescent="0.2">
      <c r="A1047" s="1">
        <v>45854</v>
      </c>
      <c r="B1047" t="s">
        <v>5539</v>
      </c>
      <c r="D1047" t="s">
        <v>5540</v>
      </c>
      <c r="E1047" t="s">
        <v>16</v>
      </c>
      <c r="F1047" t="s">
        <v>17</v>
      </c>
      <c r="G1047" s="14">
        <v>450000</v>
      </c>
      <c r="H1047" s="14">
        <v>384000</v>
      </c>
      <c r="I1047" t="s">
        <v>22</v>
      </c>
      <c r="J1047" t="s">
        <v>22</v>
      </c>
      <c r="K1047" t="s">
        <v>5541</v>
      </c>
      <c r="L1047" t="s">
        <v>503</v>
      </c>
      <c r="M1047" t="s">
        <v>19</v>
      </c>
      <c r="N1047">
        <v>2</v>
      </c>
      <c r="O1047" t="s">
        <v>73</v>
      </c>
      <c r="P1047" t="s">
        <v>21</v>
      </c>
      <c r="Q1047" t="s">
        <v>30</v>
      </c>
      <c r="R1047" t="str">
        <f>VLOOKUP($O1047,'Mapa Oficinas'!$A$7:$C$46,2,FALSE)</f>
        <v>CABA</v>
      </c>
      <c r="S1047" t="str">
        <f>VLOOKUP($O1047,'Mapa Oficinas'!$A$7:$C$46,3,FALSE)</f>
        <v>Recoleta</v>
      </c>
    </row>
    <row r="1048" spans="1:19" x14ac:dyDescent="0.2">
      <c r="A1048" s="1">
        <v>45855</v>
      </c>
      <c r="B1048">
        <v>10410</v>
      </c>
      <c r="D1048" t="s">
        <v>5530</v>
      </c>
      <c r="E1048" t="s">
        <v>16</v>
      </c>
      <c r="F1048" t="s">
        <v>82</v>
      </c>
      <c r="G1048" s="14">
        <v>0</v>
      </c>
      <c r="H1048" s="14">
        <v>68000</v>
      </c>
      <c r="I1048" t="s">
        <v>22</v>
      </c>
      <c r="J1048" t="s">
        <v>22</v>
      </c>
      <c r="K1048" t="s">
        <v>5530</v>
      </c>
      <c r="L1048" t="s">
        <v>191</v>
      </c>
      <c r="M1048" t="s">
        <v>19</v>
      </c>
      <c r="N1048">
        <v>2</v>
      </c>
      <c r="O1048" t="s">
        <v>103</v>
      </c>
      <c r="P1048" t="s">
        <v>21</v>
      </c>
      <c r="Q1048" t="s">
        <v>30</v>
      </c>
      <c r="R1048" t="str">
        <f>VLOOKUP($O1048,'Mapa Oficinas'!$A$7:$C$46,2,FALSE)</f>
        <v>CABA</v>
      </c>
      <c r="S1048" t="str">
        <f>VLOOKUP($O1048,'Mapa Oficinas'!$A$7:$C$46,3,FALSE)</f>
        <v>Barrio Parque</v>
      </c>
    </row>
    <row r="1049" spans="1:19" x14ac:dyDescent="0.2">
      <c r="A1049" s="1">
        <v>45855</v>
      </c>
      <c r="B1049" t="s">
        <v>5523</v>
      </c>
      <c r="D1049" t="s">
        <v>5523</v>
      </c>
      <c r="E1049" t="s">
        <v>16</v>
      </c>
      <c r="F1049" t="s">
        <v>17</v>
      </c>
      <c r="G1049" s="14">
        <v>86800</v>
      </c>
      <c r="H1049" s="14">
        <v>86800</v>
      </c>
      <c r="I1049" t="s">
        <v>22</v>
      </c>
      <c r="J1049" t="s">
        <v>22</v>
      </c>
      <c r="L1049" t="s">
        <v>5524</v>
      </c>
      <c r="M1049" t="s">
        <v>97</v>
      </c>
      <c r="N1049">
        <v>2</v>
      </c>
      <c r="O1049" t="s">
        <v>359</v>
      </c>
      <c r="P1049" t="s">
        <v>21</v>
      </c>
      <c r="Q1049" t="s">
        <v>30</v>
      </c>
      <c r="R1049" t="str">
        <f>VLOOKUP($O1049,'Mapa Oficinas'!$A$7:$C$46,2,FALSE)</f>
        <v>CABA</v>
      </c>
      <c r="S1049" t="str">
        <f>VLOOKUP($O1049,'Mapa Oficinas'!$A$7:$C$46,3,FALSE)</f>
        <v>Palermo</v>
      </c>
    </row>
    <row r="1050" spans="1:19" x14ac:dyDescent="0.2">
      <c r="A1050" s="1">
        <v>45855</v>
      </c>
      <c r="D1050" t="s">
        <v>5525</v>
      </c>
      <c r="E1050" t="s">
        <v>16</v>
      </c>
      <c r="F1050" t="s">
        <v>38</v>
      </c>
      <c r="G1050" s="14">
        <v>190000</v>
      </c>
      <c r="H1050" s="14">
        <v>190000</v>
      </c>
      <c r="I1050" t="s">
        <v>22</v>
      </c>
      <c r="J1050" t="s">
        <v>22</v>
      </c>
      <c r="K1050" t="s">
        <v>5526</v>
      </c>
      <c r="L1050" t="s">
        <v>658</v>
      </c>
      <c r="M1050" t="s">
        <v>28</v>
      </c>
      <c r="N1050">
        <v>1</v>
      </c>
      <c r="O1050" t="s">
        <v>246</v>
      </c>
      <c r="P1050" t="s">
        <v>131</v>
      </c>
      <c r="Q1050" t="s">
        <v>30</v>
      </c>
      <c r="R1050" t="str">
        <f>VLOOKUP($O1050,'Mapa Oficinas'!$A$7:$C$46,2,FALSE)</f>
        <v>Interior - Salta</v>
      </c>
      <c r="S1050" t="str">
        <f>VLOOKUP($O1050,'Mapa Oficinas'!$A$7:$C$46,3,FALSE)</f>
        <v>San Lorenzo Chico</v>
      </c>
    </row>
    <row r="1051" spans="1:19" x14ac:dyDescent="0.2">
      <c r="A1051" s="1">
        <v>45855</v>
      </c>
      <c r="B1051" t="s">
        <v>5533</v>
      </c>
      <c r="D1051" t="s">
        <v>5534</v>
      </c>
      <c r="E1051" t="s">
        <v>16</v>
      </c>
      <c r="F1051" t="s">
        <v>17</v>
      </c>
      <c r="G1051" s="14">
        <v>225000</v>
      </c>
      <c r="H1051" s="14">
        <v>220000</v>
      </c>
      <c r="I1051" t="s">
        <v>22</v>
      </c>
      <c r="J1051" t="s">
        <v>22</v>
      </c>
      <c r="K1051" t="s">
        <v>5535</v>
      </c>
      <c r="L1051" t="s">
        <v>1634</v>
      </c>
      <c r="M1051" t="s">
        <v>19</v>
      </c>
      <c r="N1051">
        <v>2</v>
      </c>
      <c r="O1051" t="s">
        <v>20</v>
      </c>
      <c r="P1051" t="s">
        <v>41</v>
      </c>
      <c r="Q1051" t="s">
        <v>30</v>
      </c>
      <c r="R1051" t="str">
        <f>VLOOKUP($O1051,'Mapa Oficinas'!$A$7:$C$46,2,FALSE)</f>
        <v>CABA</v>
      </c>
      <c r="S1051" t="str">
        <f>VLOOKUP($O1051,'Mapa Oficinas'!$A$7:$C$46,3,FALSE)</f>
        <v>Palermo</v>
      </c>
    </row>
    <row r="1052" spans="1:19" x14ac:dyDescent="0.2">
      <c r="A1052" s="1">
        <v>45855</v>
      </c>
      <c r="B1052" t="s">
        <v>5531</v>
      </c>
      <c r="D1052" t="s">
        <v>5532</v>
      </c>
      <c r="E1052" t="s">
        <v>16</v>
      </c>
      <c r="F1052" t="s">
        <v>17</v>
      </c>
      <c r="G1052" s="14">
        <v>275000</v>
      </c>
      <c r="H1052" s="14">
        <v>280000</v>
      </c>
      <c r="I1052" t="s">
        <v>22</v>
      </c>
      <c r="J1052" t="s">
        <v>22</v>
      </c>
      <c r="K1052" t="s">
        <v>5532</v>
      </c>
      <c r="L1052" t="s">
        <v>1765</v>
      </c>
      <c r="M1052" t="s">
        <v>28</v>
      </c>
      <c r="N1052">
        <v>2</v>
      </c>
      <c r="O1052" t="s">
        <v>142</v>
      </c>
      <c r="P1052" t="s">
        <v>41</v>
      </c>
      <c r="Q1052" t="s">
        <v>30</v>
      </c>
      <c r="R1052" t="str">
        <f>VLOOKUP($O1052,'Mapa Oficinas'!$A$7:$C$46,2,FALSE)</f>
        <v>Zona Norte (GBA)</v>
      </c>
      <c r="S1052" t="str">
        <f>VLOOKUP($O1052,'Mapa Oficinas'!$A$7:$C$46,3,FALSE)</f>
        <v>Nordelta</v>
      </c>
    </row>
    <row r="1053" spans="1:19" x14ac:dyDescent="0.2">
      <c r="A1053" s="1">
        <v>45855</v>
      </c>
      <c r="B1053" t="s">
        <v>5519</v>
      </c>
      <c r="D1053" t="s">
        <v>5520</v>
      </c>
      <c r="E1053" t="s">
        <v>16</v>
      </c>
      <c r="F1053" t="s">
        <v>17</v>
      </c>
      <c r="G1053" s="14">
        <v>2300</v>
      </c>
      <c r="H1053" s="14">
        <v>365000</v>
      </c>
      <c r="I1053" t="s">
        <v>22</v>
      </c>
      <c r="J1053" t="s">
        <v>22</v>
      </c>
      <c r="K1053" t="s">
        <v>5521</v>
      </c>
      <c r="L1053" t="s">
        <v>5522</v>
      </c>
      <c r="M1053" t="s">
        <v>28</v>
      </c>
      <c r="N1053">
        <v>2</v>
      </c>
      <c r="O1053" t="s">
        <v>142</v>
      </c>
      <c r="P1053" t="s">
        <v>21</v>
      </c>
      <c r="Q1053" t="s">
        <v>30</v>
      </c>
      <c r="R1053" t="str">
        <f>VLOOKUP($O1053,'Mapa Oficinas'!$A$7:$C$46,2,FALSE)</f>
        <v>Zona Norte (GBA)</v>
      </c>
      <c r="S1053" t="str">
        <f>VLOOKUP($O1053,'Mapa Oficinas'!$A$7:$C$46,3,FALSE)</f>
        <v>Nordelta</v>
      </c>
    </row>
    <row r="1054" spans="1:19" x14ac:dyDescent="0.2">
      <c r="A1054" s="1">
        <v>45856</v>
      </c>
      <c r="B1054" t="s">
        <v>5503</v>
      </c>
      <c r="D1054" t="s">
        <v>5504</v>
      </c>
      <c r="E1054" t="s">
        <v>16</v>
      </c>
      <c r="F1054" t="s">
        <v>17</v>
      </c>
      <c r="G1054" s="14">
        <v>38000</v>
      </c>
      <c r="H1054" s="14">
        <v>36500</v>
      </c>
      <c r="I1054" t="s">
        <v>22</v>
      </c>
      <c r="J1054" t="s">
        <v>22</v>
      </c>
      <c r="K1054" t="s">
        <v>5505</v>
      </c>
      <c r="L1054" t="s">
        <v>1004</v>
      </c>
      <c r="M1054" t="s">
        <v>19</v>
      </c>
      <c r="N1054">
        <v>2</v>
      </c>
      <c r="O1054" t="s">
        <v>103</v>
      </c>
      <c r="P1054" t="s">
        <v>1578</v>
      </c>
      <c r="Q1054" t="s">
        <v>30</v>
      </c>
      <c r="R1054" t="str">
        <f>VLOOKUP($O1054,'Mapa Oficinas'!$A$7:$C$46,2,FALSE)</f>
        <v>CABA</v>
      </c>
      <c r="S1054" t="str">
        <f>VLOOKUP($O1054,'Mapa Oficinas'!$A$7:$C$46,3,FALSE)</f>
        <v>Barrio Parque</v>
      </c>
    </row>
    <row r="1055" spans="1:19" x14ac:dyDescent="0.2">
      <c r="A1055" s="1">
        <v>45856</v>
      </c>
      <c r="B1055" t="s">
        <v>5498</v>
      </c>
      <c r="D1055" t="s">
        <v>5499</v>
      </c>
      <c r="E1055" t="s">
        <v>16</v>
      </c>
      <c r="F1055" t="s">
        <v>17</v>
      </c>
      <c r="G1055" s="14">
        <v>69000</v>
      </c>
      <c r="H1055" s="14">
        <v>65000</v>
      </c>
      <c r="I1055" t="s">
        <v>22</v>
      </c>
      <c r="J1055" t="s">
        <v>22</v>
      </c>
      <c r="K1055" t="s">
        <v>5500</v>
      </c>
      <c r="L1055" t="s">
        <v>191</v>
      </c>
      <c r="M1055" t="s">
        <v>19</v>
      </c>
      <c r="N1055">
        <v>2</v>
      </c>
      <c r="O1055" t="s">
        <v>103</v>
      </c>
      <c r="P1055" t="s">
        <v>21</v>
      </c>
      <c r="Q1055" t="s">
        <v>30</v>
      </c>
      <c r="R1055" t="str">
        <f>VLOOKUP($O1055,'Mapa Oficinas'!$A$7:$C$46,2,FALSE)</f>
        <v>CABA</v>
      </c>
      <c r="S1055" t="str">
        <f>VLOOKUP($O1055,'Mapa Oficinas'!$A$7:$C$46,3,FALSE)</f>
        <v>Barrio Parque</v>
      </c>
    </row>
    <row r="1056" spans="1:19" x14ac:dyDescent="0.2">
      <c r="A1056" s="1">
        <v>45856</v>
      </c>
      <c r="D1056" t="s">
        <v>5501</v>
      </c>
      <c r="E1056" t="s">
        <v>16</v>
      </c>
      <c r="F1056" t="s">
        <v>17</v>
      </c>
      <c r="G1056" s="14">
        <v>65000</v>
      </c>
      <c r="H1056" s="14">
        <v>65000</v>
      </c>
      <c r="I1056" t="s">
        <v>22</v>
      </c>
      <c r="J1056" t="s">
        <v>22</v>
      </c>
      <c r="K1056" t="s">
        <v>5502</v>
      </c>
      <c r="L1056" t="s">
        <v>170</v>
      </c>
      <c r="M1056" t="s">
        <v>19</v>
      </c>
      <c r="N1056">
        <v>1</v>
      </c>
      <c r="O1056" t="s">
        <v>171</v>
      </c>
      <c r="P1056" t="s">
        <v>146</v>
      </c>
      <c r="Q1056" t="s">
        <v>30</v>
      </c>
      <c r="R1056" t="str">
        <f>VLOOKUP($O1056,'Mapa Oficinas'!$A$7:$C$46,2,FALSE)</f>
        <v>Zona Sur (GBA)</v>
      </c>
      <c r="S1056" t="str">
        <f>VLOOKUP($O1056,'Mapa Oficinas'!$A$7:$C$46,3,FALSE)</f>
        <v>La Plata</v>
      </c>
    </row>
    <row r="1057" spans="1:19" x14ac:dyDescent="0.2">
      <c r="A1057" s="1">
        <v>45856</v>
      </c>
      <c r="B1057" t="s">
        <v>5494</v>
      </c>
      <c r="D1057" t="s">
        <v>5495</v>
      </c>
      <c r="E1057" t="s">
        <v>16</v>
      </c>
      <c r="F1057" t="s">
        <v>17</v>
      </c>
      <c r="G1057" s="14">
        <v>75000</v>
      </c>
      <c r="H1057" s="14">
        <v>68000</v>
      </c>
      <c r="I1057" t="s">
        <v>22</v>
      </c>
      <c r="J1057" t="s">
        <v>22</v>
      </c>
      <c r="K1057" t="s">
        <v>5496</v>
      </c>
      <c r="L1057" t="s">
        <v>79</v>
      </c>
      <c r="M1057" t="s">
        <v>19</v>
      </c>
      <c r="N1057">
        <v>2</v>
      </c>
      <c r="O1057" t="s">
        <v>103</v>
      </c>
      <c r="P1057" t="s">
        <v>276</v>
      </c>
      <c r="Q1057" t="s">
        <v>30</v>
      </c>
      <c r="R1057" t="str">
        <f>VLOOKUP($O1057,'Mapa Oficinas'!$A$7:$C$46,2,FALSE)</f>
        <v>CABA</v>
      </c>
      <c r="S1057" t="str">
        <f>VLOOKUP($O1057,'Mapa Oficinas'!$A$7:$C$46,3,FALSE)</f>
        <v>Barrio Parque</v>
      </c>
    </row>
    <row r="1058" spans="1:19" x14ac:dyDescent="0.2">
      <c r="A1058" s="1">
        <v>45856</v>
      </c>
      <c r="B1058" t="s">
        <v>5483</v>
      </c>
      <c r="D1058" t="s">
        <v>5484</v>
      </c>
      <c r="E1058" t="s">
        <v>16</v>
      </c>
      <c r="F1058" t="s">
        <v>38</v>
      </c>
      <c r="G1058" s="14">
        <v>85500</v>
      </c>
      <c r="H1058" s="14">
        <v>85500</v>
      </c>
      <c r="I1058" t="s">
        <v>22</v>
      </c>
      <c r="J1058" t="s">
        <v>22</v>
      </c>
      <c r="K1058" t="s">
        <v>5485</v>
      </c>
      <c r="L1058" t="s">
        <v>856</v>
      </c>
      <c r="M1058" t="s">
        <v>19</v>
      </c>
      <c r="N1058">
        <v>2</v>
      </c>
      <c r="O1058" t="s">
        <v>206</v>
      </c>
      <c r="P1058" t="s">
        <v>21</v>
      </c>
      <c r="Q1058" t="s">
        <v>30</v>
      </c>
      <c r="R1058" t="str">
        <f>VLOOKUP($O1058,'Mapa Oficinas'!$A$7:$C$46,2,FALSE)</f>
        <v>CABA</v>
      </c>
      <c r="S1058" t="str">
        <f>VLOOKUP($O1058,'Mapa Oficinas'!$A$7:$C$46,3,FALSE)</f>
        <v>Belgrano</v>
      </c>
    </row>
    <row r="1059" spans="1:19" x14ac:dyDescent="0.2">
      <c r="A1059" s="1">
        <v>45856</v>
      </c>
      <c r="B1059" t="s">
        <v>5506</v>
      </c>
      <c r="D1059" t="s">
        <v>5507</v>
      </c>
      <c r="E1059" t="s">
        <v>16</v>
      </c>
      <c r="F1059" t="s">
        <v>17</v>
      </c>
      <c r="G1059" s="14">
        <v>95000</v>
      </c>
      <c r="H1059" s="14">
        <v>90000</v>
      </c>
      <c r="I1059" t="s">
        <v>22</v>
      </c>
      <c r="J1059" t="s">
        <v>22</v>
      </c>
      <c r="K1059" t="s">
        <v>5508</v>
      </c>
      <c r="L1059" t="s">
        <v>191</v>
      </c>
      <c r="M1059" t="s">
        <v>19</v>
      </c>
      <c r="N1059">
        <v>2</v>
      </c>
      <c r="O1059" t="s">
        <v>103</v>
      </c>
      <c r="P1059" t="s">
        <v>21</v>
      </c>
      <c r="Q1059" t="s">
        <v>30</v>
      </c>
      <c r="R1059" t="str">
        <f>VLOOKUP($O1059,'Mapa Oficinas'!$A$7:$C$46,2,FALSE)</f>
        <v>CABA</v>
      </c>
      <c r="S1059" t="str">
        <f>VLOOKUP($O1059,'Mapa Oficinas'!$A$7:$C$46,3,FALSE)</f>
        <v>Barrio Parque</v>
      </c>
    </row>
    <row r="1060" spans="1:19" x14ac:dyDescent="0.2">
      <c r="A1060" s="1">
        <v>45856</v>
      </c>
      <c r="B1060" t="s">
        <v>5512</v>
      </c>
      <c r="D1060" t="s">
        <v>5513</v>
      </c>
      <c r="E1060" t="s">
        <v>16</v>
      </c>
      <c r="F1060" t="s">
        <v>17</v>
      </c>
      <c r="G1060" s="14">
        <v>99000</v>
      </c>
      <c r="H1060" s="14">
        <v>92000</v>
      </c>
      <c r="I1060" t="s">
        <v>22</v>
      </c>
      <c r="J1060" t="s">
        <v>22</v>
      </c>
      <c r="K1060" t="s">
        <v>5514</v>
      </c>
      <c r="L1060" t="s">
        <v>5515</v>
      </c>
      <c r="M1060" t="s">
        <v>28</v>
      </c>
      <c r="N1060">
        <v>1</v>
      </c>
      <c r="O1060" t="s">
        <v>171</v>
      </c>
      <c r="P1060" t="s">
        <v>146</v>
      </c>
      <c r="Q1060" t="s">
        <v>30</v>
      </c>
      <c r="R1060" t="str">
        <f>VLOOKUP($O1060,'Mapa Oficinas'!$A$7:$C$46,2,FALSE)</f>
        <v>Zona Sur (GBA)</v>
      </c>
      <c r="S1060" t="str">
        <f>VLOOKUP($O1060,'Mapa Oficinas'!$A$7:$C$46,3,FALSE)</f>
        <v>La Plata</v>
      </c>
    </row>
    <row r="1061" spans="1:19" x14ac:dyDescent="0.2">
      <c r="A1061" s="1">
        <v>45856</v>
      </c>
      <c r="B1061">
        <v>23</v>
      </c>
      <c r="D1061" t="s">
        <v>5487</v>
      </c>
      <c r="E1061" t="s">
        <v>16</v>
      </c>
      <c r="F1061" t="s">
        <v>17</v>
      </c>
      <c r="G1061" s="14">
        <v>94000</v>
      </c>
      <c r="H1061" s="14">
        <v>94000</v>
      </c>
      <c r="I1061" t="s">
        <v>22</v>
      </c>
      <c r="J1061" t="s">
        <v>22</v>
      </c>
      <c r="K1061" t="s">
        <v>5487</v>
      </c>
      <c r="L1061" t="s">
        <v>1077</v>
      </c>
      <c r="M1061" t="s">
        <v>19</v>
      </c>
      <c r="N1061">
        <v>1</v>
      </c>
      <c r="O1061" t="s">
        <v>116</v>
      </c>
      <c r="P1061" t="s">
        <v>146</v>
      </c>
      <c r="Q1061" t="s">
        <v>30</v>
      </c>
      <c r="R1061" t="str">
        <f>VLOOKUP($O1061,'Mapa Oficinas'!$A$7:$C$46,2,FALSE)</f>
        <v>CABA</v>
      </c>
      <c r="S1061" t="str">
        <f>VLOOKUP($O1061,'Mapa Oficinas'!$A$7:$C$46,3,FALSE)</f>
        <v>Puerto Madero</v>
      </c>
    </row>
    <row r="1062" spans="1:19" x14ac:dyDescent="0.2">
      <c r="A1062" s="1">
        <v>45856</v>
      </c>
      <c r="B1062">
        <v>24</v>
      </c>
      <c r="D1062" t="s">
        <v>5486</v>
      </c>
      <c r="E1062" t="s">
        <v>16</v>
      </c>
      <c r="F1062" t="s">
        <v>17</v>
      </c>
      <c r="G1062" s="14">
        <v>98000</v>
      </c>
      <c r="H1062" s="14">
        <v>98000</v>
      </c>
      <c r="I1062" t="s">
        <v>22</v>
      </c>
      <c r="J1062" t="s">
        <v>22</v>
      </c>
      <c r="K1062" t="s">
        <v>5486</v>
      </c>
      <c r="L1062" t="s">
        <v>164</v>
      </c>
      <c r="M1062" t="s">
        <v>19</v>
      </c>
      <c r="N1062">
        <v>1</v>
      </c>
      <c r="O1062" t="s">
        <v>116</v>
      </c>
      <c r="P1062" t="s">
        <v>146</v>
      </c>
      <c r="Q1062" t="s">
        <v>30</v>
      </c>
      <c r="R1062" t="str">
        <f>VLOOKUP($O1062,'Mapa Oficinas'!$A$7:$C$46,2,FALSE)</f>
        <v>CABA</v>
      </c>
      <c r="S1062" t="str">
        <f>VLOOKUP($O1062,'Mapa Oficinas'!$A$7:$C$46,3,FALSE)</f>
        <v>Puerto Madero</v>
      </c>
    </row>
    <row r="1063" spans="1:19" x14ac:dyDescent="0.2">
      <c r="A1063" s="1">
        <v>45856</v>
      </c>
      <c r="B1063" t="s">
        <v>5491</v>
      </c>
      <c r="D1063" t="s">
        <v>5492</v>
      </c>
      <c r="E1063" t="s">
        <v>16</v>
      </c>
      <c r="F1063" t="s">
        <v>17</v>
      </c>
      <c r="G1063" s="14">
        <v>109000</v>
      </c>
      <c r="H1063" s="14">
        <v>115000</v>
      </c>
      <c r="I1063" t="s">
        <v>22</v>
      </c>
      <c r="J1063" t="s">
        <v>22</v>
      </c>
      <c r="K1063" t="s">
        <v>5493</v>
      </c>
      <c r="L1063" t="s">
        <v>394</v>
      </c>
      <c r="M1063" t="s">
        <v>19</v>
      </c>
      <c r="N1063">
        <v>2</v>
      </c>
      <c r="O1063" t="s">
        <v>201</v>
      </c>
      <c r="P1063" t="s">
        <v>21</v>
      </c>
      <c r="Q1063" t="s">
        <v>30</v>
      </c>
      <c r="R1063" t="str">
        <f>VLOOKUP($O1063,'Mapa Oficinas'!$A$7:$C$46,2,FALSE)</f>
        <v>CABA</v>
      </c>
      <c r="S1063" t="str">
        <f>VLOOKUP($O1063,'Mapa Oficinas'!$A$7:$C$46,3,FALSE)</f>
        <v>Recoleta</v>
      </c>
    </row>
    <row r="1064" spans="1:19" x14ac:dyDescent="0.2">
      <c r="A1064" s="1">
        <v>45856</v>
      </c>
      <c r="B1064">
        <v>10416</v>
      </c>
      <c r="D1064" t="s">
        <v>5497</v>
      </c>
      <c r="E1064" t="s">
        <v>16</v>
      </c>
      <c r="F1064" t="s">
        <v>58</v>
      </c>
      <c r="G1064" s="14">
        <v>0</v>
      </c>
      <c r="H1064" s="14">
        <v>240000</v>
      </c>
      <c r="I1064" t="s">
        <v>22</v>
      </c>
      <c r="J1064" t="s">
        <v>22</v>
      </c>
      <c r="L1064" t="s">
        <v>282</v>
      </c>
      <c r="M1064" t="s">
        <v>19</v>
      </c>
      <c r="N1064">
        <v>1</v>
      </c>
      <c r="O1064" t="s">
        <v>103</v>
      </c>
      <c r="P1064" t="s">
        <v>146</v>
      </c>
      <c r="Q1064" t="s">
        <v>30</v>
      </c>
      <c r="R1064" t="str">
        <f>VLOOKUP($O1064,'Mapa Oficinas'!$A$7:$C$46,2,FALSE)</f>
        <v>CABA</v>
      </c>
      <c r="S1064" t="str">
        <f>VLOOKUP($O1064,'Mapa Oficinas'!$A$7:$C$46,3,FALSE)</f>
        <v>Barrio Parque</v>
      </c>
    </row>
    <row r="1065" spans="1:19" x14ac:dyDescent="0.2">
      <c r="A1065" s="1">
        <v>45856</v>
      </c>
      <c r="B1065" t="s">
        <v>5509</v>
      </c>
      <c r="D1065" t="s">
        <v>5510</v>
      </c>
      <c r="E1065" t="s">
        <v>16</v>
      </c>
      <c r="F1065" t="s">
        <v>17</v>
      </c>
      <c r="G1065" s="14">
        <v>350000</v>
      </c>
      <c r="H1065" s="14">
        <v>320000</v>
      </c>
      <c r="I1065" t="s">
        <v>22</v>
      </c>
      <c r="J1065" t="s">
        <v>22</v>
      </c>
      <c r="K1065" t="s">
        <v>5510</v>
      </c>
      <c r="L1065" t="s">
        <v>5511</v>
      </c>
      <c r="M1065" t="s">
        <v>28</v>
      </c>
      <c r="N1065">
        <v>2</v>
      </c>
      <c r="O1065" t="s">
        <v>40</v>
      </c>
      <c r="P1065" t="s">
        <v>21</v>
      </c>
      <c r="Q1065" t="s">
        <v>30</v>
      </c>
      <c r="R1065" t="str">
        <f>VLOOKUP($O1065,'Mapa Oficinas'!$A$7:$C$46,2,FALSE)</f>
        <v>Zona Norte (GBA)</v>
      </c>
      <c r="S1065" t="str">
        <f>VLOOKUP($O1065,'Mapa Oficinas'!$A$7:$C$46,3,FALSE)</f>
        <v>Pilar</v>
      </c>
    </row>
    <row r="1066" spans="1:19" x14ac:dyDescent="0.2">
      <c r="A1066" s="1">
        <v>45856</v>
      </c>
      <c r="B1066" t="s">
        <v>5488</v>
      </c>
      <c r="D1066" t="s">
        <v>5489</v>
      </c>
      <c r="E1066" t="s">
        <v>16</v>
      </c>
      <c r="F1066" t="s">
        <v>17</v>
      </c>
      <c r="G1066" s="14">
        <v>334500</v>
      </c>
      <c r="H1066" s="14">
        <v>340000</v>
      </c>
      <c r="I1066" t="s">
        <v>22</v>
      </c>
      <c r="J1066" t="s">
        <v>22</v>
      </c>
      <c r="K1066" t="s">
        <v>5490</v>
      </c>
      <c r="L1066" t="s">
        <v>111</v>
      </c>
      <c r="M1066" t="s">
        <v>19</v>
      </c>
      <c r="N1066">
        <v>2</v>
      </c>
      <c r="O1066" t="s">
        <v>116</v>
      </c>
      <c r="P1066" t="s">
        <v>21</v>
      </c>
      <c r="Q1066" t="s">
        <v>30</v>
      </c>
      <c r="R1066" t="str">
        <f>VLOOKUP($O1066,'Mapa Oficinas'!$A$7:$C$46,2,FALSE)</f>
        <v>CABA</v>
      </c>
      <c r="S1066" t="str">
        <f>VLOOKUP($O1066,'Mapa Oficinas'!$A$7:$C$46,3,FALSE)</f>
        <v>Puerto Madero</v>
      </c>
    </row>
    <row r="1067" spans="1:19" x14ac:dyDescent="0.2">
      <c r="A1067" s="1">
        <v>45859</v>
      </c>
      <c r="B1067" t="s">
        <v>5473</v>
      </c>
      <c r="D1067" t="s">
        <v>5474</v>
      </c>
      <c r="E1067" t="s">
        <v>16</v>
      </c>
      <c r="F1067" t="s">
        <v>17</v>
      </c>
      <c r="G1067" s="14">
        <v>51500</v>
      </c>
      <c r="H1067" s="14">
        <v>48500</v>
      </c>
      <c r="I1067" t="s">
        <v>22</v>
      </c>
      <c r="J1067" t="s">
        <v>22</v>
      </c>
      <c r="K1067" t="s">
        <v>5475</v>
      </c>
      <c r="L1067" t="s">
        <v>191</v>
      </c>
      <c r="M1067" t="s">
        <v>19</v>
      </c>
      <c r="N1067">
        <v>2</v>
      </c>
      <c r="O1067" t="s">
        <v>201</v>
      </c>
      <c r="P1067" t="s">
        <v>276</v>
      </c>
      <c r="Q1067" t="s">
        <v>30</v>
      </c>
      <c r="R1067" t="str">
        <f>VLOOKUP($O1067,'Mapa Oficinas'!$A$7:$C$46,2,FALSE)</f>
        <v>CABA</v>
      </c>
      <c r="S1067" t="str">
        <f>VLOOKUP($O1067,'Mapa Oficinas'!$A$7:$C$46,3,FALSE)</f>
        <v>Recoleta</v>
      </c>
    </row>
    <row r="1068" spans="1:19" x14ac:dyDescent="0.2">
      <c r="A1068" s="1">
        <v>45859</v>
      </c>
      <c r="B1068" t="s">
        <v>1996</v>
      </c>
      <c r="D1068" t="s">
        <v>1997</v>
      </c>
      <c r="E1068" t="s">
        <v>16</v>
      </c>
      <c r="F1068" t="s">
        <v>17</v>
      </c>
      <c r="G1068" s="14">
        <v>63000</v>
      </c>
      <c r="H1068" s="14">
        <v>60000</v>
      </c>
      <c r="I1068" t="s">
        <v>22</v>
      </c>
      <c r="J1068" t="s">
        <v>22</v>
      </c>
      <c r="K1068" t="s">
        <v>1998</v>
      </c>
      <c r="L1068" t="s">
        <v>71</v>
      </c>
      <c r="M1068" t="s">
        <v>19</v>
      </c>
      <c r="N1068">
        <v>2</v>
      </c>
      <c r="O1068" t="s">
        <v>103</v>
      </c>
      <c r="P1068" t="s">
        <v>276</v>
      </c>
      <c r="Q1068" t="s">
        <v>30</v>
      </c>
      <c r="R1068" t="str">
        <f>VLOOKUP($O1068,'Mapa Oficinas'!$A$7:$C$46,2,FALSE)</f>
        <v>CABA</v>
      </c>
      <c r="S1068" t="str">
        <f>VLOOKUP($O1068,'Mapa Oficinas'!$A$7:$C$46,3,FALSE)</f>
        <v>Barrio Parque</v>
      </c>
    </row>
    <row r="1069" spans="1:19" x14ac:dyDescent="0.2">
      <c r="A1069" s="1">
        <v>45859</v>
      </c>
      <c r="B1069" t="s">
        <v>5470</v>
      </c>
      <c r="D1069" t="s">
        <v>5471</v>
      </c>
      <c r="E1069" t="s">
        <v>16</v>
      </c>
      <c r="F1069" t="s">
        <v>17</v>
      </c>
      <c r="G1069" s="14">
        <v>245000</v>
      </c>
      <c r="H1069" s="14">
        <v>243000</v>
      </c>
      <c r="I1069" t="s">
        <v>22</v>
      </c>
      <c r="J1069" t="s">
        <v>22</v>
      </c>
      <c r="K1069" t="s">
        <v>5472</v>
      </c>
      <c r="L1069" t="s">
        <v>79</v>
      </c>
      <c r="M1069" t="s">
        <v>19</v>
      </c>
      <c r="N1069">
        <v>2</v>
      </c>
      <c r="O1069" t="s">
        <v>103</v>
      </c>
      <c r="P1069" t="s">
        <v>276</v>
      </c>
      <c r="Q1069" t="s">
        <v>30</v>
      </c>
      <c r="R1069" t="str">
        <f>VLOOKUP($O1069,'Mapa Oficinas'!$A$7:$C$46,2,FALSE)</f>
        <v>CABA</v>
      </c>
      <c r="S1069" t="str">
        <f>VLOOKUP($O1069,'Mapa Oficinas'!$A$7:$C$46,3,FALSE)</f>
        <v>Barrio Parque</v>
      </c>
    </row>
    <row r="1070" spans="1:19" x14ac:dyDescent="0.2">
      <c r="A1070" s="1">
        <v>45860</v>
      </c>
      <c r="B1070" t="s">
        <v>5449</v>
      </c>
      <c r="D1070" t="s">
        <v>5450</v>
      </c>
      <c r="E1070" t="s">
        <v>16</v>
      </c>
      <c r="F1070" t="s">
        <v>17</v>
      </c>
      <c r="G1070" s="14">
        <v>59900</v>
      </c>
      <c r="H1070" s="14">
        <v>59000</v>
      </c>
      <c r="I1070" t="s">
        <v>22</v>
      </c>
      <c r="J1070" t="s">
        <v>22</v>
      </c>
      <c r="K1070" t="s">
        <v>5451</v>
      </c>
      <c r="L1070" t="s">
        <v>545</v>
      </c>
      <c r="M1070" t="s">
        <v>19</v>
      </c>
      <c r="N1070">
        <v>2</v>
      </c>
      <c r="O1070" t="s">
        <v>35</v>
      </c>
      <c r="P1070" t="s">
        <v>21</v>
      </c>
      <c r="Q1070" t="s">
        <v>30</v>
      </c>
      <c r="R1070" t="str">
        <f>VLOOKUP($O1070,'Mapa Oficinas'!$A$7:$C$46,2,FALSE)</f>
        <v>Zona Norte (GBA)</v>
      </c>
      <c r="S1070" t="str">
        <f>VLOOKUP($O1070,'Mapa Oficinas'!$A$7:$C$46,3,FALSE)</f>
        <v>Vicente López</v>
      </c>
    </row>
    <row r="1071" spans="1:19" x14ac:dyDescent="0.2">
      <c r="A1071" s="1">
        <v>45860</v>
      </c>
      <c r="B1071" t="s">
        <v>5459</v>
      </c>
      <c r="D1071" t="s">
        <v>5460</v>
      </c>
      <c r="E1071" t="s">
        <v>16</v>
      </c>
      <c r="F1071" t="s">
        <v>17</v>
      </c>
      <c r="G1071" s="14">
        <v>70000</v>
      </c>
      <c r="H1071" s="14">
        <v>68000</v>
      </c>
      <c r="I1071" t="s">
        <v>22</v>
      </c>
      <c r="J1071" t="s">
        <v>22</v>
      </c>
      <c r="K1071" t="s">
        <v>5461</v>
      </c>
      <c r="L1071" t="s">
        <v>5213</v>
      </c>
      <c r="M1071" t="s">
        <v>72</v>
      </c>
      <c r="N1071">
        <v>2</v>
      </c>
      <c r="O1071" t="s">
        <v>142</v>
      </c>
      <c r="P1071" t="s">
        <v>21</v>
      </c>
      <c r="Q1071" t="s">
        <v>30</v>
      </c>
      <c r="R1071" t="str">
        <f>VLOOKUP($O1071,'Mapa Oficinas'!$A$7:$C$46,2,FALSE)</f>
        <v>Zona Norte (GBA)</v>
      </c>
      <c r="S1071" t="str">
        <f>VLOOKUP($O1071,'Mapa Oficinas'!$A$7:$C$46,3,FALSE)</f>
        <v>Nordelta</v>
      </c>
    </row>
    <row r="1072" spans="1:19" x14ac:dyDescent="0.2">
      <c r="A1072" s="1">
        <v>45860</v>
      </c>
      <c r="B1072" t="s">
        <v>5465</v>
      </c>
      <c r="D1072" t="s">
        <v>19</v>
      </c>
      <c r="E1072" t="s">
        <v>16</v>
      </c>
      <c r="F1072" t="s">
        <v>17</v>
      </c>
      <c r="G1072" s="14">
        <v>72000</v>
      </c>
      <c r="H1072" s="14">
        <v>69000</v>
      </c>
      <c r="I1072" t="s">
        <v>22</v>
      </c>
      <c r="J1072" t="s">
        <v>22</v>
      </c>
      <c r="K1072" t="s">
        <v>5466</v>
      </c>
      <c r="L1072" t="s">
        <v>54</v>
      </c>
      <c r="M1072" t="s">
        <v>19</v>
      </c>
      <c r="N1072">
        <v>1</v>
      </c>
      <c r="O1072" t="s">
        <v>55</v>
      </c>
      <c r="P1072" t="s">
        <v>131</v>
      </c>
      <c r="Q1072" t="s">
        <v>30</v>
      </c>
      <c r="R1072" t="str">
        <f>VLOOKUP($O1072,'Mapa Oficinas'!$A$7:$C$46,2,FALSE)</f>
        <v>Interior - Santa Fe</v>
      </c>
      <c r="S1072" t="str">
        <f>VLOOKUP($O1072,'Mapa Oficinas'!$A$7:$C$46,3,FALSE)</f>
        <v>Capital Santa Fe</v>
      </c>
    </row>
    <row r="1073" spans="1:19" x14ac:dyDescent="0.2">
      <c r="A1073" s="1">
        <v>45860</v>
      </c>
      <c r="B1073" t="s">
        <v>5448</v>
      </c>
      <c r="D1073" t="s">
        <v>3774</v>
      </c>
      <c r="E1073" t="s">
        <v>16</v>
      </c>
      <c r="F1073" t="s">
        <v>17</v>
      </c>
      <c r="G1073" s="14">
        <v>63663</v>
      </c>
      <c r="H1073" s="14">
        <v>81233</v>
      </c>
      <c r="I1073" t="s">
        <v>22</v>
      </c>
      <c r="J1073" t="s">
        <v>22</v>
      </c>
      <c r="K1073" t="s">
        <v>3775</v>
      </c>
      <c r="L1073" t="s">
        <v>3245</v>
      </c>
      <c r="M1073" t="s">
        <v>97</v>
      </c>
      <c r="N1073">
        <v>2</v>
      </c>
      <c r="O1073" t="s">
        <v>142</v>
      </c>
      <c r="P1073" t="s">
        <v>276</v>
      </c>
      <c r="Q1073" t="s">
        <v>30</v>
      </c>
      <c r="R1073" t="str">
        <f>VLOOKUP($O1073,'Mapa Oficinas'!$A$7:$C$46,2,FALSE)</f>
        <v>Zona Norte (GBA)</v>
      </c>
      <c r="S1073" t="str">
        <f>VLOOKUP($O1073,'Mapa Oficinas'!$A$7:$C$46,3,FALSE)</f>
        <v>Nordelta</v>
      </c>
    </row>
    <row r="1074" spans="1:19" x14ac:dyDescent="0.2">
      <c r="A1074" s="1">
        <v>45860</v>
      </c>
      <c r="B1074" t="s">
        <v>5467</v>
      </c>
      <c r="D1074" t="s">
        <v>5468</v>
      </c>
      <c r="E1074" t="s">
        <v>16</v>
      </c>
      <c r="F1074" t="s">
        <v>58</v>
      </c>
      <c r="G1074" s="14">
        <v>142000</v>
      </c>
      <c r="H1074" s="14">
        <v>135000</v>
      </c>
      <c r="I1074" t="s">
        <v>22</v>
      </c>
      <c r="J1074" t="s">
        <v>22</v>
      </c>
      <c r="K1074" t="s">
        <v>5469</v>
      </c>
      <c r="L1074" t="s">
        <v>282</v>
      </c>
      <c r="M1074" t="s">
        <v>19</v>
      </c>
      <c r="N1074">
        <v>2</v>
      </c>
      <c r="O1074" t="s">
        <v>206</v>
      </c>
      <c r="P1074" t="s">
        <v>21</v>
      </c>
      <c r="Q1074" t="s">
        <v>30</v>
      </c>
      <c r="R1074" t="str">
        <f>VLOOKUP($O1074,'Mapa Oficinas'!$A$7:$C$46,2,FALSE)</f>
        <v>CABA</v>
      </c>
      <c r="S1074" t="str">
        <f>VLOOKUP($O1074,'Mapa Oficinas'!$A$7:$C$46,3,FALSE)</f>
        <v>Belgrano</v>
      </c>
    </row>
    <row r="1075" spans="1:19" x14ac:dyDescent="0.2">
      <c r="A1075" s="1">
        <v>45860</v>
      </c>
      <c r="B1075" t="s">
        <v>5462</v>
      </c>
      <c r="D1075" t="s">
        <v>5463</v>
      </c>
      <c r="E1075" t="s">
        <v>16</v>
      </c>
      <c r="F1075" t="s">
        <v>17</v>
      </c>
      <c r="G1075" s="14">
        <v>175000</v>
      </c>
      <c r="H1075" s="14">
        <v>165000</v>
      </c>
      <c r="I1075" t="s">
        <v>22</v>
      </c>
      <c r="J1075" t="s">
        <v>22</v>
      </c>
      <c r="K1075" t="s">
        <v>5464</v>
      </c>
      <c r="L1075" t="s">
        <v>282</v>
      </c>
      <c r="M1075" t="s">
        <v>19</v>
      </c>
      <c r="N1075">
        <v>2</v>
      </c>
      <c r="O1075" t="s">
        <v>389</v>
      </c>
      <c r="P1075" t="s">
        <v>21</v>
      </c>
      <c r="Q1075" t="s">
        <v>30</v>
      </c>
      <c r="R1075" t="str">
        <f>VLOOKUP($O1075,'Mapa Oficinas'!$A$7:$C$46,2,FALSE)</f>
        <v>Zona Norte (GBA)</v>
      </c>
      <c r="S1075" t="str">
        <f>VLOOKUP($O1075,'Mapa Oficinas'!$A$7:$C$46,3,FALSE)</f>
        <v>Escobar</v>
      </c>
    </row>
    <row r="1076" spans="1:19" x14ac:dyDescent="0.2">
      <c r="A1076" s="1">
        <v>45860</v>
      </c>
      <c r="B1076" t="s">
        <v>5452</v>
      </c>
      <c r="D1076" t="s">
        <v>5453</v>
      </c>
      <c r="E1076" t="s">
        <v>16</v>
      </c>
      <c r="F1076" t="s">
        <v>243</v>
      </c>
      <c r="G1076" s="14">
        <v>180000</v>
      </c>
      <c r="H1076" s="14">
        <v>170000</v>
      </c>
      <c r="I1076" t="s">
        <v>22</v>
      </c>
      <c r="J1076" t="s">
        <v>22</v>
      </c>
      <c r="K1076" t="s">
        <v>5454</v>
      </c>
      <c r="L1076" t="s">
        <v>245</v>
      </c>
      <c r="M1076" t="s">
        <v>28</v>
      </c>
      <c r="N1076">
        <v>2</v>
      </c>
      <c r="O1076" t="s">
        <v>246</v>
      </c>
      <c r="P1076" t="s">
        <v>21</v>
      </c>
      <c r="Q1076" t="s">
        <v>30</v>
      </c>
      <c r="R1076" t="str">
        <f>VLOOKUP($O1076,'Mapa Oficinas'!$A$7:$C$46,2,FALSE)</f>
        <v>Interior - Salta</v>
      </c>
      <c r="S1076" t="str">
        <f>VLOOKUP($O1076,'Mapa Oficinas'!$A$7:$C$46,3,FALSE)</f>
        <v>San Lorenzo Chico</v>
      </c>
    </row>
    <row r="1077" spans="1:19" x14ac:dyDescent="0.2">
      <c r="A1077" s="1">
        <v>45860</v>
      </c>
      <c r="B1077" t="s">
        <v>5455</v>
      </c>
      <c r="D1077" t="s">
        <v>5456</v>
      </c>
      <c r="E1077" t="s">
        <v>16</v>
      </c>
      <c r="F1077" t="s">
        <v>17</v>
      </c>
      <c r="G1077" s="14">
        <v>430000</v>
      </c>
      <c r="H1077" s="14">
        <v>330000</v>
      </c>
      <c r="I1077" t="s">
        <v>22</v>
      </c>
      <c r="J1077" t="s">
        <v>22</v>
      </c>
      <c r="K1077" t="s">
        <v>5457</v>
      </c>
      <c r="L1077" t="s">
        <v>5458</v>
      </c>
      <c r="M1077" t="s">
        <v>28</v>
      </c>
      <c r="N1077">
        <v>2</v>
      </c>
      <c r="O1077" t="s">
        <v>142</v>
      </c>
      <c r="P1077" t="s">
        <v>41</v>
      </c>
      <c r="Q1077" t="s">
        <v>30</v>
      </c>
      <c r="R1077" t="str">
        <f>VLOOKUP($O1077,'Mapa Oficinas'!$A$7:$C$46,2,FALSE)</f>
        <v>Zona Norte (GBA)</v>
      </c>
      <c r="S1077" t="str">
        <f>VLOOKUP($O1077,'Mapa Oficinas'!$A$7:$C$46,3,FALSE)</f>
        <v>Nordelta</v>
      </c>
    </row>
    <row r="1078" spans="1:19" x14ac:dyDescent="0.2">
      <c r="A1078" s="1">
        <v>45861</v>
      </c>
      <c r="B1078" t="s">
        <v>5429</v>
      </c>
      <c r="D1078" t="s">
        <v>5429</v>
      </c>
      <c r="E1078" t="s">
        <v>16</v>
      </c>
      <c r="F1078" t="s">
        <v>17</v>
      </c>
      <c r="G1078" s="14">
        <v>103000</v>
      </c>
      <c r="H1078" s="14">
        <v>51500</v>
      </c>
      <c r="I1078" t="s">
        <v>22</v>
      </c>
      <c r="J1078" t="s">
        <v>22</v>
      </c>
      <c r="K1078" t="s">
        <v>5429</v>
      </c>
      <c r="L1078" t="s">
        <v>237</v>
      </c>
      <c r="M1078" t="s">
        <v>72</v>
      </c>
      <c r="N1078">
        <v>2</v>
      </c>
      <c r="O1078" t="s">
        <v>50</v>
      </c>
      <c r="P1078" t="s">
        <v>21</v>
      </c>
      <c r="Q1078" t="s">
        <v>30</v>
      </c>
      <c r="R1078" t="str">
        <f>VLOOKUP($O1078,'Mapa Oficinas'!$A$7:$C$46,2,FALSE)</f>
        <v>CABA</v>
      </c>
      <c r="S1078" t="str">
        <f>VLOOKUP($O1078,'Mapa Oficinas'!$A$7:$C$46,3,FALSE)</f>
        <v>Villa Urquiza</v>
      </c>
    </row>
    <row r="1079" spans="1:19" x14ac:dyDescent="0.2">
      <c r="A1079" s="1">
        <v>45861</v>
      </c>
      <c r="B1079" t="s">
        <v>5439</v>
      </c>
      <c r="D1079" t="s">
        <v>5440</v>
      </c>
      <c r="E1079" t="s">
        <v>16</v>
      </c>
      <c r="F1079" t="s">
        <v>17</v>
      </c>
      <c r="G1079" s="14">
        <v>54000</v>
      </c>
      <c r="H1079" s="14">
        <v>52000</v>
      </c>
      <c r="I1079" t="s">
        <v>22</v>
      </c>
      <c r="J1079" t="s">
        <v>22</v>
      </c>
      <c r="K1079" t="s">
        <v>5441</v>
      </c>
      <c r="L1079" t="s">
        <v>967</v>
      </c>
      <c r="M1079" t="s">
        <v>19</v>
      </c>
      <c r="N1079">
        <v>2</v>
      </c>
      <c r="O1079" t="s">
        <v>142</v>
      </c>
      <c r="P1079" t="s">
        <v>41</v>
      </c>
      <c r="Q1079" t="s">
        <v>30</v>
      </c>
      <c r="R1079" t="str">
        <f>VLOOKUP($O1079,'Mapa Oficinas'!$A$7:$C$46,2,FALSE)</f>
        <v>Zona Norte (GBA)</v>
      </c>
      <c r="S1079" t="str">
        <f>VLOOKUP($O1079,'Mapa Oficinas'!$A$7:$C$46,3,FALSE)</f>
        <v>Nordelta</v>
      </c>
    </row>
    <row r="1080" spans="1:19" x14ac:dyDescent="0.2">
      <c r="A1080" s="1">
        <v>45861</v>
      </c>
      <c r="B1080">
        <v>23072025</v>
      </c>
      <c r="D1080" t="s">
        <v>5433</v>
      </c>
      <c r="E1080" t="s">
        <v>16</v>
      </c>
      <c r="F1080" t="s">
        <v>134</v>
      </c>
      <c r="G1080" s="14">
        <v>63524</v>
      </c>
      <c r="H1080" s="14">
        <v>63524</v>
      </c>
      <c r="I1080" t="s">
        <v>22</v>
      </c>
      <c r="J1080" t="s">
        <v>22</v>
      </c>
      <c r="L1080" t="s">
        <v>129</v>
      </c>
      <c r="M1080" t="s">
        <v>97</v>
      </c>
      <c r="N1080">
        <v>1</v>
      </c>
      <c r="O1080" t="s">
        <v>130</v>
      </c>
      <c r="P1080" t="s">
        <v>131</v>
      </c>
      <c r="Q1080" t="s">
        <v>30</v>
      </c>
      <c r="R1080" t="str">
        <f>VLOOKUP($O1080,'Mapa Oficinas'!$A$7:$C$46,2,FALSE)</f>
        <v>Interior - Río Negro</v>
      </c>
      <c r="S1080" t="str">
        <f>VLOOKUP($O1080,'Mapa Oficinas'!$A$7:$C$46,3,FALSE)</f>
        <v>Bariloche</v>
      </c>
    </row>
    <row r="1081" spans="1:19" x14ac:dyDescent="0.2">
      <c r="A1081" s="1">
        <v>45861</v>
      </c>
      <c r="B1081" t="s">
        <v>5442</v>
      </c>
      <c r="D1081" t="s">
        <v>5443</v>
      </c>
      <c r="E1081" t="s">
        <v>16</v>
      </c>
      <c r="F1081" t="s">
        <v>17</v>
      </c>
      <c r="G1081" s="14">
        <v>86000</v>
      </c>
      <c r="H1081" s="14">
        <v>86000</v>
      </c>
      <c r="I1081" t="s">
        <v>22</v>
      </c>
      <c r="J1081" t="s">
        <v>22</v>
      </c>
      <c r="K1081" t="s">
        <v>5444</v>
      </c>
      <c r="L1081" t="s">
        <v>237</v>
      </c>
      <c r="M1081" t="s">
        <v>28</v>
      </c>
      <c r="N1081">
        <v>1</v>
      </c>
      <c r="O1081" t="s">
        <v>142</v>
      </c>
      <c r="P1081" t="s">
        <v>146</v>
      </c>
      <c r="Q1081" t="s">
        <v>30</v>
      </c>
      <c r="R1081" t="str">
        <f>VLOOKUP($O1081,'Mapa Oficinas'!$A$7:$C$46,2,FALSE)</f>
        <v>Zona Norte (GBA)</v>
      </c>
      <c r="S1081" t="str">
        <f>VLOOKUP($O1081,'Mapa Oficinas'!$A$7:$C$46,3,FALSE)</f>
        <v>Nordelta</v>
      </c>
    </row>
    <row r="1082" spans="1:19" x14ac:dyDescent="0.2">
      <c r="A1082" s="1">
        <v>45861</v>
      </c>
      <c r="B1082" t="s">
        <v>5434</v>
      </c>
      <c r="D1082" t="s">
        <v>5435</v>
      </c>
      <c r="E1082" t="s">
        <v>16</v>
      </c>
      <c r="F1082" t="s">
        <v>134</v>
      </c>
      <c r="G1082" s="14">
        <v>115000</v>
      </c>
      <c r="H1082" s="14">
        <v>96000</v>
      </c>
      <c r="I1082" t="s">
        <v>22</v>
      </c>
      <c r="J1082" t="s">
        <v>22</v>
      </c>
      <c r="K1082" t="s">
        <v>2852</v>
      </c>
      <c r="L1082" t="s">
        <v>1454</v>
      </c>
      <c r="M1082" t="s">
        <v>72</v>
      </c>
      <c r="N1082">
        <v>2</v>
      </c>
      <c r="O1082" t="s">
        <v>130</v>
      </c>
      <c r="P1082" t="s">
        <v>41</v>
      </c>
      <c r="Q1082" t="s">
        <v>30</v>
      </c>
      <c r="R1082" t="str">
        <f>VLOOKUP($O1082,'Mapa Oficinas'!$A$7:$C$46,2,FALSE)</f>
        <v>Interior - Río Negro</v>
      </c>
      <c r="S1082" t="str">
        <f>VLOOKUP($O1082,'Mapa Oficinas'!$A$7:$C$46,3,FALSE)</f>
        <v>Bariloche</v>
      </c>
    </row>
    <row r="1083" spans="1:19" x14ac:dyDescent="0.2">
      <c r="A1083" s="1">
        <v>45861</v>
      </c>
      <c r="B1083" t="s">
        <v>5426</v>
      </c>
      <c r="D1083" t="s">
        <v>5427</v>
      </c>
      <c r="E1083" t="s">
        <v>16</v>
      </c>
      <c r="F1083" t="s">
        <v>58</v>
      </c>
      <c r="G1083" s="14">
        <v>190000</v>
      </c>
      <c r="H1083" s="14">
        <v>97500</v>
      </c>
      <c r="I1083" t="s">
        <v>22</v>
      </c>
      <c r="J1083" t="s">
        <v>22</v>
      </c>
      <c r="K1083" t="s">
        <v>5428</v>
      </c>
      <c r="L1083" t="s">
        <v>205</v>
      </c>
      <c r="M1083" t="s">
        <v>19</v>
      </c>
      <c r="N1083">
        <v>2</v>
      </c>
      <c r="O1083" t="s">
        <v>50</v>
      </c>
      <c r="P1083" t="s">
        <v>21</v>
      </c>
      <c r="Q1083" t="s">
        <v>30</v>
      </c>
      <c r="R1083" t="str">
        <f>VLOOKUP($O1083,'Mapa Oficinas'!$A$7:$C$46,2,FALSE)</f>
        <v>CABA</v>
      </c>
      <c r="S1083" t="str">
        <f>VLOOKUP($O1083,'Mapa Oficinas'!$A$7:$C$46,3,FALSE)</f>
        <v>Villa Urquiza</v>
      </c>
    </row>
    <row r="1084" spans="1:19" x14ac:dyDescent="0.2">
      <c r="A1084" s="1">
        <v>45861</v>
      </c>
      <c r="B1084" t="s">
        <v>5436</v>
      </c>
      <c r="D1084" t="s">
        <v>5437</v>
      </c>
      <c r="E1084" t="s">
        <v>16</v>
      </c>
      <c r="F1084" t="s">
        <v>17</v>
      </c>
      <c r="G1084" s="14">
        <v>377000</v>
      </c>
      <c r="H1084" s="14">
        <v>310000</v>
      </c>
      <c r="I1084" t="s">
        <v>22</v>
      </c>
      <c r="J1084" t="s">
        <v>22</v>
      </c>
      <c r="K1084" t="s">
        <v>5438</v>
      </c>
      <c r="L1084" t="s">
        <v>2946</v>
      </c>
      <c r="M1084" t="s">
        <v>19</v>
      </c>
      <c r="N1084">
        <v>2</v>
      </c>
      <c r="O1084" t="s">
        <v>142</v>
      </c>
      <c r="P1084" t="s">
        <v>276</v>
      </c>
      <c r="Q1084" t="s">
        <v>30</v>
      </c>
      <c r="R1084" t="str">
        <f>VLOOKUP($O1084,'Mapa Oficinas'!$A$7:$C$46,2,FALSE)</f>
        <v>Zona Norte (GBA)</v>
      </c>
      <c r="S1084" t="str">
        <f>VLOOKUP($O1084,'Mapa Oficinas'!$A$7:$C$46,3,FALSE)</f>
        <v>Nordelta</v>
      </c>
    </row>
    <row r="1085" spans="1:19" x14ac:dyDescent="0.2">
      <c r="A1085" s="1">
        <v>45861</v>
      </c>
      <c r="B1085">
        <v>10445</v>
      </c>
      <c r="D1085" t="s">
        <v>5447</v>
      </c>
      <c r="E1085" t="s">
        <v>16</v>
      </c>
      <c r="F1085" t="s">
        <v>17</v>
      </c>
      <c r="G1085" s="14">
        <v>540000</v>
      </c>
      <c r="H1085" s="14">
        <v>540000</v>
      </c>
      <c r="I1085" t="s">
        <v>22</v>
      </c>
      <c r="J1085" t="s">
        <v>22</v>
      </c>
      <c r="L1085" t="s">
        <v>960</v>
      </c>
      <c r="M1085" t="s">
        <v>19</v>
      </c>
      <c r="N1085">
        <v>2</v>
      </c>
      <c r="O1085" t="s">
        <v>103</v>
      </c>
      <c r="P1085" t="s">
        <v>36</v>
      </c>
      <c r="Q1085" t="s">
        <v>30</v>
      </c>
      <c r="R1085" t="str">
        <f>VLOOKUP($O1085,'Mapa Oficinas'!$A$7:$C$46,2,FALSE)</f>
        <v>CABA</v>
      </c>
      <c r="S1085" t="str">
        <f>VLOOKUP($O1085,'Mapa Oficinas'!$A$7:$C$46,3,FALSE)</f>
        <v>Barrio Parque</v>
      </c>
    </row>
    <row r="1086" spans="1:19" x14ac:dyDescent="0.2">
      <c r="A1086" s="1">
        <v>45861</v>
      </c>
      <c r="B1086" t="s">
        <v>5445</v>
      </c>
      <c r="D1086" t="s">
        <v>5446</v>
      </c>
      <c r="E1086" t="s">
        <v>16</v>
      </c>
      <c r="F1086" t="s">
        <v>17</v>
      </c>
      <c r="G1086" s="14">
        <v>560000</v>
      </c>
      <c r="H1086" s="14">
        <v>540000</v>
      </c>
      <c r="I1086" t="s">
        <v>22</v>
      </c>
      <c r="J1086" t="s">
        <v>22</v>
      </c>
      <c r="K1086" t="s">
        <v>5446</v>
      </c>
      <c r="L1086" t="s">
        <v>257</v>
      </c>
      <c r="M1086" t="s">
        <v>28</v>
      </c>
      <c r="N1086">
        <v>2</v>
      </c>
      <c r="O1086" t="s">
        <v>142</v>
      </c>
      <c r="P1086" t="s">
        <v>36</v>
      </c>
      <c r="Q1086" t="s">
        <v>30</v>
      </c>
      <c r="R1086" t="str">
        <f>VLOOKUP($O1086,'Mapa Oficinas'!$A$7:$C$46,2,FALSE)</f>
        <v>Zona Norte (GBA)</v>
      </c>
      <c r="S1086" t="str">
        <f>VLOOKUP($O1086,'Mapa Oficinas'!$A$7:$C$46,3,FALSE)</f>
        <v>Nordelta</v>
      </c>
    </row>
    <row r="1087" spans="1:19" x14ac:dyDescent="0.2">
      <c r="A1087" s="1">
        <v>45862</v>
      </c>
      <c r="B1087" t="s">
        <v>5414</v>
      </c>
      <c r="D1087" t="s">
        <v>5415</v>
      </c>
      <c r="E1087" t="s">
        <v>16</v>
      </c>
      <c r="F1087" t="s">
        <v>17</v>
      </c>
      <c r="G1087" s="14">
        <v>37000</v>
      </c>
      <c r="H1087" s="14">
        <v>36000</v>
      </c>
      <c r="I1087" t="s">
        <v>22</v>
      </c>
      <c r="J1087" t="s">
        <v>22</v>
      </c>
      <c r="K1087" t="s">
        <v>5416</v>
      </c>
      <c r="L1087" t="s">
        <v>3108</v>
      </c>
      <c r="M1087" t="s">
        <v>19</v>
      </c>
      <c r="N1087">
        <v>2</v>
      </c>
      <c r="O1087" t="s">
        <v>29</v>
      </c>
      <c r="P1087" t="s">
        <v>41</v>
      </c>
      <c r="Q1087" t="s">
        <v>30</v>
      </c>
      <c r="R1087" t="str">
        <f>VLOOKUP($O1087,'Mapa Oficinas'!$A$7:$C$46,2,FALSE)</f>
        <v>CABA</v>
      </c>
      <c r="S1087" t="str">
        <f>VLOOKUP($O1087,'Mapa Oficinas'!$A$7:$C$46,3,FALSE)</f>
        <v>Núñez</v>
      </c>
    </row>
    <row r="1088" spans="1:19" x14ac:dyDescent="0.2">
      <c r="A1088" s="1">
        <v>45862</v>
      </c>
      <c r="B1088" t="s">
        <v>5399</v>
      </c>
      <c r="D1088" t="s">
        <v>5400</v>
      </c>
      <c r="E1088" t="s">
        <v>16</v>
      </c>
      <c r="F1088" t="s">
        <v>82</v>
      </c>
      <c r="G1088" s="14">
        <v>65000</v>
      </c>
      <c r="H1088" s="14">
        <v>65000</v>
      </c>
      <c r="I1088" t="s">
        <v>22</v>
      </c>
      <c r="J1088" t="s">
        <v>22</v>
      </c>
      <c r="L1088" t="s">
        <v>2095</v>
      </c>
      <c r="M1088" t="s">
        <v>19</v>
      </c>
      <c r="N1088">
        <v>1</v>
      </c>
      <c r="O1088" t="s">
        <v>65</v>
      </c>
      <c r="P1088" t="s">
        <v>131</v>
      </c>
      <c r="Q1088" t="s">
        <v>30</v>
      </c>
      <c r="R1088" t="str">
        <f>VLOOKUP($O1088,'Mapa Oficinas'!$A$7:$C$46,2,FALSE)</f>
        <v>Interior - Mendoza</v>
      </c>
      <c r="S1088" t="str">
        <f>VLOOKUP($O1088,'Mapa Oficinas'!$A$7:$C$46,3,FALSE)</f>
        <v>Capital Mendoza</v>
      </c>
    </row>
    <row r="1089" spans="1:19" x14ac:dyDescent="0.2">
      <c r="A1089" s="1">
        <v>45862</v>
      </c>
      <c r="B1089" t="s">
        <v>5411</v>
      </c>
      <c r="D1089" t="s">
        <v>5412</v>
      </c>
      <c r="E1089" t="s">
        <v>16</v>
      </c>
      <c r="F1089" t="s">
        <v>17</v>
      </c>
      <c r="G1089" s="14">
        <v>76000</v>
      </c>
      <c r="H1089" s="14">
        <v>70000</v>
      </c>
      <c r="I1089" t="s">
        <v>22</v>
      </c>
      <c r="J1089" t="s">
        <v>22</v>
      </c>
      <c r="K1089" t="s">
        <v>5413</v>
      </c>
      <c r="L1089" t="s">
        <v>1077</v>
      </c>
      <c r="M1089" t="s">
        <v>19</v>
      </c>
      <c r="N1089">
        <v>2</v>
      </c>
      <c r="O1089" t="s">
        <v>252</v>
      </c>
      <c r="P1089" t="s">
        <v>276</v>
      </c>
      <c r="Q1089" t="s">
        <v>30</v>
      </c>
      <c r="R1089" t="str">
        <f>VLOOKUP($O1089,'Mapa Oficinas'!$A$7:$C$46,2,FALSE)</f>
        <v>CABA</v>
      </c>
      <c r="S1089" t="str">
        <f>VLOOKUP($O1089,'Mapa Oficinas'!$A$7:$C$46,3,FALSE)</f>
        <v>Belgrano</v>
      </c>
    </row>
    <row r="1090" spans="1:19" x14ac:dyDescent="0.2">
      <c r="A1090" s="1">
        <v>45862</v>
      </c>
      <c r="B1090" t="s">
        <v>5404</v>
      </c>
      <c r="D1090" t="s">
        <v>5405</v>
      </c>
      <c r="E1090" t="s">
        <v>16</v>
      </c>
      <c r="F1090" t="s">
        <v>17</v>
      </c>
      <c r="G1090" s="14">
        <v>79000</v>
      </c>
      <c r="H1090" s="14">
        <v>77000</v>
      </c>
      <c r="I1090" t="s">
        <v>22</v>
      </c>
      <c r="J1090" t="s">
        <v>22</v>
      </c>
      <c r="K1090" t="s">
        <v>5406</v>
      </c>
      <c r="L1090" t="s">
        <v>221</v>
      </c>
      <c r="M1090" t="s">
        <v>19</v>
      </c>
      <c r="N1090">
        <v>2</v>
      </c>
      <c r="O1090" t="s">
        <v>198</v>
      </c>
      <c r="P1090" t="s">
        <v>21</v>
      </c>
      <c r="Q1090" t="s">
        <v>30</v>
      </c>
      <c r="R1090" t="str">
        <f>VLOOKUP($O1090,'Mapa Oficinas'!$A$7:$C$46,2,FALSE)</f>
        <v>CABA</v>
      </c>
      <c r="S1090" t="str">
        <f>VLOOKUP($O1090,'Mapa Oficinas'!$A$7:$C$46,3,FALSE)</f>
        <v>Caballito</v>
      </c>
    </row>
    <row r="1091" spans="1:19" x14ac:dyDescent="0.2">
      <c r="A1091" s="1">
        <v>45862</v>
      </c>
      <c r="D1091" t="s">
        <v>5401</v>
      </c>
      <c r="E1091" t="s">
        <v>16</v>
      </c>
      <c r="F1091" t="s">
        <v>17</v>
      </c>
      <c r="G1091" s="14">
        <v>85000</v>
      </c>
      <c r="H1091" s="14">
        <v>85000</v>
      </c>
      <c r="I1091" t="s">
        <v>22</v>
      </c>
      <c r="J1091" t="s">
        <v>22</v>
      </c>
      <c r="K1091" t="s">
        <v>5402</v>
      </c>
      <c r="L1091" t="s">
        <v>5403</v>
      </c>
      <c r="M1091" t="s">
        <v>19</v>
      </c>
      <c r="N1091">
        <v>1</v>
      </c>
      <c r="O1091" t="s">
        <v>201</v>
      </c>
      <c r="P1091" t="s">
        <v>146</v>
      </c>
      <c r="Q1091" t="s">
        <v>30</v>
      </c>
      <c r="R1091" t="str">
        <f>VLOOKUP($O1091,'Mapa Oficinas'!$A$7:$C$46,2,FALSE)</f>
        <v>CABA</v>
      </c>
      <c r="S1091" t="str">
        <f>VLOOKUP($O1091,'Mapa Oficinas'!$A$7:$C$46,3,FALSE)</f>
        <v>Recoleta</v>
      </c>
    </row>
    <row r="1092" spans="1:19" x14ac:dyDescent="0.2">
      <c r="A1092" s="1">
        <v>45862</v>
      </c>
      <c r="D1092" t="s">
        <v>5420</v>
      </c>
      <c r="E1092" t="s">
        <v>16</v>
      </c>
      <c r="F1092" t="s">
        <v>47</v>
      </c>
      <c r="G1092" s="14">
        <v>92000</v>
      </c>
      <c r="H1092" s="14">
        <v>92000</v>
      </c>
      <c r="I1092" t="s">
        <v>22</v>
      </c>
      <c r="J1092" t="s">
        <v>22</v>
      </c>
      <c r="K1092" t="s">
        <v>5421</v>
      </c>
      <c r="L1092" t="s">
        <v>5422</v>
      </c>
      <c r="M1092" t="s">
        <v>97</v>
      </c>
      <c r="N1092">
        <v>2</v>
      </c>
      <c r="O1092" t="s">
        <v>98</v>
      </c>
      <c r="P1092" t="s">
        <v>41</v>
      </c>
      <c r="Q1092" t="s">
        <v>30</v>
      </c>
      <c r="R1092" t="str">
        <f>VLOOKUP($O1092,'Mapa Oficinas'!$A$7:$C$46,2,FALSE)</f>
        <v>Interior - Neuquén</v>
      </c>
      <c r="S1092" t="str">
        <f>VLOOKUP($O1092,'Mapa Oficinas'!$A$7:$C$46,3,FALSE)</f>
        <v>Villa La Angostura</v>
      </c>
    </row>
    <row r="1093" spans="1:19" x14ac:dyDescent="0.2">
      <c r="A1093" s="1">
        <v>45862</v>
      </c>
      <c r="B1093" t="s">
        <v>5423</v>
      </c>
      <c r="D1093" t="s">
        <v>5424</v>
      </c>
      <c r="E1093" t="s">
        <v>16</v>
      </c>
      <c r="F1093" t="s">
        <v>17</v>
      </c>
      <c r="G1093" s="14">
        <v>98000</v>
      </c>
      <c r="H1093" s="14">
        <v>98000</v>
      </c>
      <c r="I1093" t="s">
        <v>22</v>
      </c>
      <c r="J1093" t="s">
        <v>22</v>
      </c>
      <c r="K1093" t="s">
        <v>5425</v>
      </c>
      <c r="L1093" t="s">
        <v>37</v>
      </c>
      <c r="M1093" t="s">
        <v>19</v>
      </c>
      <c r="N1093">
        <v>2</v>
      </c>
      <c r="O1093" t="s">
        <v>20</v>
      </c>
      <c r="P1093" t="s">
        <v>36</v>
      </c>
      <c r="Q1093" t="s">
        <v>30</v>
      </c>
      <c r="R1093" t="str">
        <f>VLOOKUP($O1093,'Mapa Oficinas'!$A$7:$C$46,2,FALSE)</f>
        <v>CABA</v>
      </c>
      <c r="S1093" t="str">
        <f>VLOOKUP($O1093,'Mapa Oficinas'!$A$7:$C$46,3,FALSE)</f>
        <v>Palermo</v>
      </c>
    </row>
    <row r="1094" spans="1:19" x14ac:dyDescent="0.2">
      <c r="A1094" s="1">
        <v>45862</v>
      </c>
      <c r="D1094" t="s">
        <v>5417</v>
      </c>
      <c r="E1094" t="s">
        <v>16</v>
      </c>
      <c r="F1094" t="s">
        <v>17</v>
      </c>
      <c r="G1094" s="14">
        <v>98000</v>
      </c>
      <c r="H1094" s="14">
        <v>98000</v>
      </c>
      <c r="I1094" t="s">
        <v>22</v>
      </c>
      <c r="J1094" t="s">
        <v>22</v>
      </c>
      <c r="K1094" t="s">
        <v>5417</v>
      </c>
      <c r="L1094" t="s">
        <v>191</v>
      </c>
      <c r="M1094" t="s">
        <v>19</v>
      </c>
      <c r="N1094">
        <v>2</v>
      </c>
      <c r="O1094" t="s">
        <v>201</v>
      </c>
      <c r="P1094" t="s">
        <v>36</v>
      </c>
      <c r="Q1094" t="s">
        <v>30</v>
      </c>
      <c r="R1094" t="str">
        <f>VLOOKUP($O1094,'Mapa Oficinas'!$A$7:$C$46,2,FALSE)</f>
        <v>CABA</v>
      </c>
      <c r="S1094" t="str">
        <f>VLOOKUP($O1094,'Mapa Oficinas'!$A$7:$C$46,3,FALSE)</f>
        <v>Recoleta</v>
      </c>
    </row>
    <row r="1095" spans="1:19" x14ac:dyDescent="0.2">
      <c r="A1095" s="1">
        <v>45862</v>
      </c>
      <c r="B1095" t="s">
        <v>5418</v>
      </c>
      <c r="D1095" t="s">
        <v>5419</v>
      </c>
      <c r="E1095" t="s">
        <v>16</v>
      </c>
      <c r="F1095" t="s">
        <v>38</v>
      </c>
      <c r="G1095" s="14">
        <v>128000</v>
      </c>
      <c r="H1095" s="14">
        <v>112500</v>
      </c>
      <c r="I1095" t="s">
        <v>22</v>
      </c>
      <c r="J1095" t="s">
        <v>22</v>
      </c>
      <c r="K1095" t="s">
        <v>5419</v>
      </c>
      <c r="L1095" t="s">
        <v>34</v>
      </c>
      <c r="M1095" t="s">
        <v>19</v>
      </c>
      <c r="N1095">
        <v>2</v>
      </c>
      <c r="O1095" t="s">
        <v>40</v>
      </c>
      <c r="P1095" t="s">
        <v>44</v>
      </c>
      <c r="Q1095" t="s">
        <v>30</v>
      </c>
      <c r="R1095" t="str">
        <f>VLOOKUP($O1095,'Mapa Oficinas'!$A$7:$C$46,2,FALSE)</f>
        <v>Zona Norte (GBA)</v>
      </c>
      <c r="S1095" t="str">
        <f>VLOOKUP($O1095,'Mapa Oficinas'!$A$7:$C$46,3,FALSE)</f>
        <v>Pilar</v>
      </c>
    </row>
    <row r="1096" spans="1:19" x14ac:dyDescent="0.2">
      <c r="A1096" s="1">
        <v>45862</v>
      </c>
      <c r="B1096" t="s">
        <v>3824</v>
      </c>
      <c r="D1096" t="s">
        <v>3825</v>
      </c>
      <c r="E1096" t="s">
        <v>16</v>
      </c>
      <c r="F1096" t="s">
        <v>38</v>
      </c>
      <c r="G1096" s="14">
        <v>135000</v>
      </c>
      <c r="H1096" s="14">
        <v>135000</v>
      </c>
      <c r="I1096" t="s">
        <v>22</v>
      </c>
      <c r="J1096" t="s">
        <v>22</v>
      </c>
      <c r="K1096" t="s">
        <v>3823</v>
      </c>
      <c r="L1096" t="s">
        <v>1090</v>
      </c>
      <c r="M1096" t="s">
        <v>19</v>
      </c>
      <c r="N1096">
        <v>2</v>
      </c>
      <c r="O1096" t="s">
        <v>29</v>
      </c>
      <c r="P1096" t="s">
        <v>256</v>
      </c>
      <c r="Q1096" t="s">
        <v>30</v>
      </c>
      <c r="R1096" t="str">
        <f>VLOOKUP($O1096,'Mapa Oficinas'!$A$7:$C$46,2,FALSE)</f>
        <v>CABA</v>
      </c>
      <c r="S1096" t="str">
        <f>VLOOKUP($O1096,'Mapa Oficinas'!$A$7:$C$46,3,FALSE)</f>
        <v>Núñez</v>
      </c>
    </row>
    <row r="1097" spans="1:19" x14ac:dyDescent="0.2">
      <c r="A1097" s="1">
        <v>45862</v>
      </c>
      <c r="B1097" t="s">
        <v>5407</v>
      </c>
      <c r="D1097" t="s">
        <v>5408</v>
      </c>
      <c r="E1097" t="s">
        <v>16</v>
      </c>
      <c r="F1097" t="s">
        <v>17</v>
      </c>
      <c r="G1097" s="14">
        <v>166000</v>
      </c>
      <c r="H1097" s="14">
        <v>150000</v>
      </c>
      <c r="I1097" t="s">
        <v>22</v>
      </c>
      <c r="J1097" t="s">
        <v>22</v>
      </c>
      <c r="K1097" t="s">
        <v>5409</v>
      </c>
      <c r="L1097" t="s">
        <v>4349</v>
      </c>
      <c r="M1097" t="s">
        <v>28</v>
      </c>
      <c r="N1097">
        <v>2</v>
      </c>
      <c r="O1097" t="s">
        <v>29</v>
      </c>
      <c r="P1097" t="s">
        <v>21</v>
      </c>
      <c r="Q1097" t="s">
        <v>30</v>
      </c>
      <c r="R1097" t="str">
        <f>VLOOKUP($O1097,'Mapa Oficinas'!$A$7:$C$46,2,FALSE)</f>
        <v>CABA</v>
      </c>
      <c r="S1097" t="str">
        <f>VLOOKUP($O1097,'Mapa Oficinas'!$A$7:$C$46,3,FALSE)</f>
        <v>Núñez</v>
      </c>
    </row>
    <row r="1098" spans="1:19" x14ac:dyDescent="0.2">
      <c r="A1098" s="1">
        <v>45863</v>
      </c>
      <c r="D1098" t="s">
        <v>5397</v>
      </c>
      <c r="E1098" t="s">
        <v>16</v>
      </c>
      <c r="F1098" t="s">
        <v>82</v>
      </c>
      <c r="G1098" s="14">
        <v>36000</v>
      </c>
      <c r="H1098" s="14">
        <v>36000</v>
      </c>
      <c r="I1098" t="s">
        <v>22</v>
      </c>
      <c r="J1098" t="s">
        <v>22</v>
      </c>
      <c r="K1098" t="s">
        <v>914</v>
      </c>
      <c r="L1098" t="s">
        <v>915</v>
      </c>
      <c r="M1098" t="s">
        <v>97</v>
      </c>
      <c r="N1098">
        <v>2</v>
      </c>
      <c r="O1098" t="s">
        <v>98</v>
      </c>
      <c r="P1098" t="s">
        <v>41</v>
      </c>
      <c r="Q1098" t="s">
        <v>30</v>
      </c>
      <c r="R1098" t="str">
        <f>VLOOKUP($O1098,'Mapa Oficinas'!$A$7:$C$46,2,FALSE)</f>
        <v>Interior - Neuquén</v>
      </c>
      <c r="S1098" t="str">
        <f>VLOOKUP($O1098,'Mapa Oficinas'!$A$7:$C$46,3,FALSE)</f>
        <v>Villa La Angostura</v>
      </c>
    </row>
    <row r="1099" spans="1:19" x14ac:dyDescent="0.2">
      <c r="A1099" s="1">
        <v>45863</v>
      </c>
      <c r="D1099" t="s">
        <v>5398</v>
      </c>
      <c r="E1099" t="s">
        <v>16</v>
      </c>
      <c r="F1099" t="s">
        <v>82</v>
      </c>
      <c r="G1099" s="14">
        <v>36000</v>
      </c>
      <c r="H1099" s="14">
        <v>36000</v>
      </c>
      <c r="I1099" t="s">
        <v>22</v>
      </c>
      <c r="J1099" t="s">
        <v>22</v>
      </c>
      <c r="K1099" t="s">
        <v>914</v>
      </c>
      <c r="L1099" t="s">
        <v>915</v>
      </c>
      <c r="M1099" t="s">
        <v>97</v>
      </c>
      <c r="N1099">
        <v>2</v>
      </c>
      <c r="O1099" t="s">
        <v>98</v>
      </c>
      <c r="P1099" t="s">
        <v>41</v>
      </c>
      <c r="Q1099" t="s">
        <v>30</v>
      </c>
      <c r="R1099" t="str">
        <f>VLOOKUP($O1099,'Mapa Oficinas'!$A$7:$C$46,2,FALSE)</f>
        <v>Interior - Neuquén</v>
      </c>
      <c r="S1099" t="str">
        <f>VLOOKUP($O1099,'Mapa Oficinas'!$A$7:$C$46,3,FALSE)</f>
        <v>Villa La Angostura</v>
      </c>
    </row>
    <row r="1100" spans="1:19" x14ac:dyDescent="0.2">
      <c r="A1100" s="1">
        <v>45863</v>
      </c>
      <c r="B1100" t="s">
        <v>5382</v>
      </c>
      <c r="D1100" t="s">
        <v>5383</v>
      </c>
      <c r="E1100" t="s">
        <v>16</v>
      </c>
      <c r="F1100" t="s">
        <v>47</v>
      </c>
      <c r="G1100" s="14">
        <v>55000</v>
      </c>
      <c r="H1100" s="14">
        <v>54950</v>
      </c>
      <c r="I1100" t="s">
        <v>22</v>
      </c>
      <c r="J1100" t="s">
        <v>22</v>
      </c>
      <c r="L1100" t="s">
        <v>358</v>
      </c>
      <c r="M1100" t="s">
        <v>97</v>
      </c>
      <c r="N1100">
        <v>2</v>
      </c>
      <c r="O1100" t="s">
        <v>359</v>
      </c>
      <c r="P1100" t="s">
        <v>21</v>
      </c>
      <c r="Q1100" t="s">
        <v>30</v>
      </c>
      <c r="R1100" t="str">
        <f>VLOOKUP($O1100,'Mapa Oficinas'!$A$7:$C$46,2,FALSE)</f>
        <v>CABA</v>
      </c>
      <c r="S1100" t="str">
        <f>VLOOKUP($O1100,'Mapa Oficinas'!$A$7:$C$46,3,FALSE)</f>
        <v>Palermo</v>
      </c>
    </row>
    <row r="1101" spans="1:19" x14ac:dyDescent="0.2">
      <c r="A1101" s="1">
        <v>45863</v>
      </c>
      <c r="B1101">
        <v>24072025</v>
      </c>
      <c r="D1101" t="s">
        <v>5377</v>
      </c>
      <c r="E1101" t="s">
        <v>16</v>
      </c>
      <c r="F1101" t="s">
        <v>134</v>
      </c>
      <c r="G1101" s="14">
        <v>60000</v>
      </c>
      <c r="H1101" s="14">
        <v>60000</v>
      </c>
      <c r="I1101" t="s">
        <v>22</v>
      </c>
      <c r="J1101" t="s">
        <v>22</v>
      </c>
      <c r="L1101" t="s">
        <v>129</v>
      </c>
      <c r="M1101" t="s">
        <v>72</v>
      </c>
      <c r="N1101">
        <v>1</v>
      </c>
      <c r="O1101" t="s">
        <v>130</v>
      </c>
      <c r="P1101" t="s">
        <v>131</v>
      </c>
      <c r="Q1101" t="s">
        <v>30</v>
      </c>
      <c r="R1101" t="str">
        <f>VLOOKUP($O1101,'Mapa Oficinas'!$A$7:$C$46,2,FALSE)</f>
        <v>Interior - Río Negro</v>
      </c>
      <c r="S1101" t="str">
        <f>VLOOKUP($O1101,'Mapa Oficinas'!$A$7:$C$46,3,FALSE)</f>
        <v>Bariloche</v>
      </c>
    </row>
    <row r="1102" spans="1:19" x14ac:dyDescent="0.2">
      <c r="A1102" s="1">
        <v>45863</v>
      </c>
      <c r="B1102" t="s">
        <v>5384</v>
      </c>
      <c r="D1102" t="s">
        <v>5385</v>
      </c>
      <c r="E1102" t="s">
        <v>16</v>
      </c>
      <c r="F1102" t="s">
        <v>17</v>
      </c>
      <c r="G1102" s="14">
        <v>90000</v>
      </c>
      <c r="H1102" s="14">
        <v>84000</v>
      </c>
      <c r="I1102" t="s">
        <v>22</v>
      </c>
      <c r="J1102" t="s">
        <v>22</v>
      </c>
      <c r="K1102" t="s">
        <v>5386</v>
      </c>
      <c r="L1102" t="s">
        <v>318</v>
      </c>
      <c r="M1102" t="s">
        <v>72</v>
      </c>
      <c r="N1102">
        <v>2</v>
      </c>
      <c r="O1102" t="s">
        <v>35</v>
      </c>
      <c r="P1102" t="s">
        <v>41</v>
      </c>
      <c r="Q1102" t="s">
        <v>30</v>
      </c>
      <c r="R1102" t="str">
        <f>VLOOKUP($O1102,'Mapa Oficinas'!$A$7:$C$46,2,FALSE)</f>
        <v>Zona Norte (GBA)</v>
      </c>
      <c r="S1102" t="str">
        <f>VLOOKUP($O1102,'Mapa Oficinas'!$A$7:$C$46,3,FALSE)</f>
        <v>Vicente López</v>
      </c>
    </row>
    <row r="1103" spans="1:19" x14ac:dyDescent="0.2">
      <c r="A1103" s="1">
        <v>45863</v>
      </c>
      <c r="B1103" t="s">
        <v>5365</v>
      </c>
      <c r="D1103" t="s">
        <v>5366</v>
      </c>
      <c r="E1103" t="s">
        <v>16</v>
      </c>
      <c r="F1103" t="s">
        <v>17</v>
      </c>
      <c r="G1103" s="14">
        <v>105000</v>
      </c>
      <c r="H1103" s="14">
        <v>105000</v>
      </c>
      <c r="I1103" t="s">
        <v>22</v>
      </c>
      <c r="J1103" t="s">
        <v>22</v>
      </c>
      <c r="K1103" t="s">
        <v>5367</v>
      </c>
      <c r="L1103" t="s">
        <v>938</v>
      </c>
      <c r="M1103" t="s">
        <v>13</v>
      </c>
      <c r="N1103">
        <v>2</v>
      </c>
      <c r="O1103" t="s">
        <v>781</v>
      </c>
      <c r="P1103" t="s">
        <v>21</v>
      </c>
      <c r="Q1103" t="s">
        <v>30</v>
      </c>
      <c r="R1103" t="str">
        <f>VLOOKUP($O1103,'Mapa Oficinas'!$A$7:$C$46,2,FALSE)</f>
        <v>CABA</v>
      </c>
      <c r="S1103" t="str">
        <f>VLOOKUP($O1103,'Mapa Oficinas'!$A$7:$C$46,3,FALSE)</f>
        <v>Palermo</v>
      </c>
    </row>
    <row r="1104" spans="1:19" x14ac:dyDescent="0.2">
      <c r="A1104" s="1">
        <v>45863</v>
      </c>
      <c r="B1104" t="s">
        <v>5387</v>
      </c>
      <c r="D1104" t="s">
        <v>5388</v>
      </c>
      <c r="E1104" t="s">
        <v>16</v>
      </c>
      <c r="F1104" t="s">
        <v>243</v>
      </c>
      <c r="G1104" s="14">
        <v>120000</v>
      </c>
      <c r="H1104" s="14">
        <v>110000</v>
      </c>
      <c r="I1104" t="s">
        <v>22</v>
      </c>
      <c r="J1104" t="s">
        <v>22</v>
      </c>
      <c r="K1104" t="s">
        <v>5389</v>
      </c>
      <c r="L1104" t="s">
        <v>245</v>
      </c>
      <c r="M1104" t="s">
        <v>28</v>
      </c>
      <c r="N1104">
        <v>2</v>
      </c>
      <c r="O1104" t="s">
        <v>246</v>
      </c>
      <c r="P1104" t="s">
        <v>21</v>
      </c>
      <c r="Q1104" t="s">
        <v>30</v>
      </c>
      <c r="R1104" t="str">
        <f>VLOOKUP($O1104,'Mapa Oficinas'!$A$7:$C$46,2,FALSE)</f>
        <v>Interior - Salta</v>
      </c>
      <c r="S1104" t="str">
        <f>VLOOKUP($O1104,'Mapa Oficinas'!$A$7:$C$46,3,FALSE)</f>
        <v>San Lorenzo Chico</v>
      </c>
    </row>
    <row r="1105" spans="1:19" x14ac:dyDescent="0.2">
      <c r="A1105" s="1">
        <v>45863</v>
      </c>
      <c r="B1105" t="s">
        <v>5370</v>
      </c>
      <c r="D1105" t="s">
        <v>5371</v>
      </c>
      <c r="E1105" t="s">
        <v>16</v>
      </c>
      <c r="F1105" t="s">
        <v>17</v>
      </c>
      <c r="G1105" s="14">
        <v>160000</v>
      </c>
      <c r="H1105" s="14">
        <v>155000</v>
      </c>
      <c r="I1105" t="s">
        <v>22</v>
      </c>
      <c r="J1105" t="s">
        <v>22</v>
      </c>
      <c r="K1105" t="s">
        <v>5372</v>
      </c>
      <c r="L1105" t="s">
        <v>258</v>
      </c>
      <c r="M1105" t="s">
        <v>28</v>
      </c>
      <c r="N1105">
        <v>2</v>
      </c>
      <c r="O1105" t="s">
        <v>29</v>
      </c>
      <c r="P1105" t="s">
        <v>36</v>
      </c>
      <c r="Q1105" t="s">
        <v>30</v>
      </c>
      <c r="R1105" t="str">
        <f>VLOOKUP($O1105,'Mapa Oficinas'!$A$7:$C$46,2,FALSE)</f>
        <v>CABA</v>
      </c>
      <c r="S1105" t="str">
        <f>VLOOKUP($O1105,'Mapa Oficinas'!$A$7:$C$46,3,FALSE)</f>
        <v>Núñez</v>
      </c>
    </row>
    <row r="1106" spans="1:19" x14ac:dyDescent="0.2">
      <c r="A1106" s="1">
        <v>45863</v>
      </c>
      <c r="B1106">
        <v>24072025</v>
      </c>
      <c r="D1106" t="s">
        <v>5381</v>
      </c>
      <c r="E1106" t="s">
        <v>16</v>
      </c>
      <c r="F1106" t="s">
        <v>134</v>
      </c>
      <c r="G1106" s="14">
        <v>157740</v>
      </c>
      <c r="H1106" s="14">
        <v>157740</v>
      </c>
      <c r="I1106" t="s">
        <v>22</v>
      </c>
      <c r="J1106" t="s">
        <v>22</v>
      </c>
      <c r="L1106" t="s">
        <v>129</v>
      </c>
      <c r="M1106" t="s">
        <v>19</v>
      </c>
      <c r="N1106">
        <v>1</v>
      </c>
      <c r="O1106" t="s">
        <v>130</v>
      </c>
      <c r="P1106" t="s">
        <v>131</v>
      </c>
      <c r="Q1106" t="s">
        <v>30</v>
      </c>
      <c r="R1106" t="str">
        <f>VLOOKUP($O1106,'Mapa Oficinas'!$A$7:$C$46,2,FALSE)</f>
        <v>Interior - Río Negro</v>
      </c>
      <c r="S1106" t="str">
        <f>VLOOKUP($O1106,'Mapa Oficinas'!$A$7:$C$46,3,FALSE)</f>
        <v>Bariloche</v>
      </c>
    </row>
    <row r="1107" spans="1:19" x14ac:dyDescent="0.2">
      <c r="A1107" s="1">
        <v>45863</v>
      </c>
      <c r="B1107">
        <v>10381</v>
      </c>
      <c r="D1107" t="s">
        <v>5373</v>
      </c>
      <c r="E1107" t="s">
        <v>16</v>
      </c>
      <c r="F1107" t="s">
        <v>17</v>
      </c>
      <c r="G1107" s="14">
        <v>0</v>
      </c>
      <c r="H1107" s="14">
        <v>169000</v>
      </c>
      <c r="I1107" t="s">
        <v>22</v>
      </c>
      <c r="J1107" t="s">
        <v>22</v>
      </c>
      <c r="L1107" t="s">
        <v>277</v>
      </c>
      <c r="M1107" t="s">
        <v>19</v>
      </c>
      <c r="N1107">
        <v>1</v>
      </c>
      <c r="O1107" t="s">
        <v>103</v>
      </c>
      <c r="P1107" t="s">
        <v>146</v>
      </c>
      <c r="Q1107" t="s">
        <v>30</v>
      </c>
      <c r="R1107" t="str">
        <f>VLOOKUP($O1107,'Mapa Oficinas'!$A$7:$C$46,2,FALSE)</f>
        <v>CABA</v>
      </c>
      <c r="S1107" t="str">
        <f>VLOOKUP($O1107,'Mapa Oficinas'!$A$7:$C$46,3,FALSE)</f>
        <v>Barrio Parque</v>
      </c>
    </row>
    <row r="1108" spans="1:19" x14ac:dyDescent="0.2">
      <c r="A1108" s="1">
        <v>45863</v>
      </c>
      <c r="B1108" t="s">
        <v>5378</v>
      </c>
      <c r="D1108" t="s">
        <v>5379</v>
      </c>
      <c r="E1108" t="s">
        <v>16</v>
      </c>
      <c r="F1108" t="s">
        <v>17</v>
      </c>
      <c r="G1108" s="14">
        <v>176000</v>
      </c>
      <c r="H1108" s="14">
        <v>176000</v>
      </c>
      <c r="I1108" t="s">
        <v>22</v>
      </c>
      <c r="J1108" t="s">
        <v>22</v>
      </c>
      <c r="K1108" t="s">
        <v>5380</v>
      </c>
      <c r="L1108" t="s">
        <v>2939</v>
      </c>
      <c r="M1108" t="s">
        <v>72</v>
      </c>
      <c r="N1108">
        <v>1</v>
      </c>
      <c r="O1108" t="s">
        <v>227</v>
      </c>
      <c r="P1108" t="s">
        <v>146</v>
      </c>
      <c r="Q1108" t="s">
        <v>30</v>
      </c>
      <c r="R1108" t="str">
        <f>VLOOKUP($O1108,'Mapa Oficinas'!$A$7:$C$46,2,FALSE)</f>
        <v>Zona Oeste (GBA)</v>
      </c>
      <c r="S1108" t="str">
        <f>VLOOKUP($O1108,'Mapa Oficinas'!$A$7:$C$46,3,FALSE)</f>
        <v>Parque Leloir</v>
      </c>
    </row>
    <row r="1109" spans="1:19" x14ac:dyDescent="0.2">
      <c r="A1109" s="1">
        <v>45863</v>
      </c>
      <c r="B1109" t="s">
        <v>5374</v>
      </c>
      <c r="D1109" t="s">
        <v>5375</v>
      </c>
      <c r="E1109" t="s">
        <v>16</v>
      </c>
      <c r="F1109" t="s">
        <v>17</v>
      </c>
      <c r="G1109" s="14">
        <v>250000</v>
      </c>
      <c r="H1109" s="14">
        <v>240000</v>
      </c>
      <c r="I1109" t="s">
        <v>22</v>
      </c>
      <c r="J1109" t="s">
        <v>22</v>
      </c>
      <c r="K1109" t="s">
        <v>5376</v>
      </c>
      <c r="L1109" t="s">
        <v>717</v>
      </c>
      <c r="M1109" t="s">
        <v>19</v>
      </c>
      <c r="N1109">
        <v>2</v>
      </c>
      <c r="O1109" t="s">
        <v>103</v>
      </c>
      <c r="P1109" t="s">
        <v>276</v>
      </c>
      <c r="Q1109" t="s">
        <v>30</v>
      </c>
      <c r="R1109" t="str">
        <f>VLOOKUP($O1109,'Mapa Oficinas'!$A$7:$C$46,2,FALSE)</f>
        <v>CABA</v>
      </c>
      <c r="S1109" t="str">
        <f>VLOOKUP($O1109,'Mapa Oficinas'!$A$7:$C$46,3,FALSE)</f>
        <v>Barrio Parque</v>
      </c>
    </row>
    <row r="1110" spans="1:19" x14ac:dyDescent="0.2">
      <c r="A1110" s="1">
        <v>45863</v>
      </c>
      <c r="B1110" t="s">
        <v>5394</v>
      </c>
      <c r="D1110" t="s">
        <v>5395</v>
      </c>
      <c r="E1110" t="s">
        <v>16</v>
      </c>
      <c r="F1110" t="s">
        <v>17</v>
      </c>
      <c r="G1110" s="14">
        <v>398000</v>
      </c>
      <c r="H1110" s="14">
        <v>350000</v>
      </c>
      <c r="I1110" t="s">
        <v>22</v>
      </c>
      <c r="J1110" t="s">
        <v>22</v>
      </c>
      <c r="K1110" t="s">
        <v>5396</v>
      </c>
      <c r="L1110" t="s">
        <v>107</v>
      </c>
      <c r="M1110" t="s">
        <v>28</v>
      </c>
      <c r="N1110">
        <v>2</v>
      </c>
      <c r="O1110" t="s">
        <v>1956</v>
      </c>
      <c r="P1110" t="s">
        <v>276</v>
      </c>
      <c r="Q1110" t="s">
        <v>30</v>
      </c>
      <c r="R1110" t="str">
        <f>VLOOKUP($O1110,'Mapa Oficinas'!$A$7:$C$46,2,FALSE)</f>
        <v>CABA</v>
      </c>
      <c r="S1110" t="str">
        <f>VLOOKUP($O1110,'Mapa Oficinas'!$A$7:$C$46,3,FALSE)</f>
        <v>Núñez</v>
      </c>
    </row>
    <row r="1111" spans="1:19" x14ac:dyDescent="0.2">
      <c r="A1111" s="1">
        <v>45863</v>
      </c>
      <c r="B1111" t="s">
        <v>5390</v>
      </c>
      <c r="D1111" t="s">
        <v>5391</v>
      </c>
      <c r="E1111" t="s">
        <v>16</v>
      </c>
      <c r="F1111" t="s">
        <v>17</v>
      </c>
      <c r="G1111" s="14">
        <v>370000</v>
      </c>
      <c r="H1111" s="14">
        <v>355000</v>
      </c>
      <c r="I1111" t="s">
        <v>22</v>
      </c>
      <c r="J1111" t="s">
        <v>22</v>
      </c>
      <c r="K1111" t="s">
        <v>5392</v>
      </c>
      <c r="L1111" t="s">
        <v>5393</v>
      </c>
      <c r="M1111" t="s">
        <v>28</v>
      </c>
      <c r="N1111">
        <v>2</v>
      </c>
      <c r="O1111" t="s">
        <v>1956</v>
      </c>
      <c r="P1111" t="s">
        <v>276</v>
      </c>
      <c r="Q1111" t="s">
        <v>30</v>
      </c>
      <c r="R1111" t="str">
        <f>VLOOKUP($O1111,'Mapa Oficinas'!$A$7:$C$46,2,FALSE)</f>
        <v>CABA</v>
      </c>
      <c r="S1111" t="str">
        <f>VLOOKUP($O1111,'Mapa Oficinas'!$A$7:$C$46,3,FALSE)</f>
        <v>Núñez</v>
      </c>
    </row>
    <row r="1112" spans="1:19" x14ac:dyDescent="0.2">
      <c r="A1112" s="1">
        <v>45865</v>
      </c>
      <c r="D1112" t="s">
        <v>5363</v>
      </c>
      <c r="E1112" t="s">
        <v>16</v>
      </c>
      <c r="F1112" t="s">
        <v>17</v>
      </c>
      <c r="G1112" s="14">
        <v>75000</v>
      </c>
      <c r="H1112" s="14">
        <v>75000</v>
      </c>
      <c r="I1112" t="s">
        <v>22</v>
      </c>
      <c r="J1112" t="s">
        <v>22</v>
      </c>
      <c r="K1112" t="s">
        <v>5364</v>
      </c>
      <c r="L1112" t="s">
        <v>191</v>
      </c>
      <c r="M1112" t="s">
        <v>19</v>
      </c>
      <c r="N1112">
        <v>2</v>
      </c>
      <c r="O1112" t="s">
        <v>201</v>
      </c>
      <c r="P1112" t="s">
        <v>41</v>
      </c>
      <c r="Q1112" t="s">
        <v>30</v>
      </c>
      <c r="R1112" t="str">
        <f>VLOOKUP($O1112,'Mapa Oficinas'!$A$7:$C$46,2,FALSE)</f>
        <v>CABA</v>
      </c>
      <c r="S1112" t="str">
        <f>VLOOKUP($O1112,'Mapa Oficinas'!$A$7:$C$46,3,FALSE)</f>
        <v>Recoleta</v>
      </c>
    </row>
    <row r="1113" spans="1:19" x14ac:dyDescent="0.2">
      <c r="A1113" s="1">
        <v>45865</v>
      </c>
      <c r="B1113" t="s">
        <v>5359</v>
      </c>
      <c r="D1113" t="s">
        <v>5360</v>
      </c>
      <c r="E1113" t="s">
        <v>16</v>
      </c>
      <c r="F1113" t="s">
        <v>17</v>
      </c>
      <c r="G1113" s="14">
        <v>200000</v>
      </c>
      <c r="H1113" s="14">
        <v>160000</v>
      </c>
      <c r="I1113" t="s">
        <v>22</v>
      </c>
      <c r="J1113" t="s">
        <v>22</v>
      </c>
      <c r="K1113" t="s">
        <v>5361</v>
      </c>
      <c r="L1113" t="s">
        <v>5362</v>
      </c>
      <c r="M1113" t="s">
        <v>28</v>
      </c>
      <c r="N1113">
        <v>2</v>
      </c>
      <c r="O1113" t="s">
        <v>142</v>
      </c>
      <c r="P1113" t="s">
        <v>21</v>
      </c>
      <c r="Q1113" t="s">
        <v>30</v>
      </c>
      <c r="R1113" t="str">
        <f>VLOOKUP($O1113,'Mapa Oficinas'!$A$7:$C$46,2,FALSE)</f>
        <v>Zona Norte (GBA)</v>
      </c>
      <c r="S1113" t="str">
        <f>VLOOKUP($O1113,'Mapa Oficinas'!$A$7:$C$46,3,FALSE)</f>
        <v>Nordelta</v>
      </c>
    </row>
    <row r="1114" spans="1:19" x14ac:dyDescent="0.2">
      <c r="A1114" s="1">
        <v>45866</v>
      </c>
      <c r="B1114" t="s">
        <v>5357</v>
      </c>
      <c r="D1114" t="s">
        <v>5358</v>
      </c>
      <c r="E1114" t="s">
        <v>16</v>
      </c>
      <c r="F1114" t="s">
        <v>134</v>
      </c>
      <c r="G1114" s="14">
        <v>79500</v>
      </c>
      <c r="H1114" s="14">
        <v>77250</v>
      </c>
      <c r="I1114" t="s">
        <v>22</v>
      </c>
      <c r="J1114" t="s">
        <v>22</v>
      </c>
      <c r="K1114" t="s">
        <v>2112</v>
      </c>
      <c r="L1114" t="s">
        <v>3525</v>
      </c>
      <c r="M1114" t="s">
        <v>97</v>
      </c>
      <c r="N1114">
        <v>2</v>
      </c>
      <c r="O1114" t="s">
        <v>130</v>
      </c>
      <c r="P1114" t="s">
        <v>21</v>
      </c>
      <c r="Q1114" t="s">
        <v>30</v>
      </c>
      <c r="R1114" t="str">
        <f>VLOOKUP($O1114,'Mapa Oficinas'!$A$7:$C$46,2,FALSE)</f>
        <v>Interior - Río Negro</v>
      </c>
      <c r="S1114" t="str">
        <f>VLOOKUP($O1114,'Mapa Oficinas'!$A$7:$C$46,3,FALSE)</f>
        <v>Bariloche</v>
      </c>
    </row>
    <row r="1115" spans="1:19" x14ac:dyDescent="0.2">
      <c r="A1115" s="1">
        <v>45866</v>
      </c>
      <c r="B1115" t="s">
        <v>5347</v>
      </c>
      <c r="D1115" t="s">
        <v>5348</v>
      </c>
      <c r="E1115" t="s">
        <v>16</v>
      </c>
      <c r="F1115" t="s">
        <v>134</v>
      </c>
      <c r="G1115" s="14">
        <v>104000</v>
      </c>
      <c r="H1115" s="14">
        <v>98000</v>
      </c>
      <c r="I1115" t="s">
        <v>22</v>
      </c>
      <c r="J1115" t="s">
        <v>22</v>
      </c>
      <c r="K1115" t="s">
        <v>5349</v>
      </c>
      <c r="L1115" t="s">
        <v>129</v>
      </c>
      <c r="M1115" t="s">
        <v>19</v>
      </c>
      <c r="N1115">
        <v>2</v>
      </c>
      <c r="O1115" t="s">
        <v>130</v>
      </c>
      <c r="P1115" t="s">
        <v>21</v>
      </c>
      <c r="Q1115" t="s">
        <v>30</v>
      </c>
      <c r="R1115" t="str">
        <f>VLOOKUP($O1115,'Mapa Oficinas'!$A$7:$C$46,2,FALSE)</f>
        <v>Interior - Río Negro</v>
      </c>
      <c r="S1115" t="str">
        <f>VLOOKUP($O1115,'Mapa Oficinas'!$A$7:$C$46,3,FALSE)</f>
        <v>Bariloche</v>
      </c>
    </row>
    <row r="1116" spans="1:19" x14ac:dyDescent="0.2">
      <c r="A1116" s="1">
        <v>45866</v>
      </c>
      <c r="D1116" t="s">
        <v>5355</v>
      </c>
      <c r="E1116" t="s">
        <v>16</v>
      </c>
      <c r="F1116" t="s">
        <v>53</v>
      </c>
      <c r="G1116" s="14">
        <v>110000</v>
      </c>
      <c r="H1116" s="14">
        <v>110000</v>
      </c>
      <c r="I1116" t="s">
        <v>22</v>
      </c>
      <c r="J1116" t="s">
        <v>22</v>
      </c>
      <c r="K1116" t="s">
        <v>5356</v>
      </c>
      <c r="L1116" t="s">
        <v>442</v>
      </c>
      <c r="M1116" t="s">
        <v>19</v>
      </c>
      <c r="N1116">
        <v>2</v>
      </c>
      <c r="O1116" t="s">
        <v>98</v>
      </c>
      <c r="P1116" t="s">
        <v>41</v>
      </c>
      <c r="Q1116" t="s">
        <v>30</v>
      </c>
      <c r="R1116" t="str">
        <f>VLOOKUP($O1116,'Mapa Oficinas'!$A$7:$C$46,2,FALSE)</f>
        <v>Interior - Neuquén</v>
      </c>
      <c r="S1116" t="str">
        <f>VLOOKUP($O1116,'Mapa Oficinas'!$A$7:$C$46,3,FALSE)</f>
        <v>Villa La Angostura</v>
      </c>
    </row>
    <row r="1117" spans="1:19" x14ac:dyDescent="0.2">
      <c r="A1117" s="1">
        <v>45866</v>
      </c>
      <c r="B1117" t="s">
        <v>5351</v>
      </c>
      <c r="D1117" t="s">
        <v>5352</v>
      </c>
      <c r="E1117" t="s">
        <v>16</v>
      </c>
      <c r="F1117" t="s">
        <v>17</v>
      </c>
      <c r="G1117" s="14">
        <v>155000</v>
      </c>
      <c r="H1117" s="14">
        <v>153000</v>
      </c>
      <c r="I1117" t="s">
        <v>22</v>
      </c>
      <c r="J1117" t="s">
        <v>22</v>
      </c>
      <c r="K1117" t="s">
        <v>5353</v>
      </c>
      <c r="L1117" t="s">
        <v>318</v>
      </c>
      <c r="M1117" t="s">
        <v>19</v>
      </c>
      <c r="N1117">
        <v>2</v>
      </c>
      <c r="O1117" t="s">
        <v>103</v>
      </c>
      <c r="P1117" t="s">
        <v>21</v>
      </c>
      <c r="Q1117" t="s">
        <v>30</v>
      </c>
      <c r="R1117" t="str">
        <f>VLOOKUP($O1117,'Mapa Oficinas'!$A$7:$C$46,2,FALSE)</f>
        <v>CABA</v>
      </c>
      <c r="S1117" t="str">
        <f>VLOOKUP($O1117,'Mapa Oficinas'!$A$7:$C$46,3,FALSE)</f>
        <v>Barrio Parque</v>
      </c>
    </row>
    <row r="1118" spans="1:19" x14ac:dyDescent="0.2">
      <c r="A1118" s="1">
        <v>45866</v>
      </c>
      <c r="B1118">
        <v>25072025</v>
      </c>
      <c r="D1118" t="s">
        <v>5350</v>
      </c>
      <c r="E1118" t="s">
        <v>16</v>
      </c>
      <c r="F1118" t="s">
        <v>134</v>
      </c>
      <c r="G1118" s="14">
        <v>158000</v>
      </c>
      <c r="H1118" s="14">
        <v>158000</v>
      </c>
      <c r="I1118" t="s">
        <v>22</v>
      </c>
      <c r="J1118" t="s">
        <v>22</v>
      </c>
      <c r="L1118" t="s">
        <v>129</v>
      </c>
      <c r="M1118" t="s">
        <v>19</v>
      </c>
      <c r="N1118">
        <v>1</v>
      </c>
      <c r="O1118" t="s">
        <v>130</v>
      </c>
      <c r="P1118" t="s">
        <v>131</v>
      </c>
      <c r="Q1118" t="s">
        <v>30</v>
      </c>
      <c r="R1118" t="str">
        <f>VLOOKUP($O1118,'Mapa Oficinas'!$A$7:$C$46,2,FALSE)</f>
        <v>Interior - Río Negro</v>
      </c>
      <c r="S1118" t="str">
        <f>VLOOKUP($O1118,'Mapa Oficinas'!$A$7:$C$46,3,FALSE)</f>
        <v>Bariloche</v>
      </c>
    </row>
    <row r="1119" spans="1:19" x14ac:dyDescent="0.2">
      <c r="A1119" s="1">
        <v>45866</v>
      </c>
      <c r="B1119" t="s">
        <v>5345</v>
      </c>
      <c r="D1119" t="s">
        <v>5346</v>
      </c>
      <c r="E1119" t="s">
        <v>16</v>
      </c>
      <c r="F1119" t="s">
        <v>134</v>
      </c>
      <c r="G1119" s="14">
        <v>160000</v>
      </c>
      <c r="H1119" s="14">
        <v>160000</v>
      </c>
      <c r="I1119" t="s">
        <v>22</v>
      </c>
      <c r="J1119" t="s">
        <v>22</v>
      </c>
      <c r="K1119" t="s">
        <v>4817</v>
      </c>
      <c r="L1119" t="s">
        <v>2591</v>
      </c>
      <c r="M1119" t="s">
        <v>28</v>
      </c>
      <c r="N1119">
        <v>2</v>
      </c>
      <c r="O1119" t="s">
        <v>130</v>
      </c>
      <c r="P1119" t="s">
        <v>21</v>
      </c>
      <c r="Q1119" t="s">
        <v>30</v>
      </c>
      <c r="R1119" t="str">
        <f>VLOOKUP($O1119,'Mapa Oficinas'!$A$7:$C$46,2,FALSE)</f>
        <v>Interior - Río Negro</v>
      </c>
      <c r="S1119" t="str">
        <f>VLOOKUP($O1119,'Mapa Oficinas'!$A$7:$C$46,3,FALSE)</f>
        <v>Bariloche</v>
      </c>
    </row>
    <row r="1120" spans="1:19" x14ac:dyDescent="0.2">
      <c r="A1120" s="1">
        <v>45867</v>
      </c>
      <c r="B1120" t="s">
        <v>5314</v>
      </c>
      <c r="D1120" t="s">
        <v>5315</v>
      </c>
      <c r="E1120" t="s">
        <v>16</v>
      </c>
      <c r="F1120" t="s">
        <v>17</v>
      </c>
      <c r="G1120" s="14">
        <v>41000</v>
      </c>
      <c r="H1120" s="14">
        <v>40000</v>
      </c>
      <c r="I1120" t="s">
        <v>22</v>
      </c>
      <c r="J1120" t="s">
        <v>22</v>
      </c>
      <c r="K1120" t="s">
        <v>5316</v>
      </c>
      <c r="L1120" t="s">
        <v>1285</v>
      </c>
      <c r="M1120" t="s">
        <v>28</v>
      </c>
      <c r="N1120">
        <v>1</v>
      </c>
      <c r="O1120" t="s">
        <v>55</v>
      </c>
      <c r="P1120" t="s">
        <v>66</v>
      </c>
      <c r="Q1120" t="s">
        <v>30</v>
      </c>
      <c r="R1120" t="str">
        <f>VLOOKUP($O1120,'Mapa Oficinas'!$A$7:$C$46,2,FALSE)</f>
        <v>Interior - Santa Fe</v>
      </c>
      <c r="S1120" t="str">
        <f>VLOOKUP($O1120,'Mapa Oficinas'!$A$7:$C$46,3,FALSE)</f>
        <v>Capital Santa Fe</v>
      </c>
    </row>
    <row r="1121" spans="1:19" x14ac:dyDescent="0.2">
      <c r="A1121" s="1">
        <v>45867</v>
      </c>
      <c r="B1121" t="s">
        <v>5334</v>
      </c>
      <c r="D1121" t="s">
        <v>5335</v>
      </c>
      <c r="E1121" t="s">
        <v>16</v>
      </c>
      <c r="F1121" t="s">
        <v>243</v>
      </c>
      <c r="G1121" s="14">
        <v>63000</v>
      </c>
      <c r="H1121" s="14">
        <v>60000</v>
      </c>
      <c r="I1121" t="s">
        <v>22</v>
      </c>
      <c r="J1121" t="s">
        <v>22</v>
      </c>
      <c r="K1121" t="s">
        <v>5336</v>
      </c>
      <c r="L1121" t="s">
        <v>630</v>
      </c>
      <c r="M1121" t="s">
        <v>19</v>
      </c>
      <c r="N1121">
        <v>2</v>
      </c>
      <c r="O1121" t="s">
        <v>246</v>
      </c>
      <c r="P1121" t="s">
        <v>41</v>
      </c>
      <c r="Q1121" t="s">
        <v>30</v>
      </c>
      <c r="R1121" t="str">
        <f>VLOOKUP($O1121,'Mapa Oficinas'!$A$7:$C$46,2,FALSE)</f>
        <v>Interior - Salta</v>
      </c>
      <c r="S1121" t="str">
        <f>VLOOKUP($O1121,'Mapa Oficinas'!$A$7:$C$46,3,FALSE)</f>
        <v>San Lorenzo Chico</v>
      </c>
    </row>
    <row r="1122" spans="1:19" x14ac:dyDescent="0.2">
      <c r="A1122" s="1">
        <v>45867</v>
      </c>
      <c r="B1122" t="s">
        <v>5327</v>
      </c>
      <c r="D1122" t="s">
        <v>5327</v>
      </c>
      <c r="E1122" t="s">
        <v>16</v>
      </c>
      <c r="F1122" t="s">
        <v>58</v>
      </c>
      <c r="G1122" s="14">
        <v>94000</v>
      </c>
      <c r="H1122" s="14">
        <v>94000</v>
      </c>
      <c r="I1122" t="s">
        <v>22</v>
      </c>
      <c r="J1122" t="s">
        <v>22</v>
      </c>
      <c r="K1122" t="s">
        <v>5327</v>
      </c>
      <c r="L1122" t="s">
        <v>523</v>
      </c>
      <c r="M1122" t="s">
        <v>72</v>
      </c>
      <c r="N1122">
        <v>2</v>
      </c>
      <c r="O1122" t="s">
        <v>50</v>
      </c>
      <c r="P1122" t="s">
        <v>41</v>
      </c>
      <c r="Q1122" t="s">
        <v>30</v>
      </c>
      <c r="R1122" t="str">
        <f>VLOOKUP($O1122,'Mapa Oficinas'!$A$7:$C$46,2,FALSE)</f>
        <v>CABA</v>
      </c>
      <c r="S1122" t="str">
        <f>VLOOKUP($O1122,'Mapa Oficinas'!$A$7:$C$46,3,FALSE)</f>
        <v>Villa Urquiza</v>
      </c>
    </row>
    <row r="1123" spans="1:19" x14ac:dyDescent="0.2">
      <c r="A1123" s="1">
        <v>45867</v>
      </c>
      <c r="B1123">
        <v>28072025</v>
      </c>
      <c r="D1123" t="s">
        <v>5344</v>
      </c>
      <c r="E1123" t="s">
        <v>16</v>
      </c>
      <c r="F1123" t="s">
        <v>134</v>
      </c>
      <c r="G1123" s="14">
        <v>94500</v>
      </c>
      <c r="H1123" s="14">
        <v>94500</v>
      </c>
      <c r="I1123" t="s">
        <v>22</v>
      </c>
      <c r="J1123" t="s">
        <v>22</v>
      </c>
      <c r="L1123" t="s">
        <v>129</v>
      </c>
      <c r="M1123" t="s">
        <v>19</v>
      </c>
      <c r="N1123">
        <v>1</v>
      </c>
      <c r="O1123" t="s">
        <v>130</v>
      </c>
      <c r="P1123" t="s">
        <v>131</v>
      </c>
      <c r="Q1123" t="s">
        <v>30</v>
      </c>
      <c r="R1123" t="str">
        <f>VLOOKUP($O1123,'Mapa Oficinas'!$A$7:$C$46,2,FALSE)</f>
        <v>Interior - Río Negro</v>
      </c>
      <c r="S1123" t="str">
        <f>VLOOKUP($O1123,'Mapa Oficinas'!$A$7:$C$46,3,FALSE)</f>
        <v>Bariloche</v>
      </c>
    </row>
    <row r="1124" spans="1:19" x14ac:dyDescent="0.2">
      <c r="A1124" s="1">
        <v>45867</v>
      </c>
      <c r="B1124" t="s">
        <v>5325</v>
      </c>
      <c r="D1124" t="s">
        <v>5326</v>
      </c>
      <c r="E1124" t="s">
        <v>16</v>
      </c>
      <c r="F1124" t="s">
        <v>134</v>
      </c>
      <c r="G1124" s="14">
        <v>120000</v>
      </c>
      <c r="H1124" s="14">
        <v>110000</v>
      </c>
      <c r="I1124" t="s">
        <v>22</v>
      </c>
      <c r="J1124" t="s">
        <v>22</v>
      </c>
      <c r="K1124" t="s">
        <v>4941</v>
      </c>
      <c r="L1124" t="s">
        <v>4942</v>
      </c>
      <c r="M1124" t="s">
        <v>97</v>
      </c>
      <c r="N1124">
        <v>2</v>
      </c>
      <c r="O1124" t="s">
        <v>130</v>
      </c>
      <c r="P1124" t="s">
        <v>21</v>
      </c>
      <c r="Q1124" t="s">
        <v>30</v>
      </c>
      <c r="R1124" t="str">
        <f>VLOOKUP($O1124,'Mapa Oficinas'!$A$7:$C$46,2,FALSE)</f>
        <v>Interior - Río Negro</v>
      </c>
      <c r="S1124" t="str">
        <f>VLOOKUP($O1124,'Mapa Oficinas'!$A$7:$C$46,3,FALSE)</f>
        <v>Bariloche</v>
      </c>
    </row>
    <row r="1125" spans="1:19" x14ac:dyDescent="0.2">
      <c r="A1125" s="1">
        <v>45867</v>
      </c>
      <c r="B1125" t="s">
        <v>5337</v>
      </c>
      <c r="D1125" t="s">
        <v>5338</v>
      </c>
      <c r="E1125" t="s">
        <v>16</v>
      </c>
      <c r="F1125" t="s">
        <v>47</v>
      </c>
      <c r="G1125" s="14">
        <v>139000</v>
      </c>
      <c r="H1125" s="14">
        <v>134000</v>
      </c>
      <c r="I1125" t="s">
        <v>22</v>
      </c>
      <c r="J1125" t="s">
        <v>22</v>
      </c>
      <c r="K1125" t="s">
        <v>5339</v>
      </c>
      <c r="L1125" t="s">
        <v>1323</v>
      </c>
      <c r="M1125" t="s">
        <v>28</v>
      </c>
      <c r="N1125">
        <v>2</v>
      </c>
      <c r="O1125" t="s">
        <v>50</v>
      </c>
      <c r="P1125" t="s">
        <v>41</v>
      </c>
      <c r="Q1125" t="s">
        <v>30</v>
      </c>
      <c r="R1125" t="str">
        <f>VLOOKUP($O1125,'Mapa Oficinas'!$A$7:$C$46,2,FALSE)</f>
        <v>CABA</v>
      </c>
      <c r="S1125" t="str">
        <f>VLOOKUP($O1125,'Mapa Oficinas'!$A$7:$C$46,3,FALSE)</f>
        <v>Villa Urquiza</v>
      </c>
    </row>
    <row r="1126" spans="1:19" x14ac:dyDescent="0.2">
      <c r="A1126" s="1">
        <v>45867</v>
      </c>
      <c r="B1126" t="s">
        <v>5340</v>
      </c>
      <c r="D1126" t="s">
        <v>5341</v>
      </c>
      <c r="E1126" t="s">
        <v>16</v>
      </c>
      <c r="F1126" t="s">
        <v>17</v>
      </c>
      <c r="G1126" s="14">
        <v>172000</v>
      </c>
      <c r="H1126" s="14">
        <v>160000</v>
      </c>
      <c r="I1126" t="s">
        <v>22</v>
      </c>
      <c r="J1126" t="s">
        <v>22</v>
      </c>
      <c r="K1126" t="s">
        <v>5342</v>
      </c>
      <c r="L1126" t="s">
        <v>5343</v>
      </c>
      <c r="M1126" t="s">
        <v>28</v>
      </c>
      <c r="N1126">
        <v>2</v>
      </c>
      <c r="O1126" t="s">
        <v>151</v>
      </c>
      <c r="P1126" t="s">
        <v>21</v>
      </c>
      <c r="Q1126" t="s">
        <v>30</v>
      </c>
      <c r="R1126" t="str">
        <f>VLOOKUP($O1126,'Mapa Oficinas'!$A$7:$C$46,2,FALSE)</f>
        <v>Interior - Neuquén</v>
      </c>
      <c r="S1126" t="str">
        <f>VLOOKUP($O1126,'Mapa Oficinas'!$A$7:$C$46,3,FALSE)</f>
        <v>Capital Neuquén</v>
      </c>
    </row>
    <row r="1127" spans="1:19" x14ac:dyDescent="0.2">
      <c r="A1127" s="1">
        <v>45867</v>
      </c>
      <c r="B1127" t="s">
        <v>5317</v>
      </c>
      <c r="D1127" t="s">
        <v>5318</v>
      </c>
      <c r="E1127" t="s">
        <v>16</v>
      </c>
      <c r="F1127" t="s">
        <v>17</v>
      </c>
      <c r="G1127" s="14">
        <v>195000</v>
      </c>
      <c r="H1127" s="14">
        <v>180000</v>
      </c>
      <c r="I1127" t="s">
        <v>22</v>
      </c>
      <c r="J1127" t="s">
        <v>22</v>
      </c>
      <c r="K1127" t="s">
        <v>3737</v>
      </c>
      <c r="L1127" t="s">
        <v>298</v>
      </c>
      <c r="M1127" t="s">
        <v>19</v>
      </c>
      <c r="N1127">
        <v>2</v>
      </c>
      <c r="O1127" t="s">
        <v>781</v>
      </c>
      <c r="P1127" t="s">
        <v>276</v>
      </c>
      <c r="Q1127" t="s">
        <v>30</v>
      </c>
      <c r="R1127" t="str">
        <f>VLOOKUP($O1127,'Mapa Oficinas'!$A$7:$C$46,2,FALSE)</f>
        <v>CABA</v>
      </c>
      <c r="S1127" t="str">
        <f>VLOOKUP($O1127,'Mapa Oficinas'!$A$7:$C$46,3,FALSE)</f>
        <v>Palermo</v>
      </c>
    </row>
    <row r="1128" spans="1:19" x14ac:dyDescent="0.2">
      <c r="A1128" s="1">
        <v>45867</v>
      </c>
      <c r="B1128" t="s">
        <v>5328</v>
      </c>
      <c r="D1128" t="s">
        <v>5329</v>
      </c>
      <c r="E1128" t="s">
        <v>16</v>
      </c>
      <c r="F1128" t="s">
        <v>17</v>
      </c>
      <c r="G1128" s="14">
        <v>185000</v>
      </c>
      <c r="H1128" s="14">
        <v>195000</v>
      </c>
      <c r="I1128" t="s">
        <v>22</v>
      </c>
      <c r="J1128" t="s">
        <v>22</v>
      </c>
      <c r="K1128" t="s">
        <v>5330</v>
      </c>
      <c r="L1128" t="s">
        <v>330</v>
      </c>
      <c r="M1128" t="s">
        <v>19</v>
      </c>
      <c r="N1128">
        <v>2</v>
      </c>
      <c r="O1128" t="s">
        <v>103</v>
      </c>
      <c r="P1128" t="s">
        <v>276</v>
      </c>
      <c r="Q1128" t="s">
        <v>30</v>
      </c>
      <c r="R1128" t="str">
        <f>VLOOKUP($O1128,'Mapa Oficinas'!$A$7:$C$46,2,FALSE)</f>
        <v>CABA</v>
      </c>
      <c r="S1128" t="str">
        <f>VLOOKUP($O1128,'Mapa Oficinas'!$A$7:$C$46,3,FALSE)</f>
        <v>Barrio Parque</v>
      </c>
    </row>
    <row r="1129" spans="1:19" x14ac:dyDescent="0.2">
      <c r="A1129" s="1">
        <v>45867</v>
      </c>
      <c r="B1129" t="s">
        <v>5321</v>
      </c>
      <c r="D1129" t="s">
        <v>5322</v>
      </c>
      <c r="E1129" t="s">
        <v>16</v>
      </c>
      <c r="F1129" t="s">
        <v>17</v>
      </c>
      <c r="G1129" s="14">
        <v>280000</v>
      </c>
      <c r="H1129" s="14">
        <v>238000</v>
      </c>
      <c r="I1129" t="s">
        <v>22</v>
      </c>
      <c r="J1129" t="s">
        <v>22</v>
      </c>
      <c r="K1129" t="s">
        <v>5323</v>
      </c>
      <c r="L1129" t="s">
        <v>5324</v>
      </c>
      <c r="M1129" t="s">
        <v>28</v>
      </c>
      <c r="N1129">
        <v>1</v>
      </c>
      <c r="O1129" t="s">
        <v>142</v>
      </c>
      <c r="P1129" t="s">
        <v>146</v>
      </c>
      <c r="Q1129" t="s">
        <v>30</v>
      </c>
      <c r="R1129" t="str">
        <f>VLOOKUP($O1129,'Mapa Oficinas'!$A$7:$C$46,2,FALSE)</f>
        <v>Zona Norte (GBA)</v>
      </c>
      <c r="S1129" t="str">
        <f>VLOOKUP($O1129,'Mapa Oficinas'!$A$7:$C$46,3,FALSE)</f>
        <v>Nordelta</v>
      </c>
    </row>
    <row r="1130" spans="1:19" x14ac:dyDescent="0.2">
      <c r="A1130" s="1">
        <v>45867</v>
      </c>
      <c r="B1130" t="s">
        <v>5331</v>
      </c>
      <c r="D1130" t="s">
        <v>5332</v>
      </c>
      <c r="E1130" t="s">
        <v>16</v>
      </c>
      <c r="F1130" t="s">
        <v>17</v>
      </c>
      <c r="G1130" s="14">
        <v>310000</v>
      </c>
      <c r="H1130" s="14">
        <v>290000</v>
      </c>
      <c r="I1130" t="s">
        <v>22</v>
      </c>
      <c r="J1130" t="s">
        <v>22</v>
      </c>
      <c r="K1130" t="s">
        <v>5333</v>
      </c>
      <c r="L1130" t="s">
        <v>1017</v>
      </c>
      <c r="M1130" t="s">
        <v>19</v>
      </c>
      <c r="N1130">
        <v>2</v>
      </c>
      <c r="O1130" t="s">
        <v>73</v>
      </c>
      <c r="P1130" t="s">
        <v>41</v>
      </c>
      <c r="Q1130" t="s">
        <v>30</v>
      </c>
      <c r="R1130" t="str">
        <f>VLOOKUP($O1130,'Mapa Oficinas'!$A$7:$C$46,2,FALSE)</f>
        <v>CABA</v>
      </c>
      <c r="S1130" t="str">
        <f>VLOOKUP($O1130,'Mapa Oficinas'!$A$7:$C$46,3,FALSE)</f>
        <v>Recoleta</v>
      </c>
    </row>
    <row r="1131" spans="1:19" x14ac:dyDescent="0.2">
      <c r="A1131" s="1">
        <v>45867</v>
      </c>
      <c r="B1131" t="s">
        <v>5319</v>
      </c>
      <c r="D1131" t="s">
        <v>5320</v>
      </c>
      <c r="E1131" t="s">
        <v>16</v>
      </c>
      <c r="F1131" t="s">
        <v>17</v>
      </c>
      <c r="G1131" s="14">
        <v>559000</v>
      </c>
      <c r="H1131" s="14">
        <v>483300</v>
      </c>
      <c r="I1131" t="s">
        <v>22</v>
      </c>
      <c r="J1131" t="s">
        <v>22</v>
      </c>
      <c r="K1131" t="s">
        <v>1076</v>
      </c>
      <c r="L1131" t="s">
        <v>1077</v>
      </c>
      <c r="M1131" t="s">
        <v>19</v>
      </c>
      <c r="N1131">
        <v>2</v>
      </c>
      <c r="O1131" t="s">
        <v>103</v>
      </c>
      <c r="P1131" t="s">
        <v>21</v>
      </c>
      <c r="Q1131" t="s">
        <v>30</v>
      </c>
      <c r="R1131" t="str">
        <f>VLOOKUP($O1131,'Mapa Oficinas'!$A$7:$C$46,2,FALSE)</f>
        <v>CABA</v>
      </c>
      <c r="S1131" t="str">
        <f>VLOOKUP($O1131,'Mapa Oficinas'!$A$7:$C$46,3,FALSE)</f>
        <v>Barrio Parque</v>
      </c>
    </row>
    <row r="1132" spans="1:19" x14ac:dyDescent="0.2">
      <c r="A1132" s="1">
        <v>45868</v>
      </c>
      <c r="B1132" t="s">
        <v>5305</v>
      </c>
      <c r="D1132" t="s">
        <v>5306</v>
      </c>
      <c r="E1132" t="s">
        <v>16</v>
      </c>
      <c r="F1132" t="s">
        <v>243</v>
      </c>
      <c r="G1132" s="14">
        <v>40000</v>
      </c>
      <c r="H1132" s="14">
        <v>39000</v>
      </c>
      <c r="I1132" t="s">
        <v>22</v>
      </c>
      <c r="J1132" t="s">
        <v>22</v>
      </c>
      <c r="K1132" t="s">
        <v>5307</v>
      </c>
      <c r="L1132" t="s">
        <v>909</v>
      </c>
      <c r="M1132" t="s">
        <v>19</v>
      </c>
      <c r="N1132">
        <v>2</v>
      </c>
      <c r="O1132" t="s">
        <v>246</v>
      </c>
      <c r="P1132" t="s">
        <v>21</v>
      </c>
      <c r="Q1132" t="s">
        <v>30</v>
      </c>
      <c r="R1132" t="str">
        <f>VLOOKUP($O1132,'Mapa Oficinas'!$A$7:$C$46,2,FALSE)</f>
        <v>Interior - Salta</v>
      </c>
      <c r="S1132" t="str">
        <f>VLOOKUP($O1132,'Mapa Oficinas'!$A$7:$C$46,3,FALSE)</f>
        <v>San Lorenzo Chico</v>
      </c>
    </row>
    <row r="1133" spans="1:19" x14ac:dyDescent="0.2">
      <c r="A1133" s="1">
        <v>45868</v>
      </c>
      <c r="B1133" t="s">
        <v>5280</v>
      </c>
      <c r="D1133" t="s">
        <v>5281</v>
      </c>
      <c r="E1133" t="s">
        <v>16</v>
      </c>
      <c r="F1133" t="s">
        <v>58</v>
      </c>
      <c r="G1133" s="14">
        <v>63900</v>
      </c>
      <c r="H1133" s="14">
        <v>55000</v>
      </c>
      <c r="I1133" t="s">
        <v>22</v>
      </c>
      <c r="J1133" t="s">
        <v>22</v>
      </c>
      <c r="K1133" t="s">
        <v>5282</v>
      </c>
      <c r="L1133" t="s">
        <v>5283</v>
      </c>
      <c r="M1133" t="s">
        <v>72</v>
      </c>
      <c r="N1133">
        <v>2</v>
      </c>
      <c r="O1133" t="s">
        <v>50</v>
      </c>
      <c r="P1133" t="s">
        <v>21</v>
      </c>
      <c r="Q1133" t="s">
        <v>30</v>
      </c>
      <c r="R1133" t="str">
        <f>VLOOKUP($O1133,'Mapa Oficinas'!$A$7:$C$46,2,FALSE)</f>
        <v>CABA</v>
      </c>
      <c r="S1133" t="str">
        <f>VLOOKUP($O1133,'Mapa Oficinas'!$A$7:$C$46,3,FALSE)</f>
        <v>Villa Urquiza</v>
      </c>
    </row>
    <row r="1134" spans="1:19" x14ac:dyDescent="0.2">
      <c r="A1134" s="1">
        <v>45868</v>
      </c>
      <c r="B1134" t="s">
        <v>5293</v>
      </c>
      <c r="D1134" t="s">
        <v>5294</v>
      </c>
      <c r="E1134" t="s">
        <v>16</v>
      </c>
      <c r="F1134" t="s">
        <v>47</v>
      </c>
      <c r="G1134" s="14">
        <v>58000</v>
      </c>
      <c r="H1134" s="14">
        <v>55000</v>
      </c>
      <c r="I1134" t="s">
        <v>22</v>
      </c>
      <c r="J1134" t="s">
        <v>22</v>
      </c>
      <c r="K1134" t="s">
        <v>5295</v>
      </c>
      <c r="L1134" t="s">
        <v>23</v>
      </c>
      <c r="M1134" t="s">
        <v>19</v>
      </c>
      <c r="N1134">
        <v>2</v>
      </c>
      <c r="O1134" t="s">
        <v>142</v>
      </c>
      <c r="P1134" t="s">
        <v>21</v>
      </c>
      <c r="Q1134" t="s">
        <v>30</v>
      </c>
      <c r="R1134" t="str">
        <f>VLOOKUP($O1134,'Mapa Oficinas'!$A$7:$C$46,2,FALSE)</f>
        <v>Zona Norte (GBA)</v>
      </c>
      <c r="S1134" t="str">
        <f>VLOOKUP($O1134,'Mapa Oficinas'!$A$7:$C$46,3,FALSE)</f>
        <v>Nordelta</v>
      </c>
    </row>
    <row r="1135" spans="1:19" x14ac:dyDescent="0.2">
      <c r="A1135" s="1">
        <v>45868</v>
      </c>
      <c r="B1135" t="s">
        <v>5296</v>
      </c>
      <c r="D1135" t="s">
        <v>5297</v>
      </c>
      <c r="E1135" t="s">
        <v>16</v>
      </c>
      <c r="F1135" t="s">
        <v>58</v>
      </c>
      <c r="G1135" s="14">
        <v>750000</v>
      </c>
      <c r="H1135" s="14">
        <v>60000</v>
      </c>
      <c r="I1135" t="s">
        <v>22</v>
      </c>
      <c r="J1135" t="s">
        <v>18</v>
      </c>
      <c r="K1135" t="s">
        <v>5298</v>
      </c>
      <c r="L1135" t="s">
        <v>330</v>
      </c>
      <c r="M1135" t="s">
        <v>19</v>
      </c>
      <c r="N1135">
        <v>2</v>
      </c>
      <c r="O1135" t="s">
        <v>50</v>
      </c>
      <c r="P1135" t="s">
        <v>21</v>
      </c>
      <c r="Q1135" t="s">
        <v>30</v>
      </c>
      <c r="R1135" t="str">
        <f>VLOOKUP($O1135,'Mapa Oficinas'!$A$7:$C$46,2,FALSE)</f>
        <v>CABA</v>
      </c>
      <c r="S1135" t="str">
        <f>VLOOKUP($O1135,'Mapa Oficinas'!$A$7:$C$46,3,FALSE)</f>
        <v>Villa Urquiza</v>
      </c>
    </row>
    <row r="1136" spans="1:19" x14ac:dyDescent="0.2">
      <c r="A1136" s="1">
        <v>45868</v>
      </c>
      <c r="B1136" t="s">
        <v>5302</v>
      </c>
      <c r="D1136" t="s">
        <v>5303</v>
      </c>
      <c r="E1136" t="s">
        <v>16</v>
      </c>
      <c r="F1136" t="s">
        <v>17</v>
      </c>
      <c r="G1136" s="14">
        <v>63000</v>
      </c>
      <c r="H1136" s="14">
        <v>60000</v>
      </c>
      <c r="I1136" t="s">
        <v>22</v>
      </c>
      <c r="J1136" t="s">
        <v>22</v>
      </c>
      <c r="K1136" t="s">
        <v>5304</v>
      </c>
      <c r="L1136" t="s">
        <v>426</v>
      </c>
      <c r="M1136" t="s">
        <v>28</v>
      </c>
      <c r="N1136">
        <v>2</v>
      </c>
      <c r="O1136" t="s">
        <v>246</v>
      </c>
      <c r="P1136" t="s">
        <v>41</v>
      </c>
      <c r="Q1136" t="s">
        <v>30</v>
      </c>
      <c r="R1136" t="str">
        <f>VLOOKUP($O1136,'Mapa Oficinas'!$A$7:$C$46,2,FALSE)</f>
        <v>Interior - Salta</v>
      </c>
      <c r="S1136" t="str">
        <f>VLOOKUP($O1136,'Mapa Oficinas'!$A$7:$C$46,3,FALSE)</f>
        <v>San Lorenzo Chico</v>
      </c>
    </row>
    <row r="1137" spans="1:19" x14ac:dyDescent="0.2">
      <c r="A1137" s="1">
        <v>45868</v>
      </c>
      <c r="B1137" t="s">
        <v>5299</v>
      </c>
      <c r="D1137" t="s">
        <v>5300</v>
      </c>
      <c r="E1137" t="s">
        <v>16</v>
      </c>
      <c r="F1137" t="s">
        <v>38</v>
      </c>
      <c r="G1137" s="14">
        <v>65000</v>
      </c>
      <c r="H1137" s="14">
        <v>62000</v>
      </c>
      <c r="I1137" t="s">
        <v>22</v>
      </c>
      <c r="J1137" t="s">
        <v>22</v>
      </c>
      <c r="K1137" t="s">
        <v>5301</v>
      </c>
      <c r="L1137" t="s">
        <v>54</v>
      </c>
      <c r="M1137" t="s">
        <v>19</v>
      </c>
      <c r="N1137">
        <v>1</v>
      </c>
      <c r="O1137" t="s">
        <v>55</v>
      </c>
      <c r="P1137" t="s">
        <v>131</v>
      </c>
      <c r="Q1137" t="s">
        <v>30</v>
      </c>
      <c r="R1137" t="str">
        <f>VLOOKUP($O1137,'Mapa Oficinas'!$A$7:$C$46,2,FALSE)</f>
        <v>Interior - Santa Fe</v>
      </c>
      <c r="S1137" t="str">
        <f>VLOOKUP($O1137,'Mapa Oficinas'!$A$7:$C$46,3,FALSE)</f>
        <v>Capital Santa Fe</v>
      </c>
    </row>
    <row r="1138" spans="1:19" x14ac:dyDescent="0.2">
      <c r="A1138" s="1">
        <v>45868</v>
      </c>
      <c r="B1138" t="s">
        <v>5287</v>
      </c>
      <c r="D1138" t="s">
        <v>5288</v>
      </c>
      <c r="E1138" t="s">
        <v>16</v>
      </c>
      <c r="F1138" t="s">
        <v>38</v>
      </c>
      <c r="G1138" s="14">
        <v>75000</v>
      </c>
      <c r="H1138" s="14">
        <v>73000</v>
      </c>
      <c r="I1138" t="s">
        <v>22</v>
      </c>
      <c r="J1138" t="s">
        <v>22</v>
      </c>
      <c r="K1138" t="s">
        <v>5289</v>
      </c>
      <c r="L1138" t="s">
        <v>1642</v>
      </c>
      <c r="M1138" t="s">
        <v>19</v>
      </c>
      <c r="N1138">
        <v>1</v>
      </c>
      <c r="O1138" t="s">
        <v>55</v>
      </c>
      <c r="P1138" t="s">
        <v>131</v>
      </c>
      <c r="Q1138" t="s">
        <v>30</v>
      </c>
      <c r="R1138" t="str">
        <f>VLOOKUP($O1138,'Mapa Oficinas'!$A$7:$C$46,2,FALSE)</f>
        <v>Interior - Santa Fe</v>
      </c>
      <c r="S1138" t="str">
        <f>VLOOKUP($O1138,'Mapa Oficinas'!$A$7:$C$46,3,FALSE)</f>
        <v>Capital Santa Fe</v>
      </c>
    </row>
    <row r="1139" spans="1:19" x14ac:dyDescent="0.2">
      <c r="A1139" s="1">
        <v>45868</v>
      </c>
      <c r="B1139" t="s">
        <v>5290</v>
      </c>
      <c r="D1139" t="s">
        <v>5291</v>
      </c>
      <c r="E1139" t="s">
        <v>16</v>
      </c>
      <c r="F1139" t="s">
        <v>17</v>
      </c>
      <c r="G1139" s="14">
        <v>89000</v>
      </c>
      <c r="H1139" s="14">
        <v>77900</v>
      </c>
      <c r="I1139" t="s">
        <v>22</v>
      </c>
      <c r="J1139" t="s">
        <v>22</v>
      </c>
      <c r="K1139" t="s">
        <v>5292</v>
      </c>
      <c r="L1139" t="s">
        <v>79</v>
      </c>
      <c r="M1139" t="s">
        <v>19</v>
      </c>
      <c r="N1139">
        <v>2</v>
      </c>
      <c r="O1139" t="s">
        <v>103</v>
      </c>
      <c r="P1139" t="s">
        <v>41</v>
      </c>
      <c r="Q1139" t="s">
        <v>30</v>
      </c>
      <c r="R1139" t="str">
        <f>VLOOKUP($O1139,'Mapa Oficinas'!$A$7:$C$46,2,FALSE)</f>
        <v>CABA</v>
      </c>
      <c r="S1139" t="str">
        <f>VLOOKUP($O1139,'Mapa Oficinas'!$A$7:$C$46,3,FALSE)</f>
        <v>Barrio Parque</v>
      </c>
    </row>
    <row r="1140" spans="1:19" x14ac:dyDescent="0.2">
      <c r="A1140" s="1">
        <v>45868</v>
      </c>
      <c r="B1140" t="s">
        <v>5311</v>
      </c>
      <c r="D1140" t="s">
        <v>5312</v>
      </c>
      <c r="E1140" t="s">
        <v>16</v>
      </c>
      <c r="F1140" t="s">
        <v>17</v>
      </c>
      <c r="G1140" s="14">
        <v>174900</v>
      </c>
      <c r="H1140" s="14">
        <v>150000</v>
      </c>
      <c r="I1140" t="s">
        <v>22</v>
      </c>
      <c r="J1140" t="s">
        <v>22</v>
      </c>
      <c r="K1140" t="s">
        <v>5313</v>
      </c>
      <c r="L1140" t="s">
        <v>1765</v>
      </c>
      <c r="M1140" t="s">
        <v>28</v>
      </c>
      <c r="N1140">
        <v>2</v>
      </c>
      <c r="O1140" t="s">
        <v>142</v>
      </c>
      <c r="P1140" t="s">
        <v>21</v>
      </c>
      <c r="Q1140" t="s">
        <v>30</v>
      </c>
      <c r="R1140" t="str">
        <f>VLOOKUP($O1140,'Mapa Oficinas'!$A$7:$C$46,2,FALSE)</f>
        <v>Zona Norte (GBA)</v>
      </c>
      <c r="S1140" t="str">
        <f>VLOOKUP($O1140,'Mapa Oficinas'!$A$7:$C$46,3,FALSE)</f>
        <v>Nordelta</v>
      </c>
    </row>
    <row r="1141" spans="1:19" x14ac:dyDescent="0.2">
      <c r="A1141" s="1">
        <v>45869</v>
      </c>
      <c r="B1141" t="s">
        <v>5247</v>
      </c>
      <c r="D1141" t="s">
        <v>5248</v>
      </c>
      <c r="E1141" t="s">
        <v>16</v>
      </c>
      <c r="F1141" t="s">
        <v>58</v>
      </c>
      <c r="G1141" s="14">
        <v>40000</v>
      </c>
      <c r="H1141" s="14">
        <v>38000</v>
      </c>
      <c r="I1141" t="s">
        <v>22</v>
      </c>
      <c r="J1141" t="s">
        <v>22</v>
      </c>
      <c r="K1141" t="s">
        <v>5249</v>
      </c>
      <c r="L1141" t="s">
        <v>4278</v>
      </c>
      <c r="M1141" t="s">
        <v>19</v>
      </c>
      <c r="N1141">
        <v>2</v>
      </c>
      <c r="O1141" t="s">
        <v>50</v>
      </c>
      <c r="P1141" t="s">
        <v>21</v>
      </c>
      <c r="Q1141" t="s">
        <v>30</v>
      </c>
      <c r="R1141" t="str">
        <f>VLOOKUP($O1141,'Mapa Oficinas'!$A$7:$C$46,2,FALSE)</f>
        <v>CABA</v>
      </c>
      <c r="S1141" t="str">
        <f>VLOOKUP($O1141,'Mapa Oficinas'!$A$7:$C$46,3,FALSE)</f>
        <v>Villa Urquiza</v>
      </c>
    </row>
    <row r="1142" spans="1:19" x14ac:dyDescent="0.2">
      <c r="A1142" s="1">
        <v>45869</v>
      </c>
      <c r="B1142" t="s">
        <v>5243</v>
      </c>
      <c r="D1142" t="s">
        <v>5244</v>
      </c>
      <c r="E1142" t="s">
        <v>16</v>
      </c>
      <c r="F1142" t="s">
        <v>17</v>
      </c>
      <c r="G1142" s="14">
        <v>45000</v>
      </c>
      <c r="H1142" s="14">
        <v>40000</v>
      </c>
      <c r="I1142" t="s">
        <v>22</v>
      </c>
      <c r="J1142" t="s">
        <v>22</v>
      </c>
      <c r="K1142" t="s">
        <v>5245</v>
      </c>
      <c r="L1142" t="s">
        <v>5246</v>
      </c>
      <c r="M1142" t="s">
        <v>19</v>
      </c>
      <c r="N1142">
        <v>2</v>
      </c>
      <c r="O1142" t="s">
        <v>201</v>
      </c>
      <c r="P1142" t="s">
        <v>21</v>
      </c>
      <c r="Q1142" t="s">
        <v>30</v>
      </c>
      <c r="R1142" t="str">
        <f>VLOOKUP($O1142,'Mapa Oficinas'!$A$7:$C$46,2,FALSE)</f>
        <v>CABA</v>
      </c>
      <c r="S1142" t="str">
        <f>VLOOKUP($O1142,'Mapa Oficinas'!$A$7:$C$46,3,FALSE)</f>
        <v>Recoleta</v>
      </c>
    </row>
    <row r="1143" spans="1:19" x14ac:dyDescent="0.2">
      <c r="A1143" s="1">
        <v>45869</v>
      </c>
      <c r="B1143" t="s">
        <v>5253</v>
      </c>
      <c r="D1143" t="s">
        <v>5254</v>
      </c>
      <c r="E1143" t="s">
        <v>16</v>
      </c>
      <c r="F1143" t="s">
        <v>82</v>
      </c>
      <c r="G1143" s="14">
        <v>75000</v>
      </c>
      <c r="H1143" s="14">
        <v>75000</v>
      </c>
      <c r="I1143" t="s">
        <v>22</v>
      </c>
      <c r="J1143" t="s">
        <v>22</v>
      </c>
      <c r="K1143" t="s">
        <v>5255</v>
      </c>
      <c r="L1143" t="s">
        <v>2751</v>
      </c>
      <c r="M1143" t="s">
        <v>28</v>
      </c>
      <c r="N1143">
        <v>2</v>
      </c>
      <c r="O1143" t="s">
        <v>65</v>
      </c>
      <c r="P1143" t="s">
        <v>21</v>
      </c>
      <c r="Q1143" t="s">
        <v>30</v>
      </c>
      <c r="R1143" t="str">
        <f>VLOOKUP($O1143,'Mapa Oficinas'!$A$7:$C$46,2,FALSE)</f>
        <v>Interior - Mendoza</v>
      </c>
      <c r="S1143" t="str">
        <f>VLOOKUP($O1143,'Mapa Oficinas'!$A$7:$C$46,3,FALSE)</f>
        <v>Capital Mendoza</v>
      </c>
    </row>
    <row r="1144" spans="1:19" x14ac:dyDescent="0.2">
      <c r="A1144" s="1">
        <v>45869</v>
      </c>
      <c r="B1144" t="s">
        <v>5263</v>
      </c>
      <c r="D1144" t="s">
        <v>5264</v>
      </c>
      <c r="E1144" t="s">
        <v>16</v>
      </c>
      <c r="F1144" t="s">
        <v>17</v>
      </c>
      <c r="G1144" s="14">
        <v>85000</v>
      </c>
      <c r="H1144" s="14">
        <v>82000</v>
      </c>
      <c r="I1144" t="s">
        <v>22</v>
      </c>
      <c r="J1144" t="s">
        <v>22</v>
      </c>
      <c r="K1144" t="s">
        <v>5265</v>
      </c>
      <c r="L1144" t="s">
        <v>226</v>
      </c>
      <c r="M1144" t="s">
        <v>19</v>
      </c>
      <c r="N1144">
        <v>2</v>
      </c>
      <c r="O1144" t="s">
        <v>116</v>
      </c>
      <c r="P1144" t="s">
        <v>276</v>
      </c>
      <c r="Q1144" t="s">
        <v>30</v>
      </c>
      <c r="R1144" t="str">
        <f>VLOOKUP($O1144,'Mapa Oficinas'!$A$7:$C$46,2,FALSE)</f>
        <v>CABA</v>
      </c>
      <c r="S1144" t="str">
        <f>VLOOKUP($O1144,'Mapa Oficinas'!$A$7:$C$46,3,FALSE)</f>
        <v>Puerto Madero</v>
      </c>
    </row>
    <row r="1145" spans="1:19" x14ac:dyDescent="0.2">
      <c r="A1145" s="1">
        <v>45869</v>
      </c>
      <c r="B1145" t="s">
        <v>5260</v>
      </c>
      <c r="D1145" t="s">
        <v>5261</v>
      </c>
      <c r="E1145" t="s">
        <v>16</v>
      </c>
      <c r="F1145" t="s">
        <v>134</v>
      </c>
      <c r="G1145" s="14">
        <v>99000</v>
      </c>
      <c r="H1145" s="14">
        <v>98000</v>
      </c>
      <c r="I1145" t="s">
        <v>22</v>
      </c>
      <c r="J1145" t="s">
        <v>22</v>
      </c>
      <c r="K1145" t="s">
        <v>1774</v>
      </c>
      <c r="L1145" t="s">
        <v>1775</v>
      </c>
      <c r="M1145" t="s">
        <v>19</v>
      </c>
      <c r="N1145">
        <v>1</v>
      </c>
      <c r="O1145" t="s">
        <v>130</v>
      </c>
      <c r="P1145" t="s">
        <v>66</v>
      </c>
      <c r="Q1145" t="s">
        <v>30</v>
      </c>
      <c r="R1145" t="str">
        <f>VLOOKUP($O1145,'Mapa Oficinas'!$A$7:$C$46,2,FALSE)</f>
        <v>Interior - Río Negro</v>
      </c>
      <c r="S1145" t="str">
        <f>VLOOKUP($O1145,'Mapa Oficinas'!$A$7:$C$46,3,FALSE)</f>
        <v>Bariloche</v>
      </c>
    </row>
    <row r="1146" spans="1:19" x14ac:dyDescent="0.2">
      <c r="A1146" s="1">
        <v>45869</v>
      </c>
      <c r="B1146" t="s">
        <v>5270</v>
      </c>
      <c r="D1146" t="s">
        <v>5271</v>
      </c>
      <c r="E1146" t="s">
        <v>16</v>
      </c>
      <c r="F1146" t="s">
        <v>243</v>
      </c>
      <c r="G1146" s="14">
        <v>120000</v>
      </c>
      <c r="H1146" s="14">
        <v>120000</v>
      </c>
      <c r="I1146" t="s">
        <v>22</v>
      </c>
      <c r="J1146" t="s">
        <v>22</v>
      </c>
      <c r="K1146" t="s">
        <v>5272</v>
      </c>
      <c r="L1146" t="s">
        <v>402</v>
      </c>
      <c r="M1146" t="s">
        <v>28</v>
      </c>
      <c r="N1146">
        <v>2</v>
      </c>
      <c r="O1146" t="s">
        <v>246</v>
      </c>
      <c r="P1146" t="s">
        <v>21</v>
      </c>
      <c r="Q1146" t="s">
        <v>30</v>
      </c>
      <c r="R1146" t="str">
        <f>VLOOKUP($O1146,'Mapa Oficinas'!$A$7:$C$46,2,FALSE)</f>
        <v>Interior - Salta</v>
      </c>
      <c r="S1146" t="str">
        <f>VLOOKUP($O1146,'Mapa Oficinas'!$A$7:$C$46,3,FALSE)</f>
        <v>San Lorenzo Chico</v>
      </c>
    </row>
    <row r="1147" spans="1:19" x14ac:dyDescent="0.2">
      <c r="A1147" s="1">
        <v>45869</v>
      </c>
      <c r="B1147" t="s">
        <v>5256</v>
      </c>
      <c r="D1147" t="s">
        <v>5257</v>
      </c>
      <c r="E1147" t="s">
        <v>16</v>
      </c>
      <c r="F1147" t="s">
        <v>82</v>
      </c>
      <c r="G1147" s="14">
        <v>130000</v>
      </c>
      <c r="H1147" s="14">
        <v>124000</v>
      </c>
      <c r="I1147" t="s">
        <v>22</v>
      </c>
      <c r="J1147" t="s">
        <v>22</v>
      </c>
      <c r="K1147" t="s">
        <v>5258</v>
      </c>
      <c r="L1147" t="s">
        <v>1531</v>
      </c>
      <c r="M1147" t="s">
        <v>28</v>
      </c>
      <c r="N1147">
        <v>2</v>
      </c>
      <c r="O1147" t="s">
        <v>85</v>
      </c>
      <c r="P1147" t="s">
        <v>21</v>
      </c>
      <c r="Q1147" t="s">
        <v>30</v>
      </c>
      <c r="R1147" t="str">
        <f>VLOOKUP($O1147,'Mapa Oficinas'!$A$7:$C$46,2,FALSE)</f>
        <v>Interior - Jujuy</v>
      </c>
      <c r="S1147" t="str">
        <f>VLOOKUP($O1147,'Mapa Oficinas'!$A$7:$C$46,3,FALSE)</f>
        <v>Capital Jujuy</v>
      </c>
    </row>
    <row r="1148" spans="1:19" x14ac:dyDescent="0.2">
      <c r="A1148" s="1">
        <v>45869</v>
      </c>
      <c r="B1148" t="s">
        <v>5250</v>
      </c>
      <c r="D1148" t="s">
        <v>5251</v>
      </c>
      <c r="E1148" t="s">
        <v>16</v>
      </c>
      <c r="F1148" t="s">
        <v>58</v>
      </c>
      <c r="G1148" s="14">
        <v>155000</v>
      </c>
      <c r="H1148" s="14">
        <v>125000</v>
      </c>
      <c r="I1148" t="s">
        <v>22</v>
      </c>
      <c r="J1148" t="s">
        <v>22</v>
      </c>
      <c r="K1148" t="s">
        <v>5252</v>
      </c>
      <c r="L1148" t="s">
        <v>330</v>
      </c>
      <c r="M1148" t="s">
        <v>300</v>
      </c>
      <c r="N1148">
        <v>2</v>
      </c>
      <c r="O1148" t="s">
        <v>50</v>
      </c>
      <c r="P1148" t="s">
        <v>21</v>
      </c>
      <c r="Q1148" t="s">
        <v>30</v>
      </c>
      <c r="R1148" t="str">
        <f>VLOOKUP($O1148,'Mapa Oficinas'!$A$7:$C$46,2,FALSE)</f>
        <v>CABA</v>
      </c>
      <c r="S1148" t="str">
        <f>VLOOKUP($O1148,'Mapa Oficinas'!$A$7:$C$46,3,FALSE)</f>
        <v>Villa Urquiza</v>
      </c>
    </row>
    <row r="1149" spans="1:19" x14ac:dyDescent="0.2">
      <c r="A1149" s="1">
        <v>45869</v>
      </c>
      <c r="B1149">
        <v>10458</v>
      </c>
      <c r="D1149" t="s">
        <v>5259</v>
      </c>
      <c r="E1149" t="s">
        <v>16</v>
      </c>
      <c r="F1149" t="s">
        <v>17</v>
      </c>
      <c r="G1149" s="14">
        <v>0</v>
      </c>
      <c r="H1149" s="14">
        <v>135500</v>
      </c>
      <c r="I1149" t="s">
        <v>22</v>
      </c>
      <c r="J1149" t="s">
        <v>22</v>
      </c>
      <c r="L1149" t="s">
        <v>164</v>
      </c>
      <c r="M1149" t="s">
        <v>19</v>
      </c>
      <c r="N1149">
        <v>1</v>
      </c>
      <c r="O1149" t="s">
        <v>103</v>
      </c>
      <c r="P1149" t="s">
        <v>146</v>
      </c>
      <c r="Q1149" t="s">
        <v>30</v>
      </c>
      <c r="R1149" t="str">
        <f>VLOOKUP($O1149,'Mapa Oficinas'!$A$7:$C$46,2,FALSE)</f>
        <v>CABA</v>
      </c>
      <c r="S1149" t="str">
        <f>VLOOKUP($O1149,'Mapa Oficinas'!$A$7:$C$46,3,FALSE)</f>
        <v>Barrio Parque</v>
      </c>
    </row>
    <row r="1150" spans="1:19" x14ac:dyDescent="0.2">
      <c r="A1150" s="1">
        <v>45869</v>
      </c>
      <c r="B1150" t="s">
        <v>5277</v>
      </c>
      <c r="D1150" t="s">
        <v>5278</v>
      </c>
      <c r="E1150" t="s">
        <v>16</v>
      </c>
      <c r="F1150" t="s">
        <v>17</v>
      </c>
      <c r="G1150" s="14">
        <v>175000</v>
      </c>
      <c r="H1150" s="14">
        <v>150000</v>
      </c>
      <c r="I1150" t="s">
        <v>22</v>
      </c>
      <c r="J1150" t="s">
        <v>22</v>
      </c>
      <c r="K1150" t="s">
        <v>5279</v>
      </c>
      <c r="L1150" t="s">
        <v>991</v>
      </c>
      <c r="M1150" t="s">
        <v>97</v>
      </c>
      <c r="N1150">
        <v>2</v>
      </c>
      <c r="O1150" t="s">
        <v>206</v>
      </c>
      <c r="P1150" t="s">
        <v>21</v>
      </c>
      <c r="Q1150" t="s">
        <v>30</v>
      </c>
      <c r="R1150" t="str">
        <f>VLOOKUP($O1150,'Mapa Oficinas'!$A$7:$C$46,2,FALSE)</f>
        <v>CABA</v>
      </c>
      <c r="S1150" t="str">
        <f>VLOOKUP($O1150,'Mapa Oficinas'!$A$7:$C$46,3,FALSE)</f>
        <v>Belgrano</v>
      </c>
    </row>
    <row r="1151" spans="1:19" x14ac:dyDescent="0.2">
      <c r="A1151" s="1">
        <v>45869</v>
      </c>
      <c r="B1151">
        <v>10476</v>
      </c>
      <c r="D1151" t="s">
        <v>5262</v>
      </c>
      <c r="E1151" t="s">
        <v>16</v>
      </c>
      <c r="F1151" t="s">
        <v>17</v>
      </c>
      <c r="G1151" s="14">
        <v>0</v>
      </c>
      <c r="H1151" s="14">
        <v>190000</v>
      </c>
      <c r="I1151" t="s">
        <v>22</v>
      </c>
      <c r="J1151" t="s">
        <v>22</v>
      </c>
      <c r="L1151" t="s">
        <v>277</v>
      </c>
      <c r="M1151" t="s">
        <v>19</v>
      </c>
      <c r="N1151">
        <v>2</v>
      </c>
      <c r="O1151" t="s">
        <v>103</v>
      </c>
      <c r="P1151" t="s">
        <v>276</v>
      </c>
      <c r="Q1151" t="s">
        <v>30</v>
      </c>
      <c r="R1151" t="str">
        <f>VLOOKUP($O1151,'Mapa Oficinas'!$A$7:$C$46,2,FALSE)</f>
        <v>CABA</v>
      </c>
      <c r="S1151" t="str">
        <f>VLOOKUP($O1151,'Mapa Oficinas'!$A$7:$C$46,3,FALSE)</f>
        <v>Barrio Parque</v>
      </c>
    </row>
    <row r="1152" spans="1:19" x14ac:dyDescent="0.2">
      <c r="A1152" s="1">
        <v>45869</v>
      </c>
      <c r="B1152" t="s">
        <v>5266</v>
      </c>
      <c r="D1152" t="s">
        <v>5267</v>
      </c>
      <c r="E1152" t="s">
        <v>16</v>
      </c>
      <c r="F1152" t="s">
        <v>17</v>
      </c>
      <c r="G1152" s="14">
        <v>317000</v>
      </c>
      <c r="H1152" s="14">
        <v>299000</v>
      </c>
      <c r="I1152" t="s">
        <v>22</v>
      </c>
      <c r="J1152" t="s">
        <v>22</v>
      </c>
      <c r="K1152" t="s">
        <v>5268</v>
      </c>
      <c r="L1152" t="s">
        <v>5269</v>
      </c>
      <c r="M1152" t="s">
        <v>28</v>
      </c>
      <c r="N1152">
        <v>2</v>
      </c>
      <c r="O1152" t="s">
        <v>73</v>
      </c>
      <c r="P1152" t="s">
        <v>21</v>
      </c>
      <c r="Q1152" t="s">
        <v>30</v>
      </c>
      <c r="R1152" t="str">
        <f>VLOOKUP($O1152,'Mapa Oficinas'!$A$7:$C$46,2,FALSE)</f>
        <v>CABA</v>
      </c>
      <c r="S1152" t="str">
        <f>VLOOKUP($O1152,'Mapa Oficinas'!$A$7:$C$46,3,FALSE)</f>
        <v>Recoleta</v>
      </c>
    </row>
    <row r="1153" spans="1:19" x14ac:dyDescent="0.2">
      <c r="A1153" s="1">
        <v>45870</v>
      </c>
      <c r="B1153" t="s">
        <v>5231</v>
      </c>
      <c r="D1153" t="s">
        <v>5232</v>
      </c>
      <c r="E1153" t="s">
        <v>16</v>
      </c>
      <c r="F1153" t="s">
        <v>17</v>
      </c>
      <c r="G1153" s="14">
        <v>45000</v>
      </c>
      <c r="H1153" s="14">
        <v>46800</v>
      </c>
      <c r="I1153" t="s">
        <v>22</v>
      </c>
      <c r="J1153" t="s">
        <v>22</v>
      </c>
      <c r="K1153" t="s">
        <v>5233</v>
      </c>
      <c r="L1153" t="s">
        <v>5234</v>
      </c>
      <c r="M1153" t="s">
        <v>72</v>
      </c>
      <c r="N1153">
        <v>2</v>
      </c>
      <c r="O1153" t="s">
        <v>50</v>
      </c>
      <c r="P1153" t="s">
        <v>21</v>
      </c>
      <c r="Q1153" t="s">
        <v>30</v>
      </c>
      <c r="R1153" t="str">
        <f>VLOOKUP($O1153,'Mapa Oficinas'!$A$7:$C$46,2,FALSE)</f>
        <v>CABA</v>
      </c>
      <c r="S1153" t="str">
        <f>VLOOKUP($O1153,'Mapa Oficinas'!$A$7:$C$46,3,FALSE)</f>
        <v>Villa Urquiza</v>
      </c>
    </row>
    <row r="1154" spans="1:19" x14ac:dyDescent="0.2">
      <c r="A1154" s="1">
        <v>45870</v>
      </c>
      <c r="B1154" t="s">
        <v>5238</v>
      </c>
      <c r="D1154" t="s">
        <v>5239</v>
      </c>
      <c r="E1154" t="s">
        <v>16</v>
      </c>
      <c r="F1154" t="s">
        <v>134</v>
      </c>
      <c r="G1154" s="14">
        <v>55000</v>
      </c>
      <c r="H1154" s="14">
        <v>51000</v>
      </c>
      <c r="I1154" t="s">
        <v>22</v>
      </c>
      <c r="J1154" t="s">
        <v>22</v>
      </c>
      <c r="K1154" t="s">
        <v>5240</v>
      </c>
      <c r="L1154" t="s">
        <v>170</v>
      </c>
      <c r="M1154" t="s">
        <v>19</v>
      </c>
      <c r="N1154">
        <v>1</v>
      </c>
      <c r="O1154" t="s">
        <v>171</v>
      </c>
      <c r="P1154" t="s">
        <v>146</v>
      </c>
      <c r="Q1154" t="s">
        <v>30</v>
      </c>
      <c r="R1154" t="str">
        <f>VLOOKUP($O1154,'Mapa Oficinas'!$A$7:$C$46,2,FALSE)</f>
        <v>Zona Sur (GBA)</v>
      </c>
      <c r="S1154" t="str">
        <f>VLOOKUP($O1154,'Mapa Oficinas'!$A$7:$C$46,3,FALSE)</f>
        <v>La Plata</v>
      </c>
    </row>
    <row r="1155" spans="1:19" x14ac:dyDescent="0.2">
      <c r="A1155" s="1">
        <v>45870</v>
      </c>
      <c r="B1155" t="s">
        <v>5235</v>
      </c>
      <c r="D1155" t="s">
        <v>5236</v>
      </c>
      <c r="E1155" t="s">
        <v>16</v>
      </c>
      <c r="F1155" t="s">
        <v>47</v>
      </c>
      <c r="G1155" s="14">
        <v>65000</v>
      </c>
      <c r="H1155" s="14">
        <v>62000</v>
      </c>
      <c r="I1155" t="s">
        <v>22</v>
      </c>
      <c r="J1155" t="s">
        <v>22</v>
      </c>
      <c r="K1155" t="s">
        <v>5237</v>
      </c>
      <c r="L1155" t="s">
        <v>1498</v>
      </c>
      <c r="M1155" t="s">
        <v>72</v>
      </c>
      <c r="N1155">
        <v>2</v>
      </c>
      <c r="O1155" t="s">
        <v>50</v>
      </c>
      <c r="P1155" t="s">
        <v>21</v>
      </c>
      <c r="Q1155" t="s">
        <v>30</v>
      </c>
      <c r="R1155" t="str">
        <f>VLOOKUP($O1155,'Mapa Oficinas'!$A$7:$C$46,2,FALSE)</f>
        <v>CABA</v>
      </c>
      <c r="S1155" t="str">
        <f>VLOOKUP($O1155,'Mapa Oficinas'!$A$7:$C$46,3,FALSE)</f>
        <v>Villa Urquiza</v>
      </c>
    </row>
    <row r="1156" spans="1:19" x14ac:dyDescent="0.2">
      <c r="A1156" s="1">
        <v>45870</v>
      </c>
      <c r="B1156" t="s">
        <v>5228</v>
      </c>
      <c r="D1156" t="s">
        <v>5229</v>
      </c>
      <c r="E1156" t="s">
        <v>16</v>
      </c>
      <c r="F1156" t="s">
        <v>17</v>
      </c>
      <c r="G1156" s="14">
        <v>249000</v>
      </c>
      <c r="H1156" s="14">
        <v>225000</v>
      </c>
      <c r="I1156" t="s">
        <v>22</v>
      </c>
      <c r="J1156" t="s">
        <v>22</v>
      </c>
      <c r="K1156" t="s">
        <v>5230</v>
      </c>
      <c r="L1156" t="s">
        <v>277</v>
      </c>
      <c r="M1156" t="s">
        <v>19</v>
      </c>
      <c r="N1156">
        <v>2</v>
      </c>
      <c r="O1156" t="s">
        <v>206</v>
      </c>
      <c r="P1156" t="s">
        <v>21</v>
      </c>
      <c r="Q1156" t="s">
        <v>30</v>
      </c>
      <c r="R1156" t="str">
        <f>VLOOKUP($O1156,'Mapa Oficinas'!$A$7:$C$46,2,FALSE)</f>
        <v>CABA</v>
      </c>
      <c r="S1156" t="str">
        <f>VLOOKUP($O1156,'Mapa Oficinas'!$A$7:$C$46,3,FALSE)</f>
        <v>Belgrano</v>
      </c>
    </row>
    <row r="1157" spans="1:19" x14ac:dyDescent="0.2">
      <c r="A1157" s="1">
        <v>45871</v>
      </c>
      <c r="B1157" t="s">
        <v>5224</v>
      </c>
      <c r="D1157" t="s">
        <v>5225</v>
      </c>
      <c r="E1157" t="s">
        <v>16</v>
      </c>
      <c r="F1157" t="s">
        <v>17</v>
      </c>
      <c r="G1157" s="14">
        <v>280000</v>
      </c>
      <c r="H1157" s="14">
        <v>270000</v>
      </c>
      <c r="I1157" t="s">
        <v>22</v>
      </c>
      <c r="J1157" t="s">
        <v>22</v>
      </c>
      <c r="K1157" t="s">
        <v>5226</v>
      </c>
      <c r="L1157" t="s">
        <v>5227</v>
      </c>
      <c r="M1157" t="s">
        <v>19</v>
      </c>
      <c r="N1157">
        <v>2</v>
      </c>
      <c r="O1157" t="s">
        <v>206</v>
      </c>
      <c r="P1157" t="s">
        <v>276</v>
      </c>
      <c r="Q1157" t="s">
        <v>30</v>
      </c>
      <c r="R1157" t="str">
        <f>VLOOKUP($O1157,'Mapa Oficinas'!$A$7:$C$46,2,FALSE)</f>
        <v>CABA</v>
      </c>
      <c r="S1157" t="str">
        <f>VLOOKUP($O1157,'Mapa Oficinas'!$A$7:$C$46,3,FALSE)</f>
        <v>Belgrano</v>
      </c>
    </row>
    <row r="1158" spans="1:19" x14ac:dyDescent="0.2">
      <c r="A1158" s="1">
        <v>45873</v>
      </c>
      <c r="B1158" t="s">
        <v>5206</v>
      </c>
      <c r="D1158" t="s">
        <v>5207</v>
      </c>
      <c r="E1158" t="s">
        <v>16</v>
      </c>
      <c r="F1158" t="s">
        <v>17</v>
      </c>
      <c r="G1158" s="14">
        <v>70000</v>
      </c>
      <c r="H1158" s="14">
        <v>50000</v>
      </c>
      <c r="I1158" t="s">
        <v>22</v>
      </c>
      <c r="J1158" t="s">
        <v>22</v>
      </c>
      <c r="K1158" t="s">
        <v>2050</v>
      </c>
      <c r="L1158" t="s">
        <v>195</v>
      </c>
      <c r="M1158" t="s">
        <v>72</v>
      </c>
      <c r="N1158">
        <v>2</v>
      </c>
      <c r="O1158" t="s">
        <v>35</v>
      </c>
      <c r="P1158" t="s">
        <v>21</v>
      </c>
      <c r="Q1158" t="s">
        <v>30</v>
      </c>
      <c r="R1158" t="str">
        <f>VLOOKUP($O1158,'Mapa Oficinas'!$A$7:$C$46,2,FALSE)</f>
        <v>Zona Norte (GBA)</v>
      </c>
      <c r="S1158" t="str">
        <f>VLOOKUP($O1158,'Mapa Oficinas'!$A$7:$C$46,3,FALSE)</f>
        <v>Vicente López</v>
      </c>
    </row>
    <row r="1159" spans="1:19" x14ac:dyDescent="0.2">
      <c r="A1159" s="1">
        <v>45873</v>
      </c>
      <c r="B1159" t="s">
        <v>2847</v>
      </c>
      <c r="D1159" t="s">
        <v>2848</v>
      </c>
      <c r="E1159" t="s">
        <v>16</v>
      </c>
      <c r="F1159" t="s">
        <v>17</v>
      </c>
      <c r="G1159" s="14">
        <v>48000</v>
      </c>
      <c r="H1159" s="14">
        <v>59000</v>
      </c>
      <c r="I1159" t="s">
        <v>22</v>
      </c>
      <c r="J1159" t="s">
        <v>22</v>
      </c>
      <c r="K1159" t="s">
        <v>2849</v>
      </c>
      <c r="L1159" t="s">
        <v>851</v>
      </c>
      <c r="M1159" t="s">
        <v>28</v>
      </c>
      <c r="N1159">
        <v>2</v>
      </c>
      <c r="O1159" t="s">
        <v>65</v>
      </c>
      <c r="P1159" t="s">
        <v>21</v>
      </c>
      <c r="Q1159" t="s">
        <v>30</v>
      </c>
      <c r="R1159" t="str">
        <f>VLOOKUP($O1159,'Mapa Oficinas'!$A$7:$C$46,2,FALSE)</f>
        <v>Interior - Mendoza</v>
      </c>
      <c r="S1159" t="str">
        <f>VLOOKUP($O1159,'Mapa Oficinas'!$A$7:$C$46,3,FALSE)</f>
        <v>Capital Mendoza</v>
      </c>
    </row>
    <row r="1160" spans="1:19" x14ac:dyDescent="0.2">
      <c r="A1160" s="1">
        <v>45873</v>
      </c>
      <c r="B1160">
        <v>10448</v>
      </c>
      <c r="D1160" t="s">
        <v>5211</v>
      </c>
      <c r="E1160" t="s">
        <v>16</v>
      </c>
      <c r="F1160" t="s">
        <v>82</v>
      </c>
      <c r="G1160" s="14">
        <v>0</v>
      </c>
      <c r="H1160" s="14">
        <v>77000</v>
      </c>
      <c r="I1160" t="s">
        <v>22</v>
      </c>
      <c r="J1160" t="s">
        <v>22</v>
      </c>
      <c r="L1160" t="s">
        <v>277</v>
      </c>
      <c r="M1160" t="s">
        <v>19</v>
      </c>
      <c r="N1160">
        <v>2</v>
      </c>
      <c r="O1160" t="s">
        <v>103</v>
      </c>
      <c r="P1160" t="s">
        <v>21</v>
      </c>
      <c r="Q1160" t="s">
        <v>30</v>
      </c>
      <c r="R1160" t="str">
        <f>VLOOKUP($O1160,'Mapa Oficinas'!$A$7:$C$46,2,FALSE)</f>
        <v>CABA</v>
      </c>
      <c r="S1160" t="str">
        <f>VLOOKUP($O1160,'Mapa Oficinas'!$A$7:$C$46,3,FALSE)</f>
        <v>Barrio Parque</v>
      </c>
    </row>
    <row r="1161" spans="1:19" x14ac:dyDescent="0.2">
      <c r="A1161" s="1">
        <v>45873</v>
      </c>
      <c r="B1161" t="s">
        <v>5221</v>
      </c>
      <c r="D1161" t="s">
        <v>5222</v>
      </c>
      <c r="E1161" t="s">
        <v>16</v>
      </c>
      <c r="F1161" t="s">
        <v>38</v>
      </c>
      <c r="G1161" s="14">
        <v>80000</v>
      </c>
      <c r="H1161" s="14">
        <v>80000</v>
      </c>
      <c r="I1161" t="s">
        <v>22</v>
      </c>
      <c r="J1161" t="s">
        <v>22</v>
      </c>
      <c r="K1161" t="s">
        <v>5223</v>
      </c>
      <c r="L1161" t="s">
        <v>449</v>
      </c>
      <c r="M1161" t="s">
        <v>72</v>
      </c>
      <c r="N1161">
        <v>2</v>
      </c>
      <c r="O1161" t="s">
        <v>367</v>
      </c>
      <c r="P1161" t="s">
        <v>21</v>
      </c>
      <c r="Q1161" t="s">
        <v>30</v>
      </c>
      <c r="R1161" t="str">
        <f>VLOOKUP($O1161,'Mapa Oficinas'!$A$7:$C$46,2,FALSE)</f>
        <v>Interior - Neuquén</v>
      </c>
      <c r="S1161" t="str">
        <f>VLOOKUP($O1161,'Mapa Oficinas'!$A$7:$C$46,3,FALSE)</f>
        <v>San Martín de los Andes</v>
      </c>
    </row>
    <row r="1162" spans="1:19" x14ac:dyDescent="0.2">
      <c r="A1162" s="1">
        <v>45873</v>
      </c>
      <c r="B1162" t="s">
        <v>5218</v>
      </c>
      <c r="D1162" t="s">
        <v>5219</v>
      </c>
      <c r="E1162" t="s">
        <v>16</v>
      </c>
      <c r="F1162" t="s">
        <v>38</v>
      </c>
      <c r="G1162" s="14">
        <v>95000</v>
      </c>
      <c r="H1162" s="14">
        <v>95000</v>
      </c>
      <c r="I1162" t="s">
        <v>22</v>
      </c>
      <c r="J1162" t="s">
        <v>22</v>
      </c>
      <c r="K1162" t="s">
        <v>5220</v>
      </c>
      <c r="L1162" t="s">
        <v>449</v>
      </c>
      <c r="M1162" t="s">
        <v>19</v>
      </c>
      <c r="N1162">
        <v>2</v>
      </c>
      <c r="O1162" t="s">
        <v>367</v>
      </c>
      <c r="P1162" t="s">
        <v>44</v>
      </c>
      <c r="Q1162" t="s">
        <v>30</v>
      </c>
      <c r="R1162" t="str">
        <f>VLOOKUP($O1162,'Mapa Oficinas'!$A$7:$C$46,2,FALSE)</f>
        <v>Interior - Neuquén</v>
      </c>
      <c r="S1162" t="str">
        <f>VLOOKUP($O1162,'Mapa Oficinas'!$A$7:$C$46,3,FALSE)</f>
        <v>San Martín de los Andes</v>
      </c>
    </row>
    <row r="1163" spans="1:19" x14ac:dyDescent="0.2">
      <c r="A1163" s="1">
        <v>45873</v>
      </c>
      <c r="B1163" t="s">
        <v>5214</v>
      </c>
      <c r="D1163" t="s">
        <v>5215</v>
      </c>
      <c r="E1163" t="s">
        <v>16</v>
      </c>
      <c r="F1163" t="s">
        <v>47</v>
      </c>
      <c r="G1163" s="14">
        <v>149000</v>
      </c>
      <c r="H1163" s="14">
        <v>130000</v>
      </c>
      <c r="I1163" t="s">
        <v>22</v>
      </c>
      <c r="J1163" t="s">
        <v>22</v>
      </c>
      <c r="K1163" t="s">
        <v>5216</v>
      </c>
      <c r="L1163" t="s">
        <v>5217</v>
      </c>
      <c r="M1163" t="s">
        <v>28</v>
      </c>
      <c r="N1163">
        <v>2</v>
      </c>
      <c r="O1163" t="s">
        <v>50</v>
      </c>
      <c r="P1163" t="s">
        <v>41</v>
      </c>
      <c r="Q1163" t="s">
        <v>30</v>
      </c>
      <c r="R1163" t="str">
        <f>VLOOKUP($O1163,'Mapa Oficinas'!$A$7:$C$46,2,FALSE)</f>
        <v>CABA</v>
      </c>
      <c r="S1163" t="str">
        <f>VLOOKUP($O1163,'Mapa Oficinas'!$A$7:$C$46,3,FALSE)</f>
        <v>Villa Urquiza</v>
      </c>
    </row>
    <row r="1164" spans="1:19" x14ac:dyDescent="0.2">
      <c r="A1164" s="1">
        <v>45873</v>
      </c>
      <c r="B1164" t="s">
        <v>5208</v>
      </c>
      <c r="D1164" t="s">
        <v>5209</v>
      </c>
      <c r="E1164" t="s">
        <v>16</v>
      </c>
      <c r="F1164" t="s">
        <v>17</v>
      </c>
      <c r="G1164" s="14">
        <v>230000</v>
      </c>
      <c r="H1164" s="14">
        <v>215000</v>
      </c>
      <c r="I1164" t="s">
        <v>22</v>
      </c>
      <c r="J1164" t="s">
        <v>22</v>
      </c>
      <c r="K1164" t="s">
        <v>5210</v>
      </c>
      <c r="L1164" t="s">
        <v>318</v>
      </c>
      <c r="M1164" t="s">
        <v>19</v>
      </c>
      <c r="N1164">
        <v>2</v>
      </c>
      <c r="O1164" t="s">
        <v>156</v>
      </c>
      <c r="P1164" t="s">
        <v>21</v>
      </c>
      <c r="Q1164" t="s">
        <v>30</v>
      </c>
      <c r="R1164" t="str">
        <f>VLOOKUP($O1164,'Mapa Oficinas'!$A$7:$C$46,2,FALSE)</f>
        <v>Zona Norte (GBA)</v>
      </c>
      <c r="S1164" t="str">
        <f>VLOOKUP($O1164,'Mapa Oficinas'!$A$7:$C$46,3,FALSE)</f>
        <v>Pilar</v>
      </c>
    </row>
    <row r="1165" spans="1:19" x14ac:dyDescent="0.2">
      <c r="A1165" s="1">
        <v>45874</v>
      </c>
      <c r="B1165" t="s">
        <v>5196</v>
      </c>
      <c r="D1165" t="s">
        <v>5197</v>
      </c>
      <c r="E1165" t="s">
        <v>16</v>
      </c>
      <c r="F1165" t="s">
        <v>1708</v>
      </c>
      <c r="G1165" s="14">
        <v>46000</v>
      </c>
      <c r="H1165" s="14">
        <v>44000</v>
      </c>
      <c r="I1165" t="s">
        <v>22</v>
      </c>
      <c r="J1165" t="s">
        <v>22</v>
      </c>
      <c r="K1165" t="s">
        <v>5198</v>
      </c>
      <c r="L1165" t="s">
        <v>5199</v>
      </c>
      <c r="M1165" t="s">
        <v>28</v>
      </c>
      <c r="N1165">
        <v>2</v>
      </c>
      <c r="O1165" t="s">
        <v>151</v>
      </c>
      <c r="P1165" t="s">
        <v>21</v>
      </c>
      <c r="Q1165" t="s">
        <v>30</v>
      </c>
      <c r="R1165" t="str">
        <f>VLOOKUP($O1165,'Mapa Oficinas'!$A$7:$C$46,2,FALSE)</f>
        <v>Interior - Neuquén</v>
      </c>
      <c r="S1165" t="str">
        <f>VLOOKUP($O1165,'Mapa Oficinas'!$A$7:$C$46,3,FALSE)</f>
        <v>Capital Neuquén</v>
      </c>
    </row>
    <row r="1166" spans="1:19" x14ac:dyDescent="0.2">
      <c r="A1166" s="1">
        <v>45874</v>
      </c>
      <c r="B1166" t="s">
        <v>5179</v>
      </c>
      <c r="D1166" t="s">
        <v>5179</v>
      </c>
      <c r="E1166" t="s">
        <v>16</v>
      </c>
      <c r="F1166" t="s">
        <v>58</v>
      </c>
      <c r="G1166" s="14">
        <v>105000</v>
      </c>
      <c r="H1166" s="14">
        <v>52500</v>
      </c>
      <c r="I1166" t="s">
        <v>22</v>
      </c>
      <c r="J1166" t="s">
        <v>22</v>
      </c>
      <c r="K1166" t="s">
        <v>5179</v>
      </c>
      <c r="L1166" t="s">
        <v>523</v>
      </c>
      <c r="M1166" t="s">
        <v>19</v>
      </c>
      <c r="N1166">
        <v>2</v>
      </c>
      <c r="O1166" t="s">
        <v>50</v>
      </c>
      <c r="P1166" t="s">
        <v>21</v>
      </c>
      <c r="Q1166" t="s">
        <v>30</v>
      </c>
      <c r="R1166" t="str">
        <f>VLOOKUP($O1166,'Mapa Oficinas'!$A$7:$C$46,2,FALSE)</f>
        <v>CABA</v>
      </c>
      <c r="S1166" t="str">
        <f>VLOOKUP($O1166,'Mapa Oficinas'!$A$7:$C$46,3,FALSE)</f>
        <v>Villa Urquiza</v>
      </c>
    </row>
    <row r="1167" spans="1:19" x14ac:dyDescent="0.2">
      <c r="A1167" s="1">
        <v>45874</v>
      </c>
      <c r="B1167" t="s">
        <v>5173</v>
      </c>
      <c r="D1167" t="s">
        <v>5174</v>
      </c>
      <c r="E1167" t="s">
        <v>16</v>
      </c>
      <c r="F1167" t="s">
        <v>17</v>
      </c>
      <c r="G1167" s="14">
        <v>65000</v>
      </c>
      <c r="H1167" s="14">
        <v>60000</v>
      </c>
      <c r="I1167" t="s">
        <v>22</v>
      </c>
      <c r="J1167" t="s">
        <v>22</v>
      </c>
      <c r="K1167" t="s">
        <v>5175</v>
      </c>
      <c r="L1167" t="s">
        <v>318</v>
      </c>
      <c r="M1167" t="s">
        <v>72</v>
      </c>
      <c r="N1167">
        <v>2</v>
      </c>
      <c r="O1167" t="s">
        <v>227</v>
      </c>
      <c r="P1167" t="s">
        <v>21</v>
      </c>
      <c r="Q1167" t="s">
        <v>30</v>
      </c>
      <c r="R1167" t="str">
        <f>VLOOKUP($O1167,'Mapa Oficinas'!$A$7:$C$46,2,FALSE)</f>
        <v>Zona Oeste (GBA)</v>
      </c>
      <c r="S1167" t="str">
        <f>VLOOKUP($O1167,'Mapa Oficinas'!$A$7:$C$46,3,FALSE)</f>
        <v>Parque Leloir</v>
      </c>
    </row>
    <row r="1168" spans="1:19" x14ac:dyDescent="0.2">
      <c r="A1168" s="1">
        <v>45874</v>
      </c>
      <c r="B1168" t="s">
        <v>5203</v>
      </c>
      <c r="D1168" t="s">
        <v>5204</v>
      </c>
      <c r="E1168" t="s">
        <v>16</v>
      </c>
      <c r="F1168" t="s">
        <v>17</v>
      </c>
      <c r="G1168" s="14">
        <v>75000</v>
      </c>
      <c r="H1168" s="14">
        <v>70000</v>
      </c>
      <c r="I1168" t="s">
        <v>22</v>
      </c>
      <c r="J1168" t="s">
        <v>22</v>
      </c>
      <c r="K1168" t="s">
        <v>5205</v>
      </c>
      <c r="L1168" t="s">
        <v>141</v>
      </c>
      <c r="M1168" t="s">
        <v>19</v>
      </c>
      <c r="N1168">
        <v>2</v>
      </c>
      <c r="O1168" t="s">
        <v>20</v>
      </c>
      <c r="P1168" t="s">
        <v>21</v>
      </c>
      <c r="Q1168" t="s">
        <v>30</v>
      </c>
      <c r="R1168" t="str">
        <f>VLOOKUP($O1168,'Mapa Oficinas'!$A$7:$C$46,2,FALSE)</f>
        <v>CABA</v>
      </c>
      <c r="S1168" t="str">
        <f>VLOOKUP($O1168,'Mapa Oficinas'!$A$7:$C$46,3,FALSE)</f>
        <v>Palermo</v>
      </c>
    </row>
    <row r="1169" spans="1:19" x14ac:dyDescent="0.2">
      <c r="A1169" s="1">
        <v>45874</v>
      </c>
      <c r="B1169" t="s">
        <v>5186</v>
      </c>
      <c r="D1169" t="s">
        <v>5187</v>
      </c>
      <c r="E1169" t="s">
        <v>16</v>
      </c>
      <c r="F1169" t="s">
        <v>17</v>
      </c>
      <c r="G1169" s="14">
        <v>84000</v>
      </c>
      <c r="H1169" s="14">
        <v>80000</v>
      </c>
      <c r="I1169" t="s">
        <v>22</v>
      </c>
      <c r="J1169" t="s">
        <v>22</v>
      </c>
      <c r="K1169" t="s">
        <v>5188</v>
      </c>
      <c r="L1169" t="s">
        <v>282</v>
      </c>
      <c r="M1169" t="s">
        <v>19</v>
      </c>
      <c r="N1169">
        <v>2</v>
      </c>
      <c r="O1169" t="s">
        <v>206</v>
      </c>
      <c r="P1169" t="s">
        <v>276</v>
      </c>
      <c r="Q1169" t="s">
        <v>30</v>
      </c>
      <c r="R1169" t="str">
        <f>VLOOKUP($O1169,'Mapa Oficinas'!$A$7:$C$46,2,FALSE)</f>
        <v>CABA</v>
      </c>
      <c r="S1169" t="str">
        <f>VLOOKUP($O1169,'Mapa Oficinas'!$A$7:$C$46,3,FALSE)</f>
        <v>Belgrano</v>
      </c>
    </row>
    <row r="1170" spans="1:19" x14ac:dyDescent="0.2">
      <c r="A1170" s="1">
        <v>45874</v>
      </c>
      <c r="B1170" t="s">
        <v>5180</v>
      </c>
      <c r="D1170" t="s">
        <v>5181</v>
      </c>
      <c r="E1170" t="s">
        <v>16</v>
      </c>
      <c r="F1170" t="s">
        <v>17</v>
      </c>
      <c r="G1170" s="14">
        <v>90000</v>
      </c>
      <c r="H1170" s="14">
        <v>83500</v>
      </c>
      <c r="I1170" t="s">
        <v>22</v>
      </c>
      <c r="J1170" t="s">
        <v>22</v>
      </c>
      <c r="K1170" t="s">
        <v>5182</v>
      </c>
      <c r="L1170" t="s">
        <v>200</v>
      </c>
      <c r="M1170" t="s">
        <v>19</v>
      </c>
      <c r="N1170">
        <v>2</v>
      </c>
      <c r="O1170" t="s">
        <v>201</v>
      </c>
      <c r="P1170" t="s">
        <v>21</v>
      </c>
      <c r="Q1170" t="s">
        <v>30</v>
      </c>
      <c r="R1170" t="str">
        <f>VLOOKUP($O1170,'Mapa Oficinas'!$A$7:$C$46,2,FALSE)</f>
        <v>CABA</v>
      </c>
      <c r="S1170" t="str">
        <f>VLOOKUP($O1170,'Mapa Oficinas'!$A$7:$C$46,3,FALSE)</f>
        <v>Recoleta</v>
      </c>
    </row>
    <row r="1171" spans="1:19" x14ac:dyDescent="0.2">
      <c r="A1171" s="1">
        <v>45874</v>
      </c>
      <c r="B1171" t="s">
        <v>5189</v>
      </c>
      <c r="D1171" t="s">
        <v>5190</v>
      </c>
      <c r="E1171" t="s">
        <v>16</v>
      </c>
      <c r="F1171" t="s">
        <v>38</v>
      </c>
      <c r="G1171" s="14">
        <v>95000</v>
      </c>
      <c r="H1171" s="14">
        <v>89000</v>
      </c>
      <c r="I1171" t="s">
        <v>22</v>
      </c>
      <c r="J1171" t="s">
        <v>22</v>
      </c>
      <c r="K1171" t="s">
        <v>5191</v>
      </c>
      <c r="L1171" t="s">
        <v>909</v>
      </c>
      <c r="M1171" t="s">
        <v>28</v>
      </c>
      <c r="N1171">
        <v>2</v>
      </c>
      <c r="O1171" t="s">
        <v>246</v>
      </c>
      <c r="P1171" t="s">
        <v>21</v>
      </c>
      <c r="Q1171" t="s">
        <v>30</v>
      </c>
      <c r="R1171" t="str">
        <f>VLOOKUP($O1171,'Mapa Oficinas'!$A$7:$C$46,2,FALSE)</f>
        <v>Interior - Salta</v>
      </c>
      <c r="S1171" t="str">
        <f>VLOOKUP($O1171,'Mapa Oficinas'!$A$7:$C$46,3,FALSE)</f>
        <v>San Lorenzo Chico</v>
      </c>
    </row>
    <row r="1172" spans="1:19" x14ac:dyDescent="0.2">
      <c r="A1172" s="1">
        <v>45874</v>
      </c>
      <c r="B1172" t="s">
        <v>5192</v>
      </c>
      <c r="D1172" t="s">
        <v>5193</v>
      </c>
      <c r="E1172" t="s">
        <v>16</v>
      </c>
      <c r="F1172" t="s">
        <v>17</v>
      </c>
      <c r="G1172" s="14">
        <v>95000</v>
      </c>
      <c r="H1172" s="14">
        <v>90000</v>
      </c>
      <c r="I1172" t="s">
        <v>22</v>
      </c>
      <c r="J1172" t="s">
        <v>22</v>
      </c>
      <c r="K1172" t="s">
        <v>5194</v>
      </c>
      <c r="L1172" t="s">
        <v>717</v>
      </c>
      <c r="M1172" t="s">
        <v>19</v>
      </c>
      <c r="N1172">
        <v>2</v>
      </c>
      <c r="O1172" t="s">
        <v>142</v>
      </c>
      <c r="P1172" t="s">
        <v>36</v>
      </c>
      <c r="Q1172" t="s">
        <v>30</v>
      </c>
      <c r="R1172" t="str">
        <f>VLOOKUP($O1172,'Mapa Oficinas'!$A$7:$C$46,2,FALSE)</f>
        <v>Zona Norte (GBA)</v>
      </c>
      <c r="S1172" t="str">
        <f>VLOOKUP($O1172,'Mapa Oficinas'!$A$7:$C$46,3,FALSE)</f>
        <v>Nordelta</v>
      </c>
    </row>
    <row r="1173" spans="1:19" x14ac:dyDescent="0.2">
      <c r="A1173" s="1">
        <v>45874</v>
      </c>
      <c r="B1173">
        <v>5082025</v>
      </c>
      <c r="D1173" t="s">
        <v>5195</v>
      </c>
      <c r="E1173" t="s">
        <v>16</v>
      </c>
      <c r="F1173" t="s">
        <v>134</v>
      </c>
      <c r="G1173" s="14">
        <v>105000</v>
      </c>
      <c r="H1173" s="14">
        <v>105000</v>
      </c>
      <c r="I1173" t="s">
        <v>22</v>
      </c>
      <c r="J1173" t="s">
        <v>22</v>
      </c>
      <c r="L1173" t="s">
        <v>129</v>
      </c>
      <c r="M1173" t="s">
        <v>19</v>
      </c>
      <c r="N1173">
        <v>1</v>
      </c>
      <c r="O1173" t="s">
        <v>130</v>
      </c>
      <c r="P1173" t="s">
        <v>131</v>
      </c>
      <c r="Q1173" t="s">
        <v>30</v>
      </c>
      <c r="R1173" t="str">
        <f>VLOOKUP($O1173,'Mapa Oficinas'!$A$7:$C$46,2,FALSE)</f>
        <v>Interior - Río Negro</v>
      </c>
      <c r="S1173" t="str">
        <f>VLOOKUP($O1173,'Mapa Oficinas'!$A$7:$C$46,3,FALSE)</f>
        <v>Bariloche</v>
      </c>
    </row>
    <row r="1174" spans="1:19" x14ac:dyDescent="0.2">
      <c r="A1174" s="1">
        <v>45874</v>
      </c>
      <c r="B1174" t="s">
        <v>5176</v>
      </c>
      <c r="D1174" t="s">
        <v>5177</v>
      </c>
      <c r="E1174" t="s">
        <v>16</v>
      </c>
      <c r="F1174" t="s">
        <v>17</v>
      </c>
      <c r="G1174" s="14">
        <v>128000</v>
      </c>
      <c r="H1174" s="14">
        <v>122000</v>
      </c>
      <c r="I1174" t="s">
        <v>22</v>
      </c>
      <c r="J1174" t="s">
        <v>22</v>
      </c>
      <c r="K1174" t="s">
        <v>5178</v>
      </c>
      <c r="L1174" t="s">
        <v>569</v>
      </c>
      <c r="M1174" t="s">
        <v>19</v>
      </c>
      <c r="N1174">
        <v>2</v>
      </c>
      <c r="O1174" t="s">
        <v>50</v>
      </c>
      <c r="P1174" t="s">
        <v>21</v>
      </c>
      <c r="Q1174" t="s">
        <v>30</v>
      </c>
      <c r="R1174" t="str">
        <f>VLOOKUP($O1174,'Mapa Oficinas'!$A$7:$C$46,2,FALSE)</f>
        <v>CABA</v>
      </c>
      <c r="S1174" t="str">
        <f>VLOOKUP($O1174,'Mapa Oficinas'!$A$7:$C$46,3,FALSE)</f>
        <v>Villa Urquiza</v>
      </c>
    </row>
    <row r="1175" spans="1:19" x14ac:dyDescent="0.2">
      <c r="A1175" s="1">
        <v>45874</v>
      </c>
      <c r="B1175" t="s">
        <v>5183</v>
      </c>
      <c r="D1175" t="s">
        <v>5184</v>
      </c>
      <c r="E1175" t="s">
        <v>16</v>
      </c>
      <c r="F1175" t="s">
        <v>58</v>
      </c>
      <c r="G1175" s="14">
        <v>290000</v>
      </c>
      <c r="H1175" s="14">
        <v>215000</v>
      </c>
      <c r="I1175" t="s">
        <v>22</v>
      </c>
      <c r="J1175" t="s">
        <v>22</v>
      </c>
      <c r="K1175" t="s">
        <v>5185</v>
      </c>
      <c r="L1175" t="s">
        <v>217</v>
      </c>
      <c r="M1175" t="s">
        <v>28</v>
      </c>
      <c r="N1175">
        <v>2</v>
      </c>
      <c r="O1175" t="s">
        <v>50</v>
      </c>
      <c r="P1175" t="s">
        <v>21</v>
      </c>
      <c r="Q1175" t="s">
        <v>30</v>
      </c>
      <c r="R1175" t="str">
        <f>VLOOKUP($O1175,'Mapa Oficinas'!$A$7:$C$46,2,FALSE)</f>
        <v>CABA</v>
      </c>
      <c r="S1175" t="str">
        <f>VLOOKUP($O1175,'Mapa Oficinas'!$A$7:$C$46,3,FALSE)</f>
        <v>Villa Urquiza</v>
      </c>
    </row>
    <row r="1176" spans="1:19" x14ac:dyDescent="0.2">
      <c r="A1176" s="1">
        <v>45875</v>
      </c>
      <c r="B1176" t="s">
        <v>3559</v>
      </c>
      <c r="D1176" t="s">
        <v>3560</v>
      </c>
      <c r="E1176" t="s">
        <v>16</v>
      </c>
      <c r="F1176" t="s">
        <v>47</v>
      </c>
      <c r="G1176" s="14">
        <v>36000</v>
      </c>
      <c r="H1176" s="14">
        <v>72000</v>
      </c>
      <c r="I1176" t="s">
        <v>22</v>
      </c>
      <c r="J1176" t="s">
        <v>22</v>
      </c>
      <c r="K1176" t="s">
        <v>3561</v>
      </c>
      <c r="L1176" t="s">
        <v>1672</v>
      </c>
      <c r="M1176" t="s">
        <v>19</v>
      </c>
      <c r="N1176">
        <v>2</v>
      </c>
      <c r="O1176" t="s">
        <v>50</v>
      </c>
      <c r="P1176" t="s">
        <v>41</v>
      </c>
      <c r="Q1176" t="s">
        <v>30</v>
      </c>
      <c r="R1176" t="str">
        <f>VLOOKUP($O1176,'Mapa Oficinas'!$A$7:$C$46,2,FALSE)</f>
        <v>CABA</v>
      </c>
      <c r="S1176" t="str">
        <f>VLOOKUP($O1176,'Mapa Oficinas'!$A$7:$C$46,3,FALSE)</f>
        <v>Villa Urquiza</v>
      </c>
    </row>
    <row r="1177" spans="1:19" x14ac:dyDescent="0.2">
      <c r="A1177" s="1">
        <v>45875</v>
      </c>
      <c r="B1177" t="s">
        <v>5170</v>
      </c>
      <c r="D1177" t="s">
        <v>5171</v>
      </c>
      <c r="E1177" t="s">
        <v>16</v>
      </c>
      <c r="F1177" t="s">
        <v>243</v>
      </c>
      <c r="G1177" s="14">
        <v>75000</v>
      </c>
      <c r="H1177" s="14">
        <v>75000</v>
      </c>
      <c r="I1177" t="s">
        <v>22</v>
      </c>
      <c r="J1177" t="s">
        <v>22</v>
      </c>
      <c r="K1177" t="s">
        <v>5172</v>
      </c>
      <c r="L1177" t="s">
        <v>426</v>
      </c>
      <c r="M1177" t="s">
        <v>28</v>
      </c>
      <c r="N1177">
        <v>2</v>
      </c>
      <c r="O1177" t="s">
        <v>246</v>
      </c>
      <c r="P1177" t="s">
        <v>21</v>
      </c>
      <c r="Q1177" t="s">
        <v>30</v>
      </c>
      <c r="R1177" t="str">
        <f>VLOOKUP($O1177,'Mapa Oficinas'!$A$7:$C$46,2,FALSE)</f>
        <v>Interior - Salta</v>
      </c>
      <c r="S1177" t="str">
        <f>VLOOKUP($O1177,'Mapa Oficinas'!$A$7:$C$46,3,FALSE)</f>
        <v>San Lorenzo Chico</v>
      </c>
    </row>
    <row r="1178" spans="1:19" x14ac:dyDescent="0.2">
      <c r="A1178" s="1">
        <v>45875</v>
      </c>
      <c r="B1178" t="s">
        <v>5159</v>
      </c>
      <c r="D1178" t="s">
        <v>5160</v>
      </c>
      <c r="E1178" t="s">
        <v>16</v>
      </c>
      <c r="F1178" t="s">
        <v>47</v>
      </c>
      <c r="G1178" s="14">
        <v>80000</v>
      </c>
      <c r="H1178" s="14">
        <v>80000</v>
      </c>
      <c r="I1178" t="s">
        <v>22</v>
      </c>
      <c r="J1178" t="s">
        <v>22</v>
      </c>
      <c r="K1178" t="s">
        <v>5161</v>
      </c>
      <c r="L1178" t="s">
        <v>221</v>
      </c>
      <c r="M1178" t="s">
        <v>19</v>
      </c>
      <c r="N1178">
        <v>1</v>
      </c>
      <c r="O1178" t="s">
        <v>73</v>
      </c>
      <c r="P1178" t="s">
        <v>146</v>
      </c>
      <c r="Q1178" t="s">
        <v>30</v>
      </c>
      <c r="R1178" t="str">
        <f>VLOOKUP($O1178,'Mapa Oficinas'!$A$7:$C$46,2,FALSE)</f>
        <v>CABA</v>
      </c>
      <c r="S1178" t="str">
        <f>VLOOKUP($O1178,'Mapa Oficinas'!$A$7:$C$46,3,FALSE)</f>
        <v>Recoleta</v>
      </c>
    </row>
    <row r="1179" spans="1:19" x14ac:dyDescent="0.2">
      <c r="A1179" s="1">
        <v>45875</v>
      </c>
      <c r="B1179" t="s">
        <v>5162</v>
      </c>
      <c r="D1179" t="s">
        <v>5163</v>
      </c>
      <c r="E1179" t="s">
        <v>16</v>
      </c>
      <c r="F1179" t="s">
        <v>17</v>
      </c>
      <c r="G1179" s="14">
        <v>89500</v>
      </c>
      <c r="H1179" s="14">
        <v>85000</v>
      </c>
      <c r="I1179" t="s">
        <v>22</v>
      </c>
      <c r="J1179" t="s">
        <v>22</v>
      </c>
      <c r="K1179" t="s">
        <v>5164</v>
      </c>
      <c r="L1179" t="s">
        <v>141</v>
      </c>
      <c r="M1179" t="s">
        <v>19</v>
      </c>
      <c r="N1179">
        <v>2</v>
      </c>
      <c r="O1179" t="s">
        <v>103</v>
      </c>
      <c r="P1179" t="s">
        <v>21</v>
      </c>
      <c r="Q1179" t="s">
        <v>30</v>
      </c>
      <c r="R1179" t="str">
        <f>VLOOKUP($O1179,'Mapa Oficinas'!$A$7:$C$46,2,FALSE)</f>
        <v>CABA</v>
      </c>
      <c r="S1179" t="str">
        <f>VLOOKUP($O1179,'Mapa Oficinas'!$A$7:$C$46,3,FALSE)</f>
        <v>Barrio Parque</v>
      </c>
    </row>
    <row r="1180" spans="1:19" x14ac:dyDescent="0.2">
      <c r="A1180" s="1">
        <v>45875</v>
      </c>
      <c r="B1180" t="s">
        <v>5165</v>
      </c>
      <c r="D1180" t="s">
        <v>5166</v>
      </c>
      <c r="E1180" t="s">
        <v>16</v>
      </c>
      <c r="F1180" t="s">
        <v>17</v>
      </c>
      <c r="G1180" s="14">
        <v>94000</v>
      </c>
      <c r="H1180" s="14">
        <v>86000</v>
      </c>
      <c r="I1180" t="s">
        <v>22</v>
      </c>
      <c r="J1180" t="s">
        <v>22</v>
      </c>
      <c r="K1180" t="s">
        <v>5167</v>
      </c>
      <c r="L1180" t="s">
        <v>1831</v>
      </c>
      <c r="M1180" t="s">
        <v>19</v>
      </c>
      <c r="N1180">
        <v>2</v>
      </c>
      <c r="O1180" t="s">
        <v>547</v>
      </c>
      <c r="P1180" t="s">
        <v>21</v>
      </c>
      <c r="Q1180" t="s">
        <v>30</v>
      </c>
      <c r="R1180" t="str">
        <f>VLOOKUP($O1180,'Mapa Oficinas'!$A$7:$C$46,2,FALSE)</f>
        <v>CABA</v>
      </c>
      <c r="S1180" t="str">
        <f>VLOOKUP($O1180,'Mapa Oficinas'!$A$7:$C$46,3,FALSE)</f>
        <v>Núñez</v>
      </c>
    </row>
    <row r="1181" spans="1:19" x14ac:dyDescent="0.2">
      <c r="A1181" s="1">
        <v>45876</v>
      </c>
      <c r="B1181" t="s">
        <v>5138</v>
      </c>
      <c r="D1181" t="s">
        <v>5139</v>
      </c>
      <c r="E1181" t="s">
        <v>16</v>
      </c>
      <c r="F1181" t="s">
        <v>17</v>
      </c>
      <c r="G1181" s="14">
        <v>55000</v>
      </c>
      <c r="H1181" s="14">
        <v>52000</v>
      </c>
      <c r="I1181" t="s">
        <v>22</v>
      </c>
      <c r="J1181" t="s">
        <v>22</v>
      </c>
      <c r="K1181" t="s">
        <v>5140</v>
      </c>
      <c r="L1181" t="s">
        <v>1586</v>
      </c>
      <c r="M1181" t="s">
        <v>72</v>
      </c>
      <c r="N1181">
        <v>2</v>
      </c>
      <c r="O1181" t="s">
        <v>227</v>
      </c>
      <c r="P1181" t="s">
        <v>21</v>
      </c>
      <c r="Q1181" t="s">
        <v>30</v>
      </c>
      <c r="R1181" t="str">
        <f>VLOOKUP($O1181,'Mapa Oficinas'!$A$7:$C$46,2,FALSE)</f>
        <v>Zona Oeste (GBA)</v>
      </c>
      <c r="S1181" t="str">
        <f>VLOOKUP($O1181,'Mapa Oficinas'!$A$7:$C$46,3,FALSE)</f>
        <v>Parque Leloir</v>
      </c>
    </row>
    <row r="1182" spans="1:19" x14ac:dyDescent="0.2">
      <c r="A1182" s="1">
        <v>45876</v>
      </c>
      <c r="B1182" t="s">
        <v>5141</v>
      </c>
      <c r="D1182" t="s">
        <v>5142</v>
      </c>
      <c r="E1182" t="s">
        <v>16</v>
      </c>
      <c r="F1182" t="s">
        <v>58</v>
      </c>
      <c r="G1182" s="14">
        <v>79900</v>
      </c>
      <c r="H1182" s="14">
        <v>75000</v>
      </c>
      <c r="I1182" t="s">
        <v>22</v>
      </c>
      <c r="J1182" t="s">
        <v>22</v>
      </c>
      <c r="K1182" t="s">
        <v>5143</v>
      </c>
      <c r="L1182" t="s">
        <v>140</v>
      </c>
      <c r="M1182" t="s">
        <v>28</v>
      </c>
      <c r="N1182">
        <v>2</v>
      </c>
      <c r="O1182" t="s">
        <v>50</v>
      </c>
      <c r="P1182" t="s">
        <v>21</v>
      </c>
      <c r="Q1182" t="s">
        <v>30</v>
      </c>
      <c r="R1182" t="str">
        <f>VLOOKUP($O1182,'Mapa Oficinas'!$A$7:$C$46,2,FALSE)</f>
        <v>CABA</v>
      </c>
      <c r="S1182" t="str">
        <f>VLOOKUP($O1182,'Mapa Oficinas'!$A$7:$C$46,3,FALSE)</f>
        <v>Villa Urquiza</v>
      </c>
    </row>
    <row r="1183" spans="1:19" x14ac:dyDescent="0.2">
      <c r="A1183" s="1">
        <v>45876</v>
      </c>
      <c r="B1183" t="s">
        <v>5153</v>
      </c>
      <c r="D1183" t="s">
        <v>5154</v>
      </c>
      <c r="E1183" t="s">
        <v>16</v>
      </c>
      <c r="F1183" t="s">
        <v>17</v>
      </c>
      <c r="G1183" s="14">
        <v>73500</v>
      </c>
      <c r="H1183" s="14">
        <v>75000</v>
      </c>
      <c r="I1183" t="s">
        <v>22</v>
      </c>
      <c r="J1183" t="s">
        <v>22</v>
      </c>
      <c r="K1183" t="s">
        <v>5155</v>
      </c>
      <c r="L1183" t="s">
        <v>5156</v>
      </c>
      <c r="M1183" t="s">
        <v>19</v>
      </c>
      <c r="N1183">
        <v>1</v>
      </c>
      <c r="O1183" t="s">
        <v>142</v>
      </c>
      <c r="P1183" t="s">
        <v>146</v>
      </c>
      <c r="Q1183" t="s">
        <v>30</v>
      </c>
      <c r="R1183" t="str">
        <f>VLOOKUP($O1183,'Mapa Oficinas'!$A$7:$C$46,2,FALSE)</f>
        <v>Zona Norte (GBA)</v>
      </c>
      <c r="S1183" t="str">
        <f>VLOOKUP($O1183,'Mapa Oficinas'!$A$7:$C$46,3,FALSE)</f>
        <v>Nordelta</v>
      </c>
    </row>
    <row r="1184" spans="1:19" x14ac:dyDescent="0.2">
      <c r="A1184" s="1">
        <v>45876</v>
      </c>
      <c r="B1184" t="s">
        <v>5150</v>
      </c>
      <c r="D1184" t="s">
        <v>5151</v>
      </c>
      <c r="E1184" t="s">
        <v>16</v>
      </c>
      <c r="F1184" t="s">
        <v>243</v>
      </c>
      <c r="G1184" s="14">
        <v>100000</v>
      </c>
      <c r="H1184" s="14">
        <v>100000</v>
      </c>
      <c r="I1184" t="s">
        <v>22</v>
      </c>
      <c r="J1184" t="s">
        <v>22</v>
      </c>
      <c r="K1184" t="s">
        <v>5152</v>
      </c>
      <c r="L1184" t="s">
        <v>245</v>
      </c>
      <c r="M1184" t="s">
        <v>28</v>
      </c>
      <c r="N1184">
        <v>2</v>
      </c>
      <c r="O1184" t="s">
        <v>246</v>
      </c>
      <c r="P1184" t="s">
        <v>21</v>
      </c>
      <c r="Q1184" t="s">
        <v>30</v>
      </c>
      <c r="R1184" t="str">
        <f>VLOOKUP($O1184,'Mapa Oficinas'!$A$7:$C$46,2,FALSE)</f>
        <v>Interior - Salta</v>
      </c>
      <c r="S1184" t="str">
        <f>VLOOKUP($O1184,'Mapa Oficinas'!$A$7:$C$46,3,FALSE)</f>
        <v>San Lorenzo Chico</v>
      </c>
    </row>
    <row r="1185" spans="1:19" x14ac:dyDescent="0.2">
      <c r="A1185" s="1">
        <v>45876</v>
      </c>
      <c r="D1185" t="s">
        <v>5148</v>
      </c>
      <c r="E1185" t="s">
        <v>16</v>
      </c>
      <c r="F1185" t="s">
        <v>17</v>
      </c>
      <c r="G1185" s="14">
        <v>12000</v>
      </c>
      <c r="H1185" s="14">
        <v>120000</v>
      </c>
      <c r="I1185" t="s">
        <v>22</v>
      </c>
      <c r="J1185" t="s">
        <v>22</v>
      </c>
      <c r="K1185" t="s">
        <v>5149</v>
      </c>
      <c r="L1185" t="s">
        <v>394</v>
      </c>
      <c r="M1185" t="s">
        <v>19</v>
      </c>
      <c r="N1185">
        <v>1</v>
      </c>
      <c r="O1185" t="s">
        <v>201</v>
      </c>
      <c r="P1185" t="s">
        <v>146</v>
      </c>
      <c r="Q1185" t="s">
        <v>30</v>
      </c>
      <c r="R1185" t="str">
        <f>VLOOKUP($O1185,'Mapa Oficinas'!$A$7:$C$46,2,FALSE)</f>
        <v>CABA</v>
      </c>
      <c r="S1185" t="str">
        <f>VLOOKUP($O1185,'Mapa Oficinas'!$A$7:$C$46,3,FALSE)</f>
        <v>Recoleta</v>
      </c>
    </row>
    <row r="1186" spans="1:19" x14ac:dyDescent="0.2">
      <c r="A1186" s="1">
        <v>45876</v>
      </c>
      <c r="D1186" t="s">
        <v>5157</v>
      </c>
      <c r="E1186" t="s">
        <v>16</v>
      </c>
      <c r="F1186" t="s">
        <v>17</v>
      </c>
      <c r="G1186" s="14">
        <v>530000</v>
      </c>
      <c r="H1186" s="14">
        <v>525000</v>
      </c>
      <c r="I1186" t="s">
        <v>22</v>
      </c>
      <c r="J1186" t="s">
        <v>22</v>
      </c>
      <c r="K1186" t="s">
        <v>5158</v>
      </c>
      <c r="L1186" t="s">
        <v>191</v>
      </c>
      <c r="M1186" t="s">
        <v>19</v>
      </c>
      <c r="N1186">
        <v>2</v>
      </c>
      <c r="O1186" t="s">
        <v>206</v>
      </c>
      <c r="P1186" t="s">
        <v>44</v>
      </c>
      <c r="Q1186" t="s">
        <v>30</v>
      </c>
      <c r="R1186" t="str">
        <f>VLOOKUP($O1186,'Mapa Oficinas'!$A$7:$C$46,2,FALSE)</f>
        <v>CABA</v>
      </c>
      <c r="S1186" t="str">
        <f>VLOOKUP($O1186,'Mapa Oficinas'!$A$7:$C$46,3,FALSE)</f>
        <v>Belgrano</v>
      </c>
    </row>
    <row r="1187" spans="1:19" x14ac:dyDescent="0.2">
      <c r="A1187" s="1">
        <v>45876</v>
      </c>
      <c r="B1187" t="s">
        <v>1652</v>
      </c>
      <c r="D1187" t="s">
        <v>5147</v>
      </c>
      <c r="E1187" t="s">
        <v>16</v>
      </c>
      <c r="F1187" t="s">
        <v>38</v>
      </c>
      <c r="G1187" s="14">
        <v>630000</v>
      </c>
      <c r="H1187" s="14">
        <v>630000</v>
      </c>
      <c r="I1187" t="s">
        <v>22</v>
      </c>
      <c r="J1187" t="s">
        <v>22</v>
      </c>
      <c r="K1187" t="s">
        <v>1654</v>
      </c>
      <c r="L1187" t="s">
        <v>1655</v>
      </c>
      <c r="M1187" t="s">
        <v>28</v>
      </c>
      <c r="N1187">
        <v>2</v>
      </c>
      <c r="O1187" t="s">
        <v>40</v>
      </c>
      <c r="P1187" t="s">
        <v>44</v>
      </c>
      <c r="Q1187" t="s">
        <v>30</v>
      </c>
      <c r="R1187" t="str">
        <f>VLOOKUP($O1187,'Mapa Oficinas'!$A$7:$C$46,2,FALSE)</f>
        <v>Zona Norte (GBA)</v>
      </c>
      <c r="S1187" t="str">
        <f>VLOOKUP($O1187,'Mapa Oficinas'!$A$7:$C$46,3,FALSE)</f>
        <v>Pilar</v>
      </c>
    </row>
    <row r="1188" spans="1:19" x14ac:dyDescent="0.2">
      <c r="A1188" s="1">
        <v>45877</v>
      </c>
      <c r="B1188" t="s">
        <v>5104</v>
      </c>
      <c r="D1188" t="s">
        <v>5105</v>
      </c>
      <c r="E1188" t="s">
        <v>16</v>
      </c>
      <c r="F1188" t="s">
        <v>17</v>
      </c>
      <c r="G1188" s="14">
        <v>55000</v>
      </c>
      <c r="H1188" s="14">
        <v>52000</v>
      </c>
      <c r="I1188" t="s">
        <v>22</v>
      </c>
      <c r="J1188" t="s">
        <v>22</v>
      </c>
      <c r="K1188" t="s">
        <v>5106</v>
      </c>
      <c r="L1188" t="s">
        <v>1177</v>
      </c>
      <c r="M1188" t="s">
        <v>72</v>
      </c>
      <c r="N1188">
        <v>2</v>
      </c>
      <c r="O1188" t="s">
        <v>103</v>
      </c>
      <c r="P1188" t="s">
        <v>21</v>
      </c>
      <c r="Q1188" t="s">
        <v>30</v>
      </c>
      <c r="R1188" t="str">
        <f>VLOOKUP($O1188,'Mapa Oficinas'!$A$7:$C$46,2,FALSE)</f>
        <v>CABA</v>
      </c>
      <c r="S1188" t="str">
        <f>VLOOKUP($O1188,'Mapa Oficinas'!$A$7:$C$46,3,FALSE)</f>
        <v>Barrio Parque</v>
      </c>
    </row>
    <row r="1189" spans="1:19" x14ac:dyDescent="0.2">
      <c r="A1189" s="1">
        <v>45877</v>
      </c>
      <c r="B1189" t="s">
        <v>5108</v>
      </c>
      <c r="D1189" t="s">
        <v>5109</v>
      </c>
      <c r="E1189" t="s">
        <v>16</v>
      </c>
      <c r="F1189" t="s">
        <v>134</v>
      </c>
      <c r="G1189" s="14">
        <v>59000</v>
      </c>
      <c r="H1189" s="14">
        <v>59000</v>
      </c>
      <c r="I1189" t="s">
        <v>22</v>
      </c>
      <c r="J1189" t="s">
        <v>22</v>
      </c>
      <c r="K1189" t="s">
        <v>5110</v>
      </c>
      <c r="L1189" t="s">
        <v>5111</v>
      </c>
      <c r="M1189" t="s">
        <v>97</v>
      </c>
      <c r="N1189">
        <v>2</v>
      </c>
      <c r="O1189" t="s">
        <v>130</v>
      </c>
      <c r="P1189" t="s">
        <v>41</v>
      </c>
      <c r="Q1189" t="s">
        <v>30</v>
      </c>
      <c r="R1189" t="str">
        <f>VLOOKUP($O1189,'Mapa Oficinas'!$A$7:$C$46,2,FALSE)</f>
        <v>Interior - Río Negro</v>
      </c>
      <c r="S1189" t="str">
        <f>VLOOKUP($O1189,'Mapa Oficinas'!$A$7:$C$46,3,FALSE)</f>
        <v>Bariloche</v>
      </c>
    </row>
    <row r="1190" spans="1:19" x14ac:dyDescent="0.2">
      <c r="A1190" s="1">
        <v>45877</v>
      </c>
      <c r="B1190">
        <v>11</v>
      </c>
      <c r="D1190" t="s">
        <v>5118</v>
      </c>
      <c r="E1190" t="s">
        <v>16</v>
      </c>
      <c r="F1190" t="s">
        <v>17</v>
      </c>
      <c r="G1190" s="14">
        <v>62000</v>
      </c>
      <c r="H1190" s="14">
        <v>62000</v>
      </c>
      <c r="I1190" t="s">
        <v>22</v>
      </c>
      <c r="J1190" t="s">
        <v>22</v>
      </c>
      <c r="K1190" t="s">
        <v>5119</v>
      </c>
      <c r="L1190" t="s">
        <v>71</v>
      </c>
      <c r="M1190" t="s">
        <v>19</v>
      </c>
      <c r="N1190">
        <v>1</v>
      </c>
      <c r="O1190" t="s">
        <v>198</v>
      </c>
      <c r="P1190" t="s">
        <v>146</v>
      </c>
      <c r="Q1190" t="s">
        <v>30</v>
      </c>
      <c r="R1190" t="str">
        <f>VLOOKUP($O1190,'Mapa Oficinas'!$A$7:$C$46,2,FALSE)</f>
        <v>CABA</v>
      </c>
      <c r="S1190" t="str">
        <f>VLOOKUP($O1190,'Mapa Oficinas'!$A$7:$C$46,3,FALSE)</f>
        <v>Caballito</v>
      </c>
    </row>
    <row r="1191" spans="1:19" x14ac:dyDescent="0.2">
      <c r="A1191" s="1">
        <v>45877</v>
      </c>
      <c r="B1191">
        <v>8082025</v>
      </c>
      <c r="D1191" t="s">
        <v>5107</v>
      </c>
      <c r="E1191" t="s">
        <v>16</v>
      </c>
      <c r="F1191" t="s">
        <v>134</v>
      </c>
      <c r="G1191" s="14">
        <v>74000</v>
      </c>
      <c r="H1191" s="14">
        <v>74000</v>
      </c>
      <c r="I1191" t="s">
        <v>22</v>
      </c>
      <c r="J1191" t="s">
        <v>22</v>
      </c>
      <c r="L1191" t="s">
        <v>129</v>
      </c>
      <c r="M1191" t="s">
        <v>19</v>
      </c>
      <c r="N1191">
        <v>1</v>
      </c>
      <c r="O1191" t="s">
        <v>130</v>
      </c>
      <c r="P1191" t="s">
        <v>131</v>
      </c>
      <c r="Q1191" t="s">
        <v>30</v>
      </c>
      <c r="R1191" t="str">
        <f>VLOOKUP($O1191,'Mapa Oficinas'!$A$7:$C$46,2,FALSE)</f>
        <v>Interior - Río Negro</v>
      </c>
      <c r="S1191" t="str">
        <f>VLOOKUP($O1191,'Mapa Oficinas'!$A$7:$C$46,3,FALSE)</f>
        <v>Bariloche</v>
      </c>
    </row>
    <row r="1192" spans="1:19" x14ac:dyDescent="0.2">
      <c r="A1192" s="1">
        <v>45877</v>
      </c>
      <c r="B1192" t="s">
        <v>5112</v>
      </c>
      <c r="D1192" t="s">
        <v>5113</v>
      </c>
      <c r="E1192" t="s">
        <v>16</v>
      </c>
      <c r="F1192" t="s">
        <v>17</v>
      </c>
      <c r="G1192" s="14">
        <v>97000</v>
      </c>
      <c r="H1192" s="14">
        <v>82500</v>
      </c>
      <c r="I1192" t="s">
        <v>22</v>
      </c>
      <c r="J1192" t="s">
        <v>22</v>
      </c>
      <c r="K1192" t="s">
        <v>5114</v>
      </c>
      <c r="L1192" t="s">
        <v>330</v>
      </c>
      <c r="M1192" t="s">
        <v>19</v>
      </c>
      <c r="N1192">
        <v>2</v>
      </c>
      <c r="O1192" t="s">
        <v>35</v>
      </c>
      <c r="P1192" t="s">
        <v>21</v>
      </c>
      <c r="Q1192" t="s">
        <v>30</v>
      </c>
      <c r="R1192" t="str">
        <f>VLOOKUP($O1192,'Mapa Oficinas'!$A$7:$C$46,2,FALSE)</f>
        <v>Zona Norte (GBA)</v>
      </c>
      <c r="S1192" t="str">
        <f>VLOOKUP($O1192,'Mapa Oficinas'!$A$7:$C$46,3,FALSE)</f>
        <v>Vicente López</v>
      </c>
    </row>
    <row r="1193" spans="1:19" x14ac:dyDescent="0.2">
      <c r="A1193" s="1">
        <v>45877</v>
      </c>
      <c r="B1193" t="s">
        <v>5129</v>
      </c>
      <c r="D1193" t="s">
        <v>5130</v>
      </c>
      <c r="E1193" t="s">
        <v>16</v>
      </c>
      <c r="F1193" t="s">
        <v>17</v>
      </c>
      <c r="G1193" s="14">
        <v>125000</v>
      </c>
      <c r="H1193" s="14">
        <v>115000</v>
      </c>
      <c r="I1193" t="s">
        <v>22</v>
      </c>
      <c r="J1193" t="s">
        <v>22</v>
      </c>
      <c r="K1193" t="s">
        <v>5131</v>
      </c>
      <c r="L1193" t="s">
        <v>205</v>
      </c>
      <c r="M1193" t="s">
        <v>19</v>
      </c>
      <c r="N1193">
        <v>2</v>
      </c>
      <c r="O1193" t="s">
        <v>20</v>
      </c>
      <c r="P1193" t="s">
        <v>21</v>
      </c>
      <c r="Q1193" t="s">
        <v>30</v>
      </c>
      <c r="R1193" t="str">
        <f>VLOOKUP($O1193,'Mapa Oficinas'!$A$7:$C$46,2,FALSE)</f>
        <v>CABA</v>
      </c>
      <c r="S1193" t="str">
        <f>VLOOKUP($O1193,'Mapa Oficinas'!$A$7:$C$46,3,FALSE)</f>
        <v>Palermo</v>
      </c>
    </row>
    <row r="1194" spans="1:19" x14ac:dyDescent="0.2">
      <c r="A1194" s="1">
        <v>45877</v>
      </c>
      <c r="B1194" t="s">
        <v>5126</v>
      </c>
      <c r="D1194" t="s">
        <v>5127</v>
      </c>
      <c r="E1194" t="s">
        <v>16</v>
      </c>
      <c r="F1194" t="s">
        <v>17</v>
      </c>
      <c r="G1194" s="14">
        <v>127000</v>
      </c>
      <c r="H1194" s="14">
        <v>116000</v>
      </c>
      <c r="I1194" t="s">
        <v>22</v>
      </c>
      <c r="J1194" t="s">
        <v>22</v>
      </c>
      <c r="K1194" t="s">
        <v>5128</v>
      </c>
      <c r="L1194" t="s">
        <v>258</v>
      </c>
      <c r="M1194" t="s">
        <v>28</v>
      </c>
      <c r="N1194">
        <v>2</v>
      </c>
      <c r="O1194" t="s">
        <v>29</v>
      </c>
      <c r="P1194" t="s">
        <v>21</v>
      </c>
      <c r="Q1194" t="s">
        <v>30</v>
      </c>
      <c r="R1194" t="str">
        <f>VLOOKUP($O1194,'Mapa Oficinas'!$A$7:$C$46,2,FALSE)</f>
        <v>CABA</v>
      </c>
      <c r="S1194" t="str">
        <f>VLOOKUP($O1194,'Mapa Oficinas'!$A$7:$C$46,3,FALSE)</f>
        <v>Núñez</v>
      </c>
    </row>
    <row r="1195" spans="1:19" x14ac:dyDescent="0.2">
      <c r="A1195" s="1">
        <v>45877</v>
      </c>
      <c r="B1195" t="s">
        <v>5135</v>
      </c>
      <c r="D1195" t="s">
        <v>5136</v>
      </c>
      <c r="E1195" t="s">
        <v>16</v>
      </c>
      <c r="F1195" t="s">
        <v>17</v>
      </c>
      <c r="G1195" s="14">
        <v>129000</v>
      </c>
      <c r="H1195" s="14">
        <v>125000</v>
      </c>
      <c r="I1195" t="s">
        <v>22</v>
      </c>
      <c r="J1195" t="s">
        <v>22</v>
      </c>
      <c r="K1195" t="s">
        <v>5137</v>
      </c>
      <c r="L1195" t="s">
        <v>1077</v>
      </c>
      <c r="M1195" t="s">
        <v>19</v>
      </c>
      <c r="N1195">
        <v>2</v>
      </c>
      <c r="O1195" t="s">
        <v>20</v>
      </c>
      <c r="P1195" t="s">
        <v>21</v>
      </c>
      <c r="Q1195" t="s">
        <v>30</v>
      </c>
      <c r="R1195" t="str">
        <f>VLOOKUP($O1195,'Mapa Oficinas'!$A$7:$C$46,2,FALSE)</f>
        <v>CABA</v>
      </c>
      <c r="S1195" t="str">
        <f>VLOOKUP($O1195,'Mapa Oficinas'!$A$7:$C$46,3,FALSE)</f>
        <v>Palermo</v>
      </c>
    </row>
    <row r="1196" spans="1:19" x14ac:dyDescent="0.2">
      <c r="A1196" s="1">
        <v>45877</v>
      </c>
      <c r="B1196" t="s">
        <v>5120</v>
      </c>
      <c r="D1196" t="s">
        <v>5121</v>
      </c>
      <c r="E1196" t="s">
        <v>16</v>
      </c>
      <c r="F1196" t="s">
        <v>17</v>
      </c>
      <c r="G1196" s="14">
        <v>175000</v>
      </c>
      <c r="H1196" s="14">
        <v>175000</v>
      </c>
      <c r="I1196" t="s">
        <v>22</v>
      </c>
      <c r="J1196" t="s">
        <v>22</v>
      </c>
      <c r="K1196" t="s">
        <v>5122</v>
      </c>
      <c r="L1196" t="s">
        <v>398</v>
      </c>
      <c r="M1196" t="s">
        <v>19</v>
      </c>
      <c r="N1196">
        <v>2</v>
      </c>
      <c r="O1196" t="s">
        <v>103</v>
      </c>
      <c r="P1196" t="s">
        <v>21</v>
      </c>
      <c r="Q1196" t="s">
        <v>30</v>
      </c>
      <c r="R1196" t="str">
        <f>VLOOKUP($O1196,'Mapa Oficinas'!$A$7:$C$46,2,FALSE)</f>
        <v>CABA</v>
      </c>
      <c r="S1196" t="str">
        <f>VLOOKUP($O1196,'Mapa Oficinas'!$A$7:$C$46,3,FALSE)</f>
        <v>Barrio Parque</v>
      </c>
    </row>
    <row r="1197" spans="1:19" x14ac:dyDescent="0.2">
      <c r="A1197" s="1">
        <v>45877</v>
      </c>
      <c r="B1197" t="s">
        <v>5132</v>
      </c>
      <c r="D1197" t="s">
        <v>5133</v>
      </c>
      <c r="E1197" t="s">
        <v>16</v>
      </c>
      <c r="F1197" t="s">
        <v>17</v>
      </c>
      <c r="G1197" s="14">
        <v>250000</v>
      </c>
      <c r="H1197" s="14">
        <v>250000</v>
      </c>
      <c r="I1197" t="s">
        <v>22</v>
      </c>
      <c r="J1197" t="s">
        <v>22</v>
      </c>
      <c r="K1197" t="s">
        <v>5134</v>
      </c>
      <c r="L1197" t="s">
        <v>191</v>
      </c>
      <c r="M1197" t="s">
        <v>19</v>
      </c>
      <c r="N1197">
        <v>1</v>
      </c>
      <c r="O1197" t="s">
        <v>20</v>
      </c>
      <c r="P1197" t="s">
        <v>146</v>
      </c>
      <c r="Q1197" t="s">
        <v>30</v>
      </c>
      <c r="R1197" t="str">
        <f>VLOOKUP($O1197,'Mapa Oficinas'!$A$7:$C$46,2,FALSE)</f>
        <v>CABA</v>
      </c>
      <c r="S1197" t="str">
        <f>VLOOKUP($O1197,'Mapa Oficinas'!$A$7:$C$46,3,FALSE)</f>
        <v>Palermo</v>
      </c>
    </row>
    <row r="1198" spans="1:19" x14ac:dyDescent="0.2">
      <c r="A1198" s="1">
        <v>45877</v>
      </c>
      <c r="B1198" t="s">
        <v>1631</v>
      </c>
      <c r="D1198" t="s">
        <v>3861</v>
      </c>
      <c r="E1198" t="s">
        <v>16</v>
      </c>
      <c r="F1198" t="s">
        <v>17</v>
      </c>
      <c r="G1198" s="14">
        <v>385000</v>
      </c>
      <c r="H1198" s="14">
        <v>385000</v>
      </c>
      <c r="I1198" t="s">
        <v>22</v>
      </c>
      <c r="J1198" t="s">
        <v>22</v>
      </c>
      <c r="K1198" t="s">
        <v>1632</v>
      </c>
      <c r="L1198" t="s">
        <v>79</v>
      </c>
      <c r="M1198" t="s">
        <v>19</v>
      </c>
      <c r="N1198">
        <v>1</v>
      </c>
      <c r="O1198" t="s">
        <v>142</v>
      </c>
      <c r="P1198" t="s">
        <v>146</v>
      </c>
      <c r="Q1198" t="s">
        <v>30</v>
      </c>
      <c r="R1198" t="str">
        <f>VLOOKUP($O1198,'Mapa Oficinas'!$A$7:$C$46,2,FALSE)</f>
        <v>Zona Norte (GBA)</v>
      </c>
      <c r="S1198" t="str">
        <f>VLOOKUP($O1198,'Mapa Oficinas'!$A$7:$C$46,3,FALSE)</f>
        <v>Nordelta</v>
      </c>
    </row>
    <row r="1199" spans="1:19" x14ac:dyDescent="0.2">
      <c r="A1199" s="1">
        <v>45877</v>
      </c>
      <c r="B1199" t="s">
        <v>5123</v>
      </c>
      <c r="D1199" t="s">
        <v>5124</v>
      </c>
      <c r="E1199" t="s">
        <v>16</v>
      </c>
      <c r="F1199" t="s">
        <v>17</v>
      </c>
      <c r="G1199" s="14">
        <v>570000</v>
      </c>
      <c r="H1199" s="14">
        <v>540000</v>
      </c>
      <c r="I1199" t="s">
        <v>22</v>
      </c>
      <c r="J1199" t="s">
        <v>22</v>
      </c>
      <c r="K1199" t="s">
        <v>5125</v>
      </c>
      <c r="L1199" t="s">
        <v>282</v>
      </c>
      <c r="M1199" t="s">
        <v>19</v>
      </c>
      <c r="N1199">
        <v>2</v>
      </c>
      <c r="O1199" t="s">
        <v>103</v>
      </c>
      <c r="P1199" t="s">
        <v>276</v>
      </c>
      <c r="Q1199" t="s">
        <v>30</v>
      </c>
      <c r="R1199" t="str">
        <f>VLOOKUP($O1199,'Mapa Oficinas'!$A$7:$C$46,2,FALSE)</f>
        <v>CABA</v>
      </c>
      <c r="S1199" t="str">
        <f>VLOOKUP($O1199,'Mapa Oficinas'!$A$7:$C$46,3,FALSE)</f>
        <v>Barrio Parque</v>
      </c>
    </row>
    <row r="1200" spans="1:19" x14ac:dyDescent="0.2">
      <c r="A1200" s="1">
        <v>45880</v>
      </c>
      <c r="B1200">
        <v>10481</v>
      </c>
      <c r="D1200" t="s">
        <v>5085</v>
      </c>
      <c r="E1200" t="s">
        <v>16</v>
      </c>
      <c r="F1200" t="s">
        <v>17</v>
      </c>
      <c r="G1200" s="14">
        <v>0</v>
      </c>
      <c r="H1200" s="14">
        <v>72000</v>
      </c>
      <c r="I1200" t="s">
        <v>22</v>
      </c>
      <c r="J1200" t="s">
        <v>22</v>
      </c>
      <c r="L1200" t="s">
        <v>102</v>
      </c>
      <c r="M1200" t="s">
        <v>19</v>
      </c>
      <c r="N1200">
        <v>1</v>
      </c>
      <c r="O1200" t="s">
        <v>103</v>
      </c>
      <c r="P1200" t="s">
        <v>146</v>
      </c>
      <c r="Q1200" t="s">
        <v>30</v>
      </c>
      <c r="R1200" t="str">
        <f>VLOOKUP($O1200,'Mapa Oficinas'!$A$7:$C$46,2,FALSE)</f>
        <v>CABA</v>
      </c>
      <c r="S1200" t="str">
        <f>VLOOKUP($O1200,'Mapa Oficinas'!$A$7:$C$46,3,FALSE)</f>
        <v>Barrio Parque</v>
      </c>
    </row>
    <row r="1201" spans="1:19" x14ac:dyDescent="0.2">
      <c r="A1201" s="1">
        <v>45880</v>
      </c>
      <c r="B1201" t="s">
        <v>5081</v>
      </c>
      <c r="D1201" t="s">
        <v>5082</v>
      </c>
      <c r="E1201" t="s">
        <v>16</v>
      </c>
      <c r="F1201" t="s">
        <v>17</v>
      </c>
      <c r="G1201" s="14">
        <v>79000</v>
      </c>
      <c r="H1201" s="14">
        <v>79000</v>
      </c>
      <c r="I1201" t="s">
        <v>22</v>
      </c>
      <c r="J1201" t="s">
        <v>22</v>
      </c>
      <c r="K1201" t="s">
        <v>5083</v>
      </c>
      <c r="L1201" t="s">
        <v>5084</v>
      </c>
      <c r="M1201" t="s">
        <v>19</v>
      </c>
      <c r="N1201">
        <v>2</v>
      </c>
      <c r="O1201" t="s">
        <v>171</v>
      </c>
      <c r="P1201" t="s">
        <v>21</v>
      </c>
      <c r="Q1201" t="s">
        <v>30</v>
      </c>
      <c r="R1201" t="str">
        <f>VLOOKUP($O1201,'Mapa Oficinas'!$A$7:$C$46,2,FALSE)</f>
        <v>Zona Sur (GBA)</v>
      </c>
      <c r="S1201" t="str">
        <f>VLOOKUP($O1201,'Mapa Oficinas'!$A$7:$C$46,3,FALSE)</f>
        <v>La Plata</v>
      </c>
    </row>
    <row r="1202" spans="1:19" x14ac:dyDescent="0.2">
      <c r="A1202" s="1">
        <v>45880</v>
      </c>
      <c r="B1202" t="s">
        <v>5087</v>
      </c>
      <c r="D1202" t="s">
        <v>5088</v>
      </c>
      <c r="E1202" t="s">
        <v>16</v>
      </c>
      <c r="F1202" t="s">
        <v>17</v>
      </c>
      <c r="G1202" s="14">
        <v>120000</v>
      </c>
      <c r="H1202" s="14">
        <v>99300</v>
      </c>
      <c r="I1202" t="s">
        <v>22</v>
      </c>
      <c r="J1202" t="s">
        <v>22</v>
      </c>
      <c r="K1202" t="s">
        <v>5089</v>
      </c>
      <c r="L1202" t="s">
        <v>277</v>
      </c>
      <c r="M1202" t="s">
        <v>19</v>
      </c>
      <c r="N1202">
        <v>2</v>
      </c>
      <c r="O1202" t="s">
        <v>103</v>
      </c>
      <c r="P1202" t="s">
        <v>21</v>
      </c>
      <c r="Q1202" t="s">
        <v>30</v>
      </c>
      <c r="R1202" t="str">
        <f>VLOOKUP($O1202,'Mapa Oficinas'!$A$7:$C$46,2,FALSE)</f>
        <v>CABA</v>
      </c>
      <c r="S1202" t="str">
        <f>VLOOKUP($O1202,'Mapa Oficinas'!$A$7:$C$46,3,FALSE)</f>
        <v>Barrio Parque</v>
      </c>
    </row>
    <row r="1203" spans="1:19" x14ac:dyDescent="0.2">
      <c r="A1203" s="1">
        <v>45880</v>
      </c>
      <c r="B1203" t="s">
        <v>5080</v>
      </c>
      <c r="D1203" t="s">
        <v>5080</v>
      </c>
      <c r="E1203" t="s">
        <v>16</v>
      </c>
      <c r="F1203" t="s">
        <v>47</v>
      </c>
      <c r="G1203" s="14">
        <v>210000</v>
      </c>
      <c r="H1203" s="14">
        <v>105000</v>
      </c>
      <c r="I1203" t="s">
        <v>22</v>
      </c>
      <c r="J1203" t="s">
        <v>22</v>
      </c>
      <c r="K1203" t="s">
        <v>5080</v>
      </c>
      <c r="L1203" t="s">
        <v>523</v>
      </c>
      <c r="M1203" t="s">
        <v>19</v>
      </c>
      <c r="N1203">
        <v>2</v>
      </c>
      <c r="O1203" t="s">
        <v>50</v>
      </c>
      <c r="P1203" t="s">
        <v>21</v>
      </c>
      <c r="Q1203" t="s">
        <v>30</v>
      </c>
      <c r="R1203" t="str">
        <f>VLOOKUP($O1203,'Mapa Oficinas'!$A$7:$C$46,2,FALSE)</f>
        <v>CABA</v>
      </c>
      <c r="S1203" t="str">
        <f>VLOOKUP($O1203,'Mapa Oficinas'!$A$7:$C$46,3,FALSE)</f>
        <v>Villa Urquiza</v>
      </c>
    </row>
    <row r="1204" spans="1:19" x14ac:dyDescent="0.2">
      <c r="A1204" s="1">
        <v>45880</v>
      </c>
      <c r="B1204" t="s">
        <v>5063</v>
      </c>
      <c r="D1204" t="s">
        <v>5064</v>
      </c>
      <c r="E1204" t="s">
        <v>16</v>
      </c>
      <c r="F1204" t="s">
        <v>17</v>
      </c>
      <c r="G1204" s="14">
        <v>160000</v>
      </c>
      <c r="H1204" s="14">
        <v>123000</v>
      </c>
      <c r="I1204" t="s">
        <v>22</v>
      </c>
      <c r="J1204" t="s">
        <v>22</v>
      </c>
      <c r="K1204" t="s">
        <v>5065</v>
      </c>
      <c r="L1204" t="s">
        <v>5066</v>
      </c>
      <c r="M1204" t="s">
        <v>28</v>
      </c>
      <c r="N1204">
        <v>1</v>
      </c>
      <c r="O1204" t="s">
        <v>171</v>
      </c>
      <c r="P1204" t="s">
        <v>146</v>
      </c>
      <c r="Q1204" t="s">
        <v>30</v>
      </c>
      <c r="R1204" t="str">
        <f>VLOOKUP($O1204,'Mapa Oficinas'!$A$7:$C$46,2,FALSE)</f>
        <v>Zona Sur (GBA)</v>
      </c>
      <c r="S1204" t="str">
        <f>VLOOKUP($O1204,'Mapa Oficinas'!$A$7:$C$46,3,FALSE)</f>
        <v>La Plata</v>
      </c>
    </row>
    <row r="1205" spans="1:19" x14ac:dyDescent="0.2">
      <c r="A1205" s="1">
        <v>45880</v>
      </c>
      <c r="B1205" t="s">
        <v>5076</v>
      </c>
      <c r="D1205" t="s">
        <v>5077</v>
      </c>
      <c r="E1205" t="s">
        <v>16</v>
      </c>
      <c r="F1205" t="s">
        <v>38</v>
      </c>
      <c r="G1205" s="14">
        <v>134500</v>
      </c>
      <c r="H1205" s="14">
        <v>130000</v>
      </c>
      <c r="I1205" t="s">
        <v>22</v>
      </c>
      <c r="J1205" t="s">
        <v>22</v>
      </c>
      <c r="K1205" t="s">
        <v>5078</v>
      </c>
      <c r="L1205" t="s">
        <v>5079</v>
      </c>
      <c r="M1205" t="s">
        <v>97</v>
      </c>
      <c r="N1205">
        <v>1</v>
      </c>
      <c r="O1205" t="s">
        <v>55</v>
      </c>
      <c r="P1205" t="s">
        <v>131</v>
      </c>
      <c r="Q1205" t="s">
        <v>30</v>
      </c>
      <c r="R1205" t="str">
        <f>VLOOKUP($O1205,'Mapa Oficinas'!$A$7:$C$46,2,FALSE)</f>
        <v>Interior - Santa Fe</v>
      </c>
      <c r="S1205" t="str">
        <f>VLOOKUP($O1205,'Mapa Oficinas'!$A$7:$C$46,3,FALSE)</f>
        <v>Capital Santa Fe</v>
      </c>
    </row>
    <row r="1206" spans="1:19" x14ac:dyDescent="0.2">
      <c r="A1206" s="1">
        <v>45880</v>
      </c>
      <c r="B1206" t="s">
        <v>2611</v>
      </c>
      <c r="D1206" t="s">
        <v>2612</v>
      </c>
      <c r="E1206" t="s">
        <v>16</v>
      </c>
      <c r="F1206" t="s">
        <v>17</v>
      </c>
      <c r="G1206" s="14">
        <v>175000</v>
      </c>
      <c r="H1206" s="14">
        <v>135000</v>
      </c>
      <c r="I1206" t="s">
        <v>22</v>
      </c>
      <c r="J1206" t="s">
        <v>22</v>
      </c>
      <c r="K1206" t="s">
        <v>2613</v>
      </c>
      <c r="L1206" t="s">
        <v>398</v>
      </c>
      <c r="M1206" t="s">
        <v>19</v>
      </c>
      <c r="N1206">
        <v>2</v>
      </c>
      <c r="O1206" t="s">
        <v>142</v>
      </c>
      <c r="P1206" t="s">
        <v>21</v>
      </c>
      <c r="Q1206" t="s">
        <v>30</v>
      </c>
      <c r="R1206" t="str">
        <f>VLOOKUP($O1206,'Mapa Oficinas'!$A$7:$C$46,2,FALSE)</f>
        <v>Zona Norte (GBA)</v>
      </c>
      <c r="S1206" t="str">
        <f>VLOOKUP($O1206,'Mapa Oficinas'!$A$7:$C$46,3,FALSE)</f>
        <v>Nordelta</v>
      </c>
    </row>
    <row r="1207" spans="1:19" x14ac:dyDescent="0.2">
      <c r="A1207" s="1">
        <v>45880</v>
      </c>
      <c r="B1207">
        <v>12</v>
      </c>
      <c r="D1207" t="s">
        <v>5093</v>
      </c>
      <c r="E1207" t="s">
        <v>16</v>
      </c>
      <c r="F1207" t="s">
        <v>127</v>
      </c>
      <c r="G1207" s="14">
        <v>130000</v>
      </c>
      <c r="H1207" s="14">
        <v>138000</v>
      </c>
      <c r="I1207" t="s">
        <v>22</v>
      </c>
      <c r="J1207" t="s">
        <v>22</v>
      </c>
      <c r="K1207" t="s">
        <v>5093</v>
      </c>
      <c r="L1207" t="s">
        <v>2200</v>
      </c>
      <c r="M1207" t="s">
        <v>19</v>
      </c>
      <c r="N1207">
        <v>1</v>
      </c>
      <c r="O1207" t="s">
        <v>116</v>
      </c>
      <c r="P1207" t="s">
        <v>146</v>
      </c>
      <c r="Q1207" t="s">
        <v>30</v>
      </c>
      <c r="R1207" t="str">
        <f>VLOOKUP($O1207,'Mapa Oficinas'!$A$7:$C$46,2,FALSE)</f>
        <v>CABA</v>
      </c>
      <c r="S1207" t="str">
        <f>VLOOKUP($O1207,'Mapa Oficinas'!$A$7:$C$46,3,FALSE)</f>
        <v>Puerto Madero</v>
      </c>
    </row>
    <row r="1208" spans="1:19" x14ac:dyDescent="0.2">
      <c r="A1208" s="1">
        <v>45880</v>
      </c>
      <c r="B1208" t="s">
        <v>5070</v>
      </c>
      <c r="D1208" t="s">
        <v>5071</v>
      </c>
      <c r="E1208" t="s">
        <v>16</v>
      </c>
      <c r="F1208" t="s">
        <v>17</v>
      </c>
      <c r="G1208" s="14">
        <v>165000</v>
      </c>
      <c r="H1208" s="14">
        <v>148000</v>
      </c>
      <c r="I1208" t="s">
        <v>22</v>
      </c>
      <c r="J1208" t="s">
        <v>22</v>
      </c>
      <c r="K1208" t="s">
        <v>5072</v>
      </c>
      <c r="L1208" t="s">
        <v>551</v>
      </c>
      <c r="M1208" t="s">
        <v>28</v>
      </c>
      <c r="N1208">
        <v>2</v>
      </c>
      <c r="O1208" t="s">
        <v>201</v>
      </c>
      <c r="P1208" t="s">
        <v>21</v>
      </c>
      <c r="Q1208" t="s">
        <v>30</v>
      </c>
      <c r="R1208" t="str">
        <f>VLOOKUP($O1208,'Mapa Oficinas'!$A$7:$C$46,2,FALSE)</f>
        <v>CABA</v>
      </c>
      <c r="S1208" t="str">
        <f>VLOOKUP($O1208,'Mapa Oficinas'!$A$7:$C$46,3,FALSE)</f>
        <v>Recoleta</v>
      </c>
    </row>
    <row r="1209" spans="1:19" x14ac:dyDescent="0.2">
      <c r="A1209" s="1">
        <v>45880</v>
      </c>
      <c r="B1209" t="s">
        <v>5073</v>
      </c>
      <c r="D1209" t="s">
        <v>5074</v>
      </c>
      <c r="E1209" t="s">
        <v>16</v>
      </c>
      <c r="F1209" t="s">
        <v>82</v>
      </c>
      <c r="G1209" s="14">
        <v>155000</v>
      </c>
      <c r="H1209" s="14">
        <v>160000</v>
      </c>
      <c r="I1209" t="s">
        <v>22</v>
      </c>
      <c r="J1209" t="s">
        <v>22</v>
      </c>
      <c r="K1209" t="s">
        <v>5075</v>
      </c>
      <c r="L1209" t="s">
        <v>124</v>
      </c>
      <c r="M1209" t="s">
        <v>28</v>
      </c>
      <c r="N1209">
        <v>2</v>
      </c>
      <c r="O1209" t="s">
        <v>55</v>
      </c>
      <c r="P1209" t="s">
        <v>21</v>
      </c>
      <c r="Q1209" t="s">
        <v>30</v>
      </c>
      <c r="R1209" t="str">
        <f>VLOOKUP($O1209,'Mapa Oficinas'!$A$7:$C$46,2,FALSE)</f>
        <v>Interior - Santa Fe</v>
      </c>
      <c r="S1209" t="str">
        <f>VLOOKUP($O1209,'Mapa Oficinas'!$A$7:$C$46,3,FALSE)</f>
        <v>Capital Santa Fe</v>
      </c>
    </row>
    <row r="1210" spans="1:19" x14ac:dyDescent="0.2">
      <c r="A1210" s="1">
        <v>45880</v>
      </c>
      <c r="B1210" t="s">
        <v>5090</v>
      </c>
      <c r="D1210" t="s">
        <v>5091</v>
      </c>
      <c r="E1210" t="s">
        <v>16</v>
      </c>
      <c r="F1210" t="s">
        <v>896</v>
      </c>
      <c r="G1210" s="14">
        <v>240000</v>
      </c>
      <c r="H1210" s="14">
        <v>295000</v>
      </c>
      <c r="I1210" t="s">
        <v>22</v>
      </c>
      <c r="J1210" t="s">
        <v>22</v>
      </c>
      <c r="K1210" t="s">
        <v>5092</v>
      </c>
      <c r="L1210" t="s">
        <v>1983</v>
      </c>
      <c r="M1210" t="s">
        <v>19</v>
      </c>
      <c r="N1210">
        <v>2</v>
      </c>
      <c r="O1210" t="s">
        <v>98</v>
      </c>
      <c r="P1210" t="s">
        <v>44</v>
      </c>
      <c r="Q1210" t="s">
        <v>30</v>
      </c>
      <c r="R1210" t="str">
        <f>VLOOKUP($O1210,'Mapa Oficinas'!$A$7:$C$46,2,FALSE)</f>
        <v>Interior - Neuquén</v>
      </c>
      <c r="S1210" t="str">
        <f>VLOOKUP($O1210,'Mapa Oficinas'!$A$7:$C$46,3,FALSE)</f>
        <v>Villa La Angostura</v>
      </c>
    </row>
    <row r="1211" spans="1:19" x14ac:dyDescent="0.2">
      <c r="A1211" s="1">
        <v>45880</v>
      </c>
      <c r="B1211">
        <v>11082025</v>
      </c>
      <c r="D1211" t="s">
        <v>5086</v>
      </c>
      <c r="E1211" t="s">
        <v>16</v>
      </c>
      <c r="F1211" t="s">
        <v>134</v>
      </c>
      <c r="G1211" s="14">
        <v>305000</v>
      </c>
      <c r="H1211" s="14">
        <v>305000</v>
      </c>
      <c r="I1211" t="s">
        <v>22</v>
      </c>
      <c r="J1211" t="s">
        <v>22</v>
      </c>
      <c r="L1211" t="s">
        <v>129</v>
      </c>
      <c r="M1211" t="s">
        <v>28</v>
      </c>
      <c r="N1211">
        <v>1</v>
      </c>
      <c r="O1211" t="s">
        <v>130</v>
      </c>
      <c r="P1211" t="s">
        <v>131</v>
      </c>
      <c r="Q1211" t="s">
        <v>30</v>
      </c>
      <c r="R1211" t="str">
        <f>VLOOKUP($O1211,'Mapa Oficinas'!$A$7:$C$46,2,FALSE)</f>
        <v>Interior - Río Negro</v>
      </c>
      <c r="S1211" t="str">
        <f>VLOOKUP($O1211,'Mapa Oficinas'!$A$7:$C$46,3,FALSE)</f>
        <v>Bariloche</v>
      </c>
    </row>
    <row r="1212" spans="1:19" x14ac:dyDescent="0.2">
      <c r="A1212" s="1">
        <v>45880</v>
      </c>
      <c r="B1212" t="s">
        <v>5057</v>
      </c>
      <c r="D1212" t="s">
        <v>5058</v>
      </c>
      <c r="E1212" t="s">
        <v>16</v>
      </c>
      <c r="F1212" t="s">
        <v>82</v>
      </c>
      <c r="G1212" s="14">
        <v>350000</v>
      </c>
      <c r="H1212" s="14">
        <v>316000</v>
      </c>
      <c r="I1212" t="s">
        <v>22</v>
      </c>
      <c r="J1212" t="s">
        <v>22</v>
      </c>
      <c r="K1212" t="s">
        <v>5059</v>
      </c>
      <c r="L1212" t="s">
        <v>2298</v>
      </c>
      <c r="M1212" t="s">
        <v>28</v>
      </c>
      <c r="N1212">
        <v>2</v>
      </c>
      <c r="O1212" t="s">
        <v>213</v>
      </c>
      <c r="P1212" t="s">
        <v>41</v>
      </c>
      <c r="Q1212" t="s">
        <v>30</v>
      </c>
      <c r="R1212" t="str">
        <f>VLOOKUP($O1212,'Mapa Oficinas'!$A$7:$C$46,2,FALSE)</f>
        <v>Interior - Mendoza</v>
      </c>
      <c r="S1212" t="str">
        <f>VLOOKUP($O1212,'Mapa Oficinas'!$A$7:$C$46,3,FALSE)</f>
        <v>San Rafael</v>
      </c>
    </row>
    <row r="1213" spans="1:19" x14ac:dyDescent="0.2">
      <c r="A1213" s="1">
        <v>45881</v>
      </c>
      <c r="B1213" t="s">
        <v>5041</v>
      </c>
      <c r="D1213" t="s">
        <v>5042</v>
      </c>
      <c r="E1213" t="s">
        <v>16</v>
      </c>
      <c r="F1213" t="s">
        <v>38</v>
      </c>
      <c r="G1213" s="14">
        <v>36500</v>
      </c>
      <c r="H1213" s="14">
        <v>36500</v>
      </c>
      <c r="I1213" t="s">
        <v>22</v>
      </c>
      <c r="J1213" t="s">
        <v>22</v>
      </c>
      <c r="K1213" t="s">
        <v>5042</v>
      </c>
      <c r="L1213" t="s">
        <v>1004</v>
      </c>
      <c r="M1213" t="s">
        <v>19</v>
      </c>
      <c r="N1213">
        <v>2</v>
      </c>
      <c r="O1213" t="s">
        <v>171</v>
      </c>
      <c r="P1213" t="s">
        <v>256</v>
      </c>
      <c r="Q1213" t="s">
        <v>30</v>
      </c>
      <c r="R1213" t="str">
        <f>VLOOKUP($O1213,'Mapa Oficinas'!$A$7:$C$46,2,FALSE)</f>
        <v>Zona Sur (GBA)</v>
      </c>
      <c r="S1213" t="str">
        <f>VLOOKUP($O1213,'Mapa Oficinas'!$A$7:$C$46,3,FALSE)</f>
        <v>La Plata</v>
      </c>
    </row>
    <row r="1214" spans="1:19" x14ac:dyDescent="0.2">
      <c r="A1214" s="1">
        <v>45881</v>
      </c>
      <c r="B1214" t="s">
        <v>2698</v>
      </c>
      <c r="D1214" t="s">
        <v>2699</v>
      </c>
      <c r="E1214" t="s">
        <v>16</v>
      </c>
      <c r="F1214" t="s">
        <v>47</v>
      </c>
      <c r="G1214" s="14">
        <v>52000</v>
      </c>
      <c r="H1214" s="14">
        <v>47000</v>
      </c>
      <c r="I1214" t="s">
        <v>22</v>
      </c>
      <c r="J1214" t="s">
        <v>22</v>
      </c>
      <c r="K1214" t="s">
        <v>2700</v>
      </c>
      <c r="L1214" t="s">
        <v>2701</v>
      </c>
      <c r="M1214" t="s">
        <v>28</v>
      </c>
      <c r="N1214">
        <v>2</v>
      </c>
      <c r="O1214" t="s">
        <v>171</v>
      </c>
      <c r="P1214" t="s">
        <v>41</v>
      </c>
      <c r="Q1214" t="s">
        <v>30</v>
      </c>
      <c r="R1214" t="str">
        <f>VLOOKUP($O1214,'Mapa Oficinas'!$A$7:$C$46,2,FALSE)</f>
        <v>Zona Sur (GBA)</v>
      </c>
      <c r="S1214" t="str">
        <f>VLOOKUP($O1214,'Mapa Oficinas'!$A$7:$C$46,3,FALSE)</f>
        <v>La Plata</v>
      </c>
    </row>
    <row r="1215" spans="1:19" x14ac:dyDescent="0.2">
      <c r="A1215" s="1">
        <v>45881</v>
      </c>
      <c r="B1215" t="s">
        <v>5043</v>
      </c>
      <c r="D1215" t="s">
        <v>5044</v>
      </c>
      <c r="E1215" t="s">
        <v>16</v>
      </c>
      <c r="F1215" t="s">
        <v>17</v>
      </c>
      <c r="G1215" s="14">
        <v>76000</v>
      </c>
      <c r="H1215" s="14">
        <v>88830</v>
      </c>
      <c r="I1215" t="s">
        <v>22</v>
      </c>
      <c r="J1215" t="s">
        <v>22</v>
      </c>
      <c r="K1215" t="s">
        <v>5045</v>
      </c>
      <c r="L1215" t="s">
        <v>49</v>
      </c>
      <c r="M1215" t="s">
        <v>13</v>
      </c>
      <c r="N1215">
        <v>2</v>
      </c>
      <c r="O1215" t="s">
        <v>142</v>
      </c>
      <c r="P1215" t="s">
        <v>21</v>
      </c>
      <c r="Q1215" t="s">
        <v>30</v>
      </c>
      <c r="R1215" t="str">
        <f>VLOOKUP($O1215,'Mapa Oficinas'!$A$7:$C$46,2,FALSE)</f>
        <v>Zona Norte (GBA)</v>
      </c>
      <c r="S1215" t="str">
        <f>VLOOKUP($O1215,'Mapa Oficinas'!$A$7:$C$46,3,FALSE)</f>
        <v>Nordelta</v>
      </c>
    </row>
    <row r="1216" spans="1:19" x14ac:dyDescent="0.2">
      <c r="A1216" s="1">
        <v>45881</v>
      </c>
      <c r="B1216" t="s">
        <v>5050</v>
      </c>
      <c r="D1216" t="s">
        <v>5051</v>
      </c>
      <c r="E1216" t="s">
        <v>16</v>
      </c>
      <c r="F1216" t="s">
        <v>17</v>
      </c>
      <c r="G1216" s="14">
        <v>139900</v>
      </c>
      <c r="H1216" s="14">
        <v>120000</v>
      </c>
      <c r="I1216" t="s">
        <v>22</v>
      </c>
      <c r="J1216" t="s">
        <v>22</v>
      </c>
      <c r="K1216" t="s">
        <v>5052</v>
      </c>
      <c r="L1216" t="s">
        <v>71</v>
      </c>
      <c r="M1216" t="s">
        <v>19</v>
      </c>
      <c r="N1216">
        <v>2</v>
      </c>
      <c r="O1216" t="s">
        <v>29</v>
      </c>
      <c r="P1216" t="s">
        <v>21</v>
      </c>
      <c r="Q1216" t="s">
        <v>30</v>
      </c>
      <c r="R1216" t="str">
        <f>VLOOKUP($O1216,'Mapa Oficinas'!$A$7:$C$46,2,FALSE)</f>
        <v>CABA</v>
      </c>
      <c r="S1216" t="str">
        <f>VLOOKUP($O1216,'Mapa Oficinas'!$A$7:$C$46,3,FALSE)</f>
        <v>Núñez</v>
      </c>
    </row>
    <row r="1217" spans="1:19" x14ac:dyDescent="0.2">
      <c r="A1217" s="1">
        <v>45881</v>
      </c>
      <c r="B1217" t="s">
        <v>5035</v>
      </c>
      <c r="D1217" t="s">
        <v>5036</v>
      </c>
      <c r="E1217" t="s">
        <v>16</v>
      </c>
      <c r="F1217" t="s">
        <v>17</v>
      </c>
      <c r="G1217" s="14">
        <v>148000</v>
      </c>
      <c r="H1217" s="14">
        <v>140000</v>
      </c>
      <c r="I1217" t="s">
        <v>22</v>
      </c>
      <c r="J1217" t="s">
        <v>22</v>
      </c>
      <c r="K1217" t="s">
        <v>5037</v>
      </c>
      <c r="L1217" t="s">
        <v>111</v>
      </c>
      <c r="M1217" t="s">
        <v>19</v>
      </c>
      <c r="N1217">
        <v>2</v>
      </c>
      <c r="O1217" t="s">
        <v>206</v>
      </c>
      <c r="P1217" t="s">
        <v>21</v>
      </c>
      <c r="Q1217" t="s">
        <v>30</v>
      </c>
      <c r="R1217" t="str">
        <f>VLOOKUP($O1217,'Mapa Oficinas'!$A$7:$C$46,2,FALSE)</f>
        <v>CABA</v>
      </c>
      <c r="S1217" t="str">
        <f>VLOOKUP($O1217,'Mapa Oficinas'!$A$7:$C$46,3,FALSE)</f>
        <v>Belgrano</v>
      </c>
    </row>
    <row r="1218" spans="1:19" x14ac:dyDescent="0.2">
      <c r="A1218" s="1">
        <v>45881</v>
      </c>
      <c r="B1218" t="s">
        <v>5048</v>
      </c>
      <c r="D1218" t="s">
        <v>5049</v>
      </c>
      <c r="E1218" t="s">
        <v>16</v>
      </c>
      <c r="F1218" t="s">
        <v>134</v>
      </c>
      <c r="G1218" s="14">
        <v>155000</v>
      </c>
      <c r="H1218" s="14">
        <v>150000</v>
      </c>
      <c r="I1218" t="s">
        <v>22</v>
      </c>
      <c r="J1218" t="s">
        <v>22</v>
      </c>
      <c r="K1218" t="s">
        <v>4081</v>
      </c>
      <c r="L1218" t="s">
        <v>136</v>
      </c>
      <c r="M1218" t="s">
        <v>19</v>
      </c>
      <c r="N1218">
        <v>2</v>
      </c>
      <c r="O1218" t="s">
        <v>130</v>
      </c>
      <c r="P1218" t="s">
        <v>41</v>
      </c>
      <c r="Q1218" t="s">
        <v>30</v>
      </c>
      <c r="R1218" t="str">
        <f>VLOOKUP($O1218,'Mapa Oficinas'!$A$7:$C$46,2,FALSE)</f>
        <v>Interior - Río Negro</v>
      </c>
      <c r="S1218" t="str">
        <f>VLOOKUP($O1218,'Mapa Oficinas'!$A$7:$C$46,3,FALSE)</f>
        <v>Bariloche</v>
      </c>
    </row>
    <row r="1219" spans="1:19" x14ac:dyDescent="0.2">
      <c r="A1219" s="1">
        <v>45881</v>
      </c>
      <c r="B1219" t="s">
        <v>5038</v>
      </c>
      <c r="D1219" t="s">
        <v>5039</v>
      </c>
      <c r="E1219" t="s">
        <v>16</v>
      </c>
      <c r="F1219" t="s">
        <v>58</v>
      </c>
      <c r="G1219" s="14">
        <v>159900</v>
      </c>
      <c r="H1219" s="14">
        <v>163000</v>
      </c>
      <c r="I1219" t="s">
        <v>22</v>
      </c>
      <c r="J1219" t="s">
        <v>22</v>
      </c>
      <c r="K1219" t="s">
        <v>5040</v>
      </c>
      <c r="L1219" t="s">
        <v>205</v>
      </c>
      <c r="M1219" t="s">
        <v>19</v>
      </c>
      <c r="N1219">
        <v>2</v>
      </c>
      <c r="O1219" t="s">
        <v>50</v>
      </c>
      <c r="P1219" t="s">
        <v>21</v>
      </c>
      <c r="Q1219" t="s">
        <v>30</v>
      </c>
      <c r="R1219" t="str">
        <f>VLOOKUP($O1219,'Mapa Oficinas'!$A$7:$C$46,2,FALSE)</f>
        <v>CABA</v>
      </c>
      <c r="S1219" t="str">
        <f>VLOOKUP($O1219,'Mapa Oficinas'!$A$7:$C$46,3,FALSE)</f>
        <v>Villa Urquiza</v>
      </c>
    </row>
    <row r="1220" spans="1:19" x14ac:dyDescent="0.2">
      <c r="A1220" s="1">
        <v>45881</v>
      </c>
      <c r="B1220" t="s">
        <v>5033</v>
      </c>
      <c r="D1220" t="s">
        <v>5034</v>
      </c>
      <c r="E1220" t="s">
        <v>16</v>
      </c>
      <c r="F1220" t="s">
        <v>17</v>
      </c>
      <c r="G1220" s="14">
        <v>165000</v>
      </c>
      <c r="H1220" s="14">
        <v>165000</v>
      </c>
      <c r="I1220" t="s">
        <v>22</v>
      </c>
      <c r="J1220" t="s">
        <v>22</v>
      </c>
      <c r="L1220" t="s">
        <v>1114</v>
      </c>
      <c r="M1220" t="s">
        <v>28</v>
      </c>
      <c r="N1220">
        <v>2</v>
      </c>
      <c r="O1220" t="s">
        <v>359</v>
      </c>
      <c r="P1220" t="s">
        <v>21</v>
      </c>
      <c r="Q1220" t="s">
        <v>30</v>
      </c>
      <c r="R1220" t="str">
        <f>VLOOKUP($O1220,'Mapa Oficinas'!$A$7:$C$46,2,FALSE)</f>
        <v>CABA</v>
      </c>
      <c r="S1220" t="str">
        <f>VLOOKUP($O1220,'Mapa Oficinas'!$A$7:$C$46,3,FALSE)</f>
        <v>Palermo</v>
      </c>
    </row>
    <row r="1221" spans="1:19" x14ac:dyDescent="0.2">
      <c r="A1221" s="1">
        <v>45881</v>
      </c>
      <c r="B1221" t="s">
        <v>5046</v>
      </c>
      <c r="D1221" t="s">
        <v>5047</v>
      </c>
      <c r="E1221" t="s">
        <v>16</v>
      </c>
      <c r="F1221" t="s">
        <v>38</v>
      </c>
      <c r="G1221" s="14">
        <v>278000</v>
      </c>
      <c r="H1221" s="14">
        <v>260000</v>
      </c>
      <c r="I1221" t="s">
        <v>22</v>
      </c>
      <c r="J1221" t="s">
        <v>22</v>
      </c>
      <c r="K1221" t="s">
        <v>2213</v>
      </c>
      <c r="L1221" t="s">
        <v>39</v>
      </c>
      <c r="M1221" t="s">
        <v>19</v>
      </c>
      <c r="N1221">
        <v>2</v>
      </c>
      <c r="O1221" t="s">
        <v>40</v>
      </c>
      <c r="P1221" t="s">
        <v>41</v>
      </c>
      <c r="Q1221" t="s">
        <v>30</v>
      </c>
      <c r="R1221" t="str">
        <f>VLOOKUP($O1221,'Mapa Oficinas'!$A$7:$C$46,2,FALSE)</f>
        <v>Zona Norte (GBA)</v>
      </c>
      <c r="S1221" t="str">
        <f>VLOOKUP($O1221,'Mapa Oficinas'!$A$7:$C$46,3,FALSE)</f>
        <v>Pilar</v>
      </c>
    </row>
    <row r="1222" spans="1:19" x14ac:dyDescent="0.2">
      <c r="A1222" s="1">
        <v>45881</v>
      </c>
      <c r="B1222" t="s">
        <v>5053</v>
      </c>
      <c r="D1222" t="s">
        <v>5054</v>
      </c>
      <c r="E1222" t="s">
        <v>16</v>
      </c>
      <c r="F1222" t="s">
        <v>82</v>
      </c>
      <c r="G1222" s="14">
        <v>1230000</v>
      </c>
      <c r="H1222" s="14">
        <v>1130000</v>
      </c>
      <c r="I1222" t="s">
        <v>22</v>
      </c>
      <c r="J1222" t="s">
        <v>22</v>
      </c>
      <c r="K1222" t="s">
        <v>5055</v>
      </c>
      <c r="L1222" t="s">
        <v>5056</v>
      </c>
      <c r="M1222" t="s">
        <v>3054</v>
      </c>
      <c r="N1222">
        <v>2</v>
      </c>
      <c r="O1222" t="s">
        <v>55</v>
      </c>
      <c r="P1222" t="s">
        <v>41</v>
      </c>
      <c r="Q1222" t="s">
        <v>30</v>
      </c>
      <c r="R1222" t="str">
        <f>VLOOKUP($O1222,'Mapa Oficinas'!$A$7:$C$46,2,FALSE)</f>
        <v>Interior - Santa Fe</v>
      </c>
      <c r="S1222" t="str">
        <f>VLOOKUP($O1222,'Mapa Oficinas'!$A$7:$C$46,3,FALSE)</f>
        <v>Capital Santa Fe</v>
      </c>
    </row>
    <row r="1223" spans="1:19" x14ac:dyDescent="0.2">
      <c r="A1223" s="1">
        <v>45882</v>
      </c>
      <c r="B1223" t="s">
        <v>5013</v>
      </c>
      <c r="D1223" t="s">
        <v>5014</v>
      </c>
      <c r="E1223" t="s">
        <v>16</v>
      </c>
      <c r="F1223" t="s">
        <v>58</v>
      </c>
      <c r="G1223" s="14">
        <v>37000</v>
      </c>
      <c r="H1223" s="14">
        <v>36000</v>
      </c>
      <c r="I1223" t="s">
        <v>22</v>
      </c>
      <c r="J1223" t="s">
        <v>22</v>
      </c>
      <c r="K1223" t="s">
        <v>5015</v>
      </c>
      <c r="L1223" t="s">
        <v>170</v>
      </c>
      <c r="M1223" t="s">
        <v>19</v>
      </c>
      <c r="N1223">
        <v>2</v>
      </c>
      <c r="O1223" t="s">
        <v>171</v>
      </c>
      <c r="P1223" t="s">
        <v>21</v>
      </c>
      <c r="Q1223" t="s">
        <v>30</v>
      </c>
      <c r="R1223" t="str">
        <f>VLOOKUP($O1223,'Mapa Oficinas'!$A$7:$C$46,2,FALSE)</f>
        <v>Zona Sur (GBA)</v>
      </c>
      <c r="S1223" t="str">
        <f>VLOOKUP($O1223,'Mapa Oficinas'!$A$7:$C$46,3,FALSE)</f>
        <v>La Plata</v>
      </c>
    </row>
    <row r="1224" spans="1:19" x14ac:dyDescent="0.2">
      <c r="A1224" s="1">
        <v>45882</v>
      </c>
      <c r="B1224" t="s">
        <v>5006</v>
      </c>
      <c r="D1224" t="s">
        <v>5007</v>
      </c>
      <c r="E1224" t="s">
        <v>16</v>
      </c>
      <c r="F1224" t="s">
        <v>17</v>
      </c>
      <c r="G1224" s="14">
        <v>45000</v>
      </c>
      <c r="H1224" s="14">
        <v>40000</v>
      </c>
      <c r="I1224" t="s">
        <v>22</v>
      </c>
      <c r="J1224" t="s">
        <v>22</v>
      </c>
      <c r="K1224" t="s">
        <v>5008</v>
      </c>
      <c r="L1224" t="s">
        <v>237</v>
      </c>
      <c r="M1224" t="s">
        <v>300</v>
      </c>
      <c r="N1224">
        <v>2</v>
      </c>
      <c r="O1224" t="s">
        <v>87</v>
      </c>
      <c r="P1224" t="s">
        <v>21</v>
      </c>
      <c r="Q1224" t="s">
        <v>30</v>
      </c>
      <c r="R1224" t="str">
        <f>VLOOKUP($O1224,'Mapa Oficinas'!$A$7:$C$46,2,FALSE)</f>
        <v>Zona Norte (GBA)</v>
      </c>
      <c r="S1224" t="str">
        <f>VLOOKUP($O1224,'Mapa Oficinas'!$A$7:$C$46,3,FALSE)</f>
        <v>Tigre</v>
      </c>
    </row>
    <row r="1225" spans="1:19" x14ac:dyDescent="0.2">
      <c r="A1225" s="1">
        <v>45882</v>
      </c>
      <c r="B1225" t="s">
        <v>5004</v>
      </c>
      <c r="D1225" t="s">
        <v>5005</v>
      </c>
      <c r="E1225" t="s">
        <v>16</v>
      </c>
      <c r="F1225" t="s">
        <v>896</v>
      </c>
      <c r="G1225" s="14">
        <v>65000</v>
      </c>
      <c r="H1225" s="14">
        <v>55000</v>
      </c>
      <c r="I1225" t="s">
        <v>22</v>
      </c>
      <c r="J1225" t="s">
        <v>22</v>
      </c>
      <c r="K1225" t="s">
        <v>5003</v>
      </c>
      <c r="L1225" t="s">
        <v>237</v>
      </c>
      <c r="M1225" t="s">
        <v>300</v>
      </c>
      <c r="N1225">
        <v>2</v>
      </c>
      <c r="O1225" t="s">
        <v>87</v>
      </c>
      <c r="P1225" t="s">
        <v>21</v>
      </c>
      <c r="Q1225" t="s">
        <v>30</v>
      </c>
      <c r="R1225" t="str">
        <f>VLOOKUP($O1225,'Mapa Oficinas'!$A$7:$C$46,2,FALSE)</f>
        <v>Zona Norte (GBA)</v>
      </c>
      <c r="S1225" t="str">
        <f>VLOOKUP($O1225,'Mapa Oficinas'!$A$7:$C$46,3,FALSE)</f>
        <v>Tigre</v>
      </c>
    </row>
    <row r="1226" spans="1:19" x14ac:dyDescent="0.2">
      <c r="A1226" s="1">
        <v>45882</v>
      </c>
      <c r="D1226" t="s">
        <v>5022</v>
      </c>
      <c r="E1226" t="s">
        <v>16</v>
      </c>
      <c r="F1226" t="s">
        <v>82</v>
      </c>
      <c r="G1226" s="14">
        <v>65000</v>
      </c>
      <c r="H1226" s="14">
        <v>65000</v>
      </c>
      <c r="I1226" t="s">
        <v>22</v>
      </c>
      <c r="J1226" t="s">
        <v>22</v>
      </c>
      <c r="K1226" t="s">
        <v>5023</v>
      </c>
      <c r="L1226" t="s">
        <v>195</v>
      </c>
      <c r="M1226" t="s">
        <v>19</v>
      </c>
      <c r="N1226">
        <v>2</v>
      </c>
      <c r="O1226" t="s">
        <v>252</v>
      </c>
      <c r="P1226" t="s">
        <v>21</v>
      </c>
      <c r="Q1226" t="s">
        <v>30</v>
      </c>
      <c r="R1226" t="str">
        <f>VLOOKUP($O1226,'Mapa Oficinas'!$A$7:$C$46,2,FALSE)</f>
        <v>CABA</v>
      </c>
      <c r="S1226" t="str">
        <f>VLOOKUP($O1226,'Mapa Oficinas'!$A$7:$C$46,3,FALSE)</f>
        <v>Belgrano</v>
      </c>
    </row>
    <row r="1227" spans="1:19" x14ac:dyDescent="0.2">
      <c r="A1227" s="1">
        <v>45882</v>
      </c>
      <c r="B1227" t="s">
        <v>5027</v>
      </c>
      <c r="D1227" t="s">
        <v>5028</v>
      </c>
      <c r="E1227" t="s">
        <v>16</v>
      </c>
      <c r="F1227" t="s">
        <v>17</v>
      </c>
      <c r="G1227" s="14">
        <v>112000</v>
      </c>
      <c r="H1227" s="14">
        <v>112000</v>
      </c>
      <c r="I1227" t="s">
        <v>22</v>
      </c>
      <c r="J1227" t="s">
        <v>22</v>
      </c>
      <c r="K1227" t="s">
        <v>5029</v>
      </c>
      <c r="L1227" t="s">
        <v>205</v>
      </c>
      <c r="M1227" t="s">
        <v>19</v>
      </c>
      <c r="N1227">
        <v>2</v>
      </c>
      <c r="O1227" t="s">
        <v>103</v>
      </c>
      <c r="P1227" t="s">
        <v>21</v>
      </c>
      <c r="Q1227" t="s">
        <v>30</v>
      </c>
      <c r="R1227" t="str">
        <f>VLOOKUP($O1227,'Mapa Oficinas'!$A$7:$C$46,2,FALSE)</f>
        <v>CABA</v>
      </c>
      <c r="S1227" t="str">
        <f>VLOOKUP($O1227,'Mapa Oficinas'!$A$7:$C$46,3,FALSE)</f>
        <v>Barrio Parque</v>
      </c>
    </row>
    <row r="1228" spans="1:19" x14ac:dyDescent="0.2">
      <c r="A1228" s="1">
        <v>45882</v>
      </c>
      <c r="B1228" t="s">
        <v>3092</v>
      </c>
      <c r="D1228" t="s">
        <v>3093</v>
      </c>
      <c r="E1228" t="s">
        <v>16</v>
      </c>
      <c r="F1228" t="s">
        <v>17</v>
      </c>
      <c r="G1228" s="14">
        <v>122000</v>
      </c>
      <c r="H1228" s="14">
        <v>115000</v>
      </c>
      <c r="I1228" t="s">
        <v>22</v>
      </c>
      <c r="J1228" t="s">
        <v>22</v>
      </c>
      <c r="K1228" t="s">
        <v>3094</v>
      </c>
      <c r="L1228" t="s">
        <v>1228</v>
      </c>
      <c r="M1228" t="s">
        <v>28</v>
      </c>
      <c r="N1228">
        <v>2</v>
      </c>
      <c r="O1228" t="s">
        <v>142</v>
      </c>
      <c r="P1228" t="s">
        <v>41</v>
      </c>
      <c r="Q1228" t="s">
        <v>30</v>
      </c>
      <c r="R1228" t="str">
        <f>VLOOKUP($O1228,'Mapa Oficinas'!$A$7:$C$46,2,FALSE)</f>
        <v>Zona Norte (GBA)</v>
      </c>
      <c r="S1228" t="str">
        <f>VLOOKUP($O1228,'Mapa Oficinas'!$A$7:$C$46,3,FALSE)</f>
        <v>Nordelta</v>
      </c>
    </row>
    <row r="1229" spans="1:19" x14ac:dyDescent="0.2">
      <c r="A1229" s="1">
        <v>45882</v>
      </c>
      <c r="B1229" t="s">
        <v>5001</v>
      </c>
      <c r="D1229" t="s">
        <v>5002</v>
      </c>
      <c r="E1229" t="s">
        <v>16</v>
      </c>
      <c r="F1229" t="s">
        <v>53</v>
      </c>
      <c r="G1229" s="14">
        <v>165000</v>
      </c>
      <c r="H1229" s="14">
        <v>142500</v>
      </c>
      <c r="I1229" t="s">
        <v>22</v>
      </c>
      <c r="J1229" t="s">
        <v>22</v>
      </c>
      <c r="K1229" t="s">
        <v>5003</v>
      </c>
      <c r="L1229" t="s">
        <v>237</v>
      </c>
      <c r="M1229" t="s">
        <v>72</v>
      </c>
      <c r="N1229">
        <v>2</v>
      </c>
      <c r="O1229" t="s">
        <v>87</v>
      </c>
      <c r="P1229" t="s">
        <v>276</v>
      </c>
      <c r="Q1229" t="s">
        <v>30</v>
      </c>
      <c r="R1229" t="str">
        <f>VLOOKUP($O1229,'Mapa Oficinas'!$A$7:$C$46,2,FALSE)</f>
        <v>Zona Norte (GBA)</v>
      </c>
      <c r="S1229" t="str">
        <f>VLOOKUP($O1229,'Mapa Oficinas'!$A$7:$C$46,3,FALSE)</f>
        <v>Tigre</v>
      </c>
    </row>
    <row r="1230" spans="1:19" x14ac:dyDescent="0.2">
      <c r="A1230" s="1">
        <v>45882</v>
      </c>
      <c r="B1230" t="s">
        <v>5030</v>
      </c>
      <c r="D1230" t="s">
        <v>5031</v>
      </c>
      <c r="E1230" t="s">
        <v>16</v>
      </c>
      <c r="F1230" t="s">
        <v>17</v>
      </c>
      <c r="G1230" s="14">
        <v>145000</v>
      </c>
      <c r="H1230" s="14">
        <v>145000</v>
      </c>
      <c r="I1230" t="s">
        <v>22</v>
      </c>
      <c r="J1230" t="s">
        <v>22</v>
      </c>
      <c r="K1230" t="s">
        <v>5032</v>
      </c>
      <c r="L1230" t="s">
        <v>1054</v>
      </c>
      <c r="M1230" t="s">
        <v>28</v>
      </c>
      <c r="N1230">
        <v>2</v>
      </c>
      <c r="O1230" t="s">
        <v>151</v>
      </c>
      <c r="P1230" t="s">
        <v>21</v>
      </c>
      <c r="Q1230" t="s">
        <v>30</v>
      </c>
      <c r="R1230" t="str">
        <f>VLOOKUP($O1230,'Mapa Oficinas'!$A$7:$C$46,2,FALSE)</f>
        <v>Interior - Neuquén</v>
      </c>
      <c r="S1230" t="str">
        <f>VLOOKUP($O1230,'Mapa Oficinas'!$A$7:$C$46,3,FALSE)</f>
        <v>Capital Neuquén</v>
      </c>
    </row>
    <row r="1231" spans="1:19" x14ac:dyDescent="0.2">
      <c r="A1231" s="1">
        <v>45882</v>
      </c>
      <c r="B1231" t="s">
        <v>5019</v>
      </c>
      <c r="D1231" t="s">
        <v>5020</v>
      </c>
      <c r="E1231" t="s">
        <v>16</v>
      </c>
      <c r="F1231" t="s">
        <v>17</v>
      </c>
      <c r="G1231" s="14">
        <v>154000</v>
      </c>
      <c r="H1231" s="14">
        <v>150000</v>
      </c>
      <c r="I1231" t="s">
        <v>22</v>
      </c>
      <c r="J1231" t="s">
        <v>22</v>
      </c>
      <c r="K1231" t="s">
        <v>5021</v>
      </c>
      <c r="L1231" t="s">
        <v>318</v>
      </c>
      <c r="M1231" t="s">
        <v>19</v>
      </c>
      <c r="N1231">
        <v>2</v>
      </c>
      <c r="O1231" t="s">
        <v>201</v>
      </c>
      <c r="P1231" t="s">
        <v>21</v>
      </c>
      <c r="Q1231" t="s">
        <v>30</v>
      </c>
      <c r="R1231" t="str">
        <f>VLOOKUP($O1231,'Mapa Oficinas'!$A$7:$C$46,2,FALSE)</f>
        <v>CABA</v>
      </c>
      <c r="S1231" t="str">
        <f>VLOOKUP($O1231,'Mapa Oficinas'!$A$7:$C$46,3,FALSE)</f>
        <v>Recoleta</v>
      </c>
    </row>
    <row r="1232" spans="1:19" x14ac:dyDescent="0.2">
      <c r="A1232" s="1">
        <v>45882</v>
      </c>
      <c r="B1232" t="s">
        <v>5024</v>
      </c>
      <c r="D1232" t="s">
        <v>5025</v>
      </c>
      <c r="E1232" t="s">
        <v>16</v>
      </c>
      <c r="F1232" t="s">
        <v>17</v>
      </c>
      <c r="G1232" s="14">
        <v>165000</v>
      </c>
      <c r="H1232" s="14">
        <v>160000</v>
      </c>
      <c r="I1232" t="s">
        <v>22</v>
      </c>
      <c r="J1232" t="s">
        <v>22</v>
      </c>
      <c r="K1232" t="s">
        <v>5026</v>
      </c>
      <c r="L1232" t="s">
        <v>191</v>
      </c>
      <c r="M1232" t="s">
        <v>19</v>
      </c>
      <c r="N1232">
        <v>2</v>
      </c>
      <c r="O1232" t="s">
        <v>73</v>
      </c>
      <c r="P1232" t="s">
        <v>21</v>
      </c>
      <c r="Q1232" t="s">
        <v>30</v>
      </c>
      <c r="R1232" t="str">
        <f>VLOOKUP($O1232,'Mapa Oficinas'!$A$7:$C$46,2,FALSE)</f>
        <v>CABA</v>
      </c>
      <c r="S1232" t="str">
        <f>VLOOKUP($O1232,'Mapa Oficinas'!$A$7:$C$46,3,FALSE)</f>
        <v>Recoleta</v>
      </c>
    </row>
    <row r="1233" spans="1:19" x14ac:dyDescent="0.2">
      <c r="A1233" s="1">
        <v>45882</v>
      </c>
      <c r="B1233">
        <v>13082025</v>
      </c>
      <c r="D1233" t="s">
        <v>5012</v>
      </c>
      <c r="E1233" t="s">
        <v>16</v>
      </c>
      <c r="F1233" t="s">
        <v>134</v>
      </c>
      <c r="G1233" s="14">
        <v>300000</v>
      </c>
      <c r="H1233" s="14">
        <v>300000</v>
      </c>
      <c r="I1233" t="s">
        <v>22</v>
      </c>
      <c r="J1233" t="s">
        <v>22</v>
      </c>
      <c r="L1233" t="s">
        <v>129</v>
      </c>
      <c r="M1233" t="s">
        <v>19</v>
      </c>
      <c r="N1233">
        <v>1</v>
      </c>
      <c r="O1233" t="s">
        <v>130</v>
      </c>
      <c r="P1233" t="s">
        <v>131</v>
      </c>
      <c r="Q1233" t="s">
        <v>30</v>
      </c>
      <c r="R1233" t="str">
        <f>VLOOKUP($O1233,'Mapa Oficinas'!$A$7:$C$46,2,FALSE)</f>
        <v>Interior - Río Negro</v>
      </c>
      <c r="S1233" t="str">
        <f>VLOOKUP($O1233,'Mapa Oficinas'!$A$7:$C$46,3,FALSE)</f>
        <v>Bariloche</v>
      </c>
    </row>
    <row r="1234" spans="1:19" x14ac:dyDescent="0.2">
      <c r="A1234" s="1">
        <v>45882</v>
      </c>
      <c r="B1234" t="s">
        <v>5009</v>
      </c>
      <c r="D1234" t="s">
        <v>5010</v>
      </c>
      <c r="E1234" t="s">
        <v>16</v>
      </c>
      <c r="F1234" t="s">
        <v>17</v>
      </c>
      <c r="G1234" s="14">
        <v>370000</v>
      </c>
      <c r="H1234" s="14">
        <v>380000</v>
      </c>
      <c r="I1234" t="s">
        <v>22</v>
      </c>
      <c r="J1234" t="s">
        <v>22</v>
      </c>
      <c r="K1234" t="s">
        <v>5011</v>
      </c>
      <c r="L1234" t="s">
        <v>700</v>
      </c>
      <c r="M1234" t="s">
        <v>19</v>
      </c>
      <c r="N1234">
        <v>2</v>
      </c>
      <c r="O1234" t="s">
        <v>103</v>
      </c>
      <c r="P1234" t="s">
        <v>276</v>
      </c>
      <c r="Q1234" t="s">
        <v>30</v>
      </c>
      <c r="R1234" t="str">
        <f>VLOOKUP($O1234,'Mapa Oficinas'!$A$7:$C$46,2,FALSE)</f>
        <v>CABA</v>
      </c>
      <c r="S1234" t="str">
        <f>VLOOKUP($O1234,'Mapa Oficinas'!$A$7:$C$46,3,FALSE)</f>
        <v>Barrio Parque</v>
      </c>
    </row>
    <row r="1235" spans="1:19" x14ac:dyDescent="0.2">
      <c r="A1235" s="1">
        <v>45883</v>
      </c>
      <c r="B1235" t="s">
        <v>4996</v>
      </c>
      <c r="D1235" t="s">
        <v>4997</v>
      </c>
      <c r="E1235" t="s">
        <v>16</v>
      </c>
      <c r="F1235" t="s">
        <v>17</v>
      </c>
      <c r="G1235" s="14">
        <v>72000</v>
      </c>
      <c r="H1235" s="14">
        <v>72000</v>
      </c>
      <c r="I1235" t="s">
        <v>22</v>
      </c>
      <c r="J1235" t="s">
        <v>22</v>
      </c>
      <c r="L1235" t="s">
        <v>217</v>
      </c>
      <c r="M1235" t="s">
        <v>19</v>
      </c>
      <c r="N1235">
        <v>2</v>
      </c>
      <c r="O1235" t="s">
        <v>20</v>
      </c>
      <c r="P1235" t="s">
        <v>36</v>
      </c>
      <c r="Q1235" t="s">
        <v>30</v>
      </c>
      <c r="R1235" t="str">
        <f>VLOOKUP($O1235,'Mapa Oficinas'!$A$7:$C$46,2,FALSE)</f>
        <v>CABA</v>
      </c>
      <c r="S1235" t="str">
        <f>VLOOKUP($O1235,'Mapa Oficinas'!$A$7:$C$46,3,FALSE)</f>
        <v>Palermo</v>
      </c>
    </row>
    <row r="1236" spans="1:19" x14ac:dyDescent="0.2">
      <c r="A1236" s="1">
        <v>45883</v>
      </c>
      <c r="B1236" t="s">
        <v>4991</v>
      </c>
      <c r="D1236" t="s">
        <v>4992</v>
      </c>
      <c r="E1236" t="s">
        <v>16</v>
      </c>
      <c r="F1236" t="s">
        <v>243</v>
      </c>
      <c r="G1236" s="14">
        <v>90000</v>
      </c>
      <c r="H1236" s="14">
        <v>85000</v>
      </c>
      <c r="I1236" t="s">
        <v>22</v>
      </c>
      <c r="J1236" t="s">
        <v>22</v>
      </c>
      <c r="K1236" t="s">
        <v>4993</v>
      </c>
      <c r="L1236" t="s">
        <v>905</v>
      </c>
      <c r="M1236" t="s">
        <v>28</v>
      </c>
      <c r="N1236">
        <v>2</v>
      </c>
      <c r="O1236" t="s">
        <v>246</v>
      </c>
      <c r="P1236" t="s">
        <v>21</v>
      </c>
      <c r="Q1236" t="s">
        <v>30</v>
      </c>
      <c r="R1236" t="str">
        <f>VLOOKUP($O1236,'Mapa Oficinas'!$A$7:$C$46,2,FALSE)</f>
        <v>Interior - Salta</v>
      </c>
      <c r="S1236" t="str">
        <f>VLOOKUP($O1236,'Mapa Oficinas'!$A$7:$C$46,3,FALSE)</f>
        <v>San Lorenzo Chico</v>
      </c>
    </row>
    <row r="1237" spans="1:19" x14ac:dyDescent="0.2">
      <c r="A1237" s="1">
        <v>45883</v>
      </c>
      <c r="D1237" t="s">
        <v>4994</v>
      </c>
      <c r="E1237" t="s">
        <v>16</v>
      </c>
      <c r="F1237" t="s">
        <v>82</v>
      </c>
      <c r="G1237" s="14">
        <v>105000</v>
      </c>
      <c r="H1237" s="14">
        <v>100000</v>
      </c>
      <c r="I1237" t="s">
        <v>22</v>
      </c>
      <c r="J1237" t="s">
        <v>22</v>
      </c>
      <c r="K1237" t="s">
        <v>4995</v>
      </c>
      <c r="L1237" t="s">
        <v>442</v>
      </c>
      <c r="M1237" t="s">
        <v>19</v>
      </c>
      <c r="N1237">
        <v>2</v>
      </c>
      <c r="O1237" t="s">
        <v>98</v>
      </c>
      <c r="P1237" t="s">
        <v>41</v>
      </c>
      <c r="Q1237" t="s">
        <v>30</v>
      </c>
      <c r="R1237" t="str">
        <f>VLOOKUP($O1237,'Mapa Oficinas'!$A$7:$C$46,2,FALSE)</f>
        <v>Interior - Neuquén</v>
      </c>
      <c r="S1237" t="str">
        <f>VLOOKUP($O1237,'Mapa Oficinas'!$A$7:$C$46,3,FALSE)</f>
        <v>Villa La Angostura</v>
      </c>
    </row>
    <row r="1238" spans="1:19" x14ac:dyDescent="0.2">
      <c r="A1238" s="1">
        <v>45883</v>
      </c>
      <c r="B1238" t="s">
        <v>3824</v>
      </c>
      <c r="D1238" t="s">
        <v>3825</v>
      </c>
      <c r="E1238" t="s">
        <v>16</v>
      </c>
      <c r="F1238" t="s">
        <v>38</v>
      </c>
      <c r="G1238" s="14">
        <v>135000</v>
      </c>
      <c r="H1238" s="14">
        <v>135000</v>
      </c>
      <c r="I1238" t="s">
        <v>22</v>
      </c>
      <c r="J1238" t="s">
        <v>22</v>
      </c>
      <c r="K1238" t="s">
        <v>3823</v>
      </c>
      <c r="L1238" t="s">
        <v>1090</v>
      </c>
      <c r="M1238" t="s">
        <v>19</v>
      </c>
      <c r="N1238">
        <v>2</v>
      </c>
      <c r="O1238" t="s">
        <v>98</v>
      </c>
      <c r="P1238" t="s">
        <v>1578</v>
      </c>
      <c r="Q1238" t="s">
        <v>30</v>
      </c>
      <c r="R1238" t="str">
        <f>VLOOKUP($O1238,'Mapa Oficinas'!$A$7:$C$46,2,FALSE)</f>
        <v>Interior - Neuquén</v>
      </c>
      <c r="S1238" t="str">
        <f>VLOOKUP($O1238,'Mapa Oficinas'!$A$7:$C$46,3,FALSE)</f>
        <v>Villa La Angostura</v>
      </c>
    </row>
    <row r="1239" spans="1:19" x14ac:dyDescent="0.2">
      <c r="A1239" s="1">
        <v>45883</v>
      </c>
      <c r="B1239" t="s">
        <v>4988</v>
      </c>
      <c r="D1239" t="s">
        <v>4989</v>
      </c>
      <c r="E1239" t="s">
        <v>16</v>
      </c>
      <c r="F1239" t="s">
        <v>17</v>
      </c>
      <c r="G1239" s="14">
        <v>150000</v>
      </c>
      <c r="H1239" s="14">
        <v>145000</v>
      </c>
      <c r="I1239" t="s">
        <v>22</v>
      </c>
      <c r="J1239" t="s">
        <v>22</v>
      </c>
      <c r="K1239" t="s">
        <v>4990</v>
      </c>
      <c r="L1239" t="s">
        <v>1246</v>
      </c>
      <c r="M1239" t="s">
        <v>72</v>
      </c>
      <c r="N1239">
        <v>2</v>
      </c>
      <c r="O1239" t="s">
        <v>547</v>
      </c>
      <c r="P1239" t="s">
        <v>21</v>
      </c>
      <c r="Q1239" t="s">
        <v>30</v>
      </c>
      <c r="R1239" t="str">
        <f>VLOOKUP($O1239,'Mapa Oficinas'!$A$7:$C$46,2,FALSE)</f>
        <v>CABA</v>
      </c>
      <c r="S1239" t="str">
        <f>VLOOKUP($O1239,'Mapa Oficinas'!$A$7:$C$46,3,FALSE)</f>
        <v>Núñez</v>
      </c>
    </row>
    <row r="1240" spans="1:19" x14ac:dyDescent="0.2">
      <c r="A1240" s="1">
        <v>45883</v>
      </c>
      <c r="B1240" t="s">
        <v>1923</v>
      </c>
      <c r="D1240" t="s">
        <v>4979</v>
      </c>
      <c r="E1240" t="s">
        <v>16</v>
      </c>
      <c r="F1240" t="s">
        <v>17</v>
      </c>
      <c r="G1240" s="14">
        <v>165000</v>
      </c>
      <c r="H1240" s="14">
        <v>165000</v>
      </c>
      <c r="I1240" t="s">
        <v>22</v>
      </c>
      <c r="J1240" t="s">
        <v>22</v>
      </c>
      <c r="K1240" t="s">
        <v>4980</v>
      </c>
      <c r="L1240" t="s">
        <v>170</v>
      </c>
      <c r="M1240" t="s">
        <v>19</v>
      </c>
      <c r="N1240">
        <v>1</v>
      </c>
      <c r="O1240" t="s">
        <v>171</v>
      </c>
      <c r="P1240" t="s">
        <v>146</v>
      </c>
      <c r="Q1240" t="s">
        <v>30</v>
      </c>
      <c r="R1240" t="str">
        <f>VLOOKUP($O1240,'Mapa Oficinas'!$A$7:$C$46,2,FALSE)</f>
        <v>Zona Sur (GBA)</v>
      </c>
      <c r="S1240" t="str">
        <f>VLOOKUP($O1240,'Mapa Oficinas'!$A$7:$C$46,3,FALSE)</f>
        <v>La Plata</v>
      </c>
    </row>
    <row r="1241" spans="1:19" x14ac:dyDescent="0.2">
      <c r="A1241" s="1">
        <v>45883</v>
      </c>
      <c r="B1241" t="s">
        <v>4981</v>
      </c>
      <c r="D1241" t="s">
        <v>4982</v>
      </c>
      <c r="E1241" t="s">
        <v>16</v>
      </c>
      <c r="F1241" t="s">
        <v>58</v>
      </c>
      <c r="G1241" s="14">
        <v>325000</v>
      </c>
      <c r="H1241" s="14">
        <v>307000</v>
      </c>
      <c r="I1241" t="s">
        <v>22</v>
      </c>
      <c r="J1241" t="s">
        <v>22</v>
      </c>
      <c r="K1241" t="s">
        <v>4983</v>
      </c>
      <c r="L1241" t="s">
        <v>4984</v>
      </c>
      <c r="M1241" t="s">
        <v>28</v>
      </c>
      <c r="N1241">
        <v>2</v>
      </c>
      <c r="O1241" t="s">
        <v>156</v>
      </c>
      <c r="P1241" t="s">
        <v>44</v>
      </c>
      <c r="Q1241" t="s">
        <v>30</v>
      </c>
      <c r="R1241" t="str">
        <f>VLOOKUP($O1241,'Mapa Oficinas'!$A$7:$C$46,2,FALSE)</f>
        <v>Zona Norte (GBA)</v>
      </c>
      <c r="S1241" t="str">
        <f>VLOOKUP($O1241,'Mapa Oficinas'!$A$7:$C$46,3,FALSE)</f>
        <v>Pilar</v>
      </c>
    </row>
    <row r="1242" spans="1:19" x14ac:dyDescent="0.2">
      <c r="A1242" s="1">
        <v>45883</v>
      </c>
      <c r="B1242" t="s">
        <v>4985</v>
      </c>
      <c r="D1242" t="s">
        <v>4986</v>
      </c>
      <c r="E1242" t="s">
        <v>16</v>
      </c>
      <c r="F1242" t="s">
        <v>17</v>
      </c>
      <c r="G1242" s="14">
        <v>380000</v>
      </c>
      <c r="H1242" s="14">
        <v>358000</v>
      </c>
      <c r="I1242" t="s">
        <v>22</v>
      </c>
      <c r="J1242" t="s">
        <v>22</v>
      </c>
      <c r="K1242" t="s">
        <v>4987</v>
      </c>
      <c r="L1242" t="s">
        <v>282</v>
      </c>
      <c r="M1242" t="s">
        <v>13</v>
      </c>
      <c r="N1242">
        <v>2</v>
      </c>
      <c r="O1242" t="s">
        <v>201</v>
      </c>
      <c r="P1242" t="s">
        <v>276</v>
      </c>
      <c r="Q1242" t="s">
        <v>30</v>
      </c>
      <c r="R1242" t="str">
        <f>VLOOKUP($O1242,'Mapa Oficinas'!$A$7:$C$46,2,FALSE)</f>
        <v>CABA</v>
      </c>
      <c r="S1242" t="str">
        <f>VLOOKUP($O1242,'Mapa Oficinas'!$A$7:$C$46,3,FALSE)</f>
        <v>Recoleta</v>
      </c>
    </row>
    <row r="1243" spans="1:19" x14ac:dyDescent="0.2">
      <c r="A1243" s="1">
        <v>45886</v>
      </c>
      <c r="B1243" t="s">
        <v>4977</v>
      </c>
      <c r="D1243" t="s">
        <v>4978</v>
      </c>
      <c r="E1243" t="s">
        <v>16</v>
      </c>
      <c r="F1243" t="s">
        <v>17</v>
      </c>
      <c r="G1243" s="14">
        <v>35000</v>
      </c>
      <c r="H1243" s="14">
        <v>57000</v>
      </c>
      <c r="I1243" t="s">
        <v>22</v>
      </c>
      <c r="J1243" t="s">
        <v>22</v>
      </c>
      <c r="K1243" t="s">
        <v>4978</v>
      </c>
      <c r="L1243" t="s">
        <v>1468</v>
      </c>
      <c r="M1243" t="s">
        <v>97</v>
      </c>
      <c r="N1243">
        <v>2</v>
      </c>
      <c r="O1243" t="s">
        <v>142</v>
      </c>
      <c r="P1243" t="s">
        <v>41</v>
      </c>
      <c r="Q1243" t="s">
        <v>30</v>
      </c>
      <c r="R1243" t="str">
        <f>VLOOKUP($O1243,'Mapa Oficinas'!$A$7:$C$46,2,FALSE)</f>
        <v>Zona Norte (GBA)</v>
      </c>
      <c r="S1243" t="str">
        <f>VLOOKUP($O1243,'Mapa Oficinas'!$A$7:$C$46,3,FALSE)</f>
        <v>Nordelta</v>
      </c>
    </row>
    <row r="1244" spans="1:19" x14ac:dyDescent="0.2">
      <c r="A1244" s="1">
        <v>45887</v>
      </c>
      <c r="B1244" t="s">
        <v>4970</v>
      </c>
      <c r="D1244" t="s">
        <v>4971</v>
      </c>
      <c r="E1244" t="s">
        <v>16</v>
      </c>
      <c r="F1244" t="s">
        <v>17</v>
      </c>
      <c r="G1244" s="14">
        <v>78500</v>
      </c>
      <c r="H1244" s="14">
        <v>73000</v>
      </c>
      <c r="I1244" t="s">
        <v>22</v>
      </c>
      <c r="J1244" t="s">
        <v>22</v>
      </c>
      <c r="K1244" t="s">
        <v>4972</v>
      </c>
      <c r="L1244" t="s">
        <v>1064</v>
      </c>
      <c r="M1244" t="s">
        <v>19</v>
      </c>
      <c r="N1244">
        <v>2</v>
      </c>
      <c r="O1244" t="s">
        <v>35</v>
      </c>
      <c r="P1244" t="s">
        <v>21</v>
      </c>
      <c r="Q1244" t="s">
        <v>30</v>
      </c>
      <c r="R1244" t="str">
        <f>VLOOKUP($O1244,'Mapa Oficinas'!$A$7:$C$46,2,FALSE)</f>
        <v>Zona Norte (GBA)</v>
      </c>
      <c r="S1244" t="str">
        <f>VLOOKUP($O1244,'Mapa Oficinas'!$A$7:$C$46,3,FALSE)</f>
        <v>Vicente López</v>
      </c>
    </row>
    <row r="1245" spans="1:19" x14ac:dyDescent="0.2">
      <c r="A1245" s="1">
        <v>45887</v>
      </c>
      <c r="B1245" t="s">
        <v>4973</v>
      </c>
      <c r="D1245" t="s">
        <v>4974</v>
      </c>
      <c r="E1245" t="s">
        <v>16</v>
      </c>
      <c r="F1245" t="s">
        <v>17</v>
      </c>
      <c r="G1245" s="14">
        <v>87000</v>
      </c>
      <c r="H1245" s="14">
        <v>84000</v>
      </c>
      <c r="I1245" t="s">
        <v>22</v>
      </c>
      <c r="J1245" t="s">
        <v>22</v>
      </c>
      <c r="K1245" t="s">
        <v>4975</v>
      </c>
      <c r="L1245" t="s">
        <v>3108</v>
      </c>
      <c r="M1245" t="s">
        <v>19</v>
      </c>
      <c r="N1245">
        <v>2</v>
      </c>
      <c r="O1245" t="s">
        <v>116</v>
      </c>
      <c r="P1245" t="s">
        <v>21</v>
      </c>
      <c r="Q1245" t="s">
        <v>30</v>
      </c>
      <c r="R1245" t="str">
        <f>VLOOKUP($O1245,'Mapa Oficinas'!$A$7:$C$46,2,FALSE)</f>
        <v>CABA</v>
      </c>
      <c r="S1245" t="str">
        <f>VLOOKUP($O1245,'Mapa Oficinas'!$A$7:$C$46,3,FALSE)</f>
        <v>Puerto Madero</v>
      </c>
    </row>
    <row r="1246" spans="1:19" x14ac:dyDescent="0.2">
      <c r="A1246" s="1">
        <v>45887</v>
      </c>
      <c r="B1246">
        <v>10495</v>
      </c>
      <c r="D1246" t="s">
        <v>4976</v>
      </c>
      <c r="E1246" t="s">
        <v>16</v>
      </c>
      <c r="F1246" t="s">
        <v>17</v>
      </c>
      <c r="G1246" s="14">
        <v>0</v>
      </c>
      <c r="H1246" s="14">
        <v>120000</v>
      </c>
      <c r="I1246" t="s">
        <v>22</v>
      </c>
      <c r="J1246" t="s">
        <v>22</v>
      </c>
      <c r="L1246" t="s">
        <v>1498</v>
      </c>
      <c r="M1246" t="s">
        <v>19</v>
      </c>
      <c r="N1246">
        <v>1</v>
      </c>
      <c r="O1246" t="s">
        <v>103</v>
      </c>
      <c r="P1246" t="s">
        <v>146</v>
      </c>
      <c r="Q1246" t="s">
        <v>30</v>
      </c>
      <c r="R1246" t="str">
        <f>VLOOKUP($O1246,'Mapa Oficinas'!$A$7:$C$46,2,FALSE)</f>
        <v>CABA</v>
      </c>
      <c r="S1246" t="str">
        <f>VLOOKUP($O1246,'Mapa Oficinas'!$A$7:$C$46,3,FALSE)</f>
        <v>Barrio Parque</v>
      </c>
    </row>
    <row r="1247" spans="1:19" x14ac:dyDescent="0.2">
      <c r="A1247" s="1">
        <v>45887</v>
      </c>
      <c r="B1247" t="s">
        <v>4960</v>
      </c>
      <c r="D1247" t="s">
        <v>4961</v>
      </c>
      <c r="E1247" t="s">
        <v>16</v>
      </c>
      <c r="F1247" t="s">
        <v>17</v>
      </c>
      <c r="G1247" s="14">
        <v>235000</v>
      </c>
      <c r="H1247" s="14">
        <v>225000</v>
      </c>
      <c r="I1247" t="s">
        <v>22</v>
      </c>
      <c r="J1247" t="s">
        <v>22</v>
      </c>
      <c r="K1247" t="s">
        <v>4962</v>
      </c>
      <c r="L1247" t="s">
        <v>4963</v>
      </c>
      <c r="M1247" t="s">
        <v>19</v>
      </c>
      <c r="N1247">
        <v>2</v>
      </c>
      <c r="O1247" t="s">
        <v>20</v>
      </c>
      <c r="P1247" t="s">
        <v>276</v>
      </c>
      <c r="Q1247" t="s">
        <v>30</v>
      </c>
      <c r="R1247" t="str">
        <f>VLOOKUP($O1247,'Mapa Oficinas'!$A$7:$C$46,2,FALSE)</f>
        <v>CABA</v>
      </c>
      <c r="S1247" t="str">
        <f>VLOOKUP($O1247,'Mapa Oficinas'!$A$7:$C$46,3,FALSE)</f>
        <v>Palermo</v>
      </c>
    </row>
    <row r="1248" spans="1:19" x14ac:dyDescent="0.2">
      <c r="A1248" s="1">
        <v>45887</v>
      </c>
      <c r="B1248" t="s">
        <v>4967</v>
      </c>
      <c r="D1248" t="s">
        <v>4968</v>
      </c>
      <c r="E1248" t="s">
        <v>16</v>
      </c>
      <c r="F1248" t="s">
        <v>17</v>
      </c>
      <c r="G1248" s="14">
        <v>290000</v>
      </c>
      <c r="H1248" s="14">
        <v>262500</v>
      </c>
      <c r="I1248" t="s">
        <v>22</v>
      </c>
      <c r="J1248" t="s">
        <v>22</v>
      </c>
      <c r="K1248" t="s">
        <v>4969</v>
      </c>
      <c r="L1248" t="s">
        <v>938</v>
      </c>
      <c r="M1248" t="s">
        <v>19</v>
      </c>
      <c r="N1248">
        <v>2</v>
      </c>
      <c r="O1248" t="s">
        <v>35</v>
      </c>
      <c r="P1248" t="s">
        <v>21</v>
      </c>
      <c r="Q1248" t="s">
        <v>30</v>
      </c>
      <c r="R1248" t="str">
        <f>VLOOKUP($O1248,'Mapa Oficinas'!$A$7:$C$46,2,FALSE)</f>
        <v>Zona Norte (GBA)</v>
      </c>
      <c r="S1248" t="str">
        <f>VLOOKUP($O1248,'Mapa Oficinas'!$A$7:$C$46,3,FALSE)</f>
        <v>Vicente López</v>
      </c>
    </row>
    <row r="1249" spans="1:19" x14ac:dyDescent="0.2">
      <c r="A1249" s="1">
        <v>45887</v>
      </c>
      <c r="B1249" t="s">
        <v>4964</v>
      </c>
      <c r="D1249" t="s">
        <v>4965</v>
      </c>
      <c r="E1249" t="s">
        <v>16</v>
      </c>
      <c r="F1249" t="s">
        <v>17</v>
      </c>
      <c r="G1249" s="14">
        <v>319000</v>
      </c>
      <c r="H1249" s="14">
        <v>310000</v>
      </c>
      <c r="I1249" t="s">
        <v>22</v>
      </c>
      <c r="J1249" t="s">
        <v>22</v>
      </c>
      <c r="K1249" t="s">
        <v>4966</v>
      </c>
      <c r="L1249" t="s">
        <v>1633</v>
      </c>
      <c r="M1249" t="s">
        <v>19</v>
      </c>
      <c r="N1249">
        <v>2</v>
      </c>
      <c r="O1249" t="s">
        <v>20</v>
      </c>
      <c r="P1249" t="s">
        <v>21</v>
      </c>
      <c r="Q1249" t="s">
        <v>30</v>
      </c>
      <c r="R1249" t="str">
        <f>VLOOKUP($O1249,'Mapa Oficinas'!$A$7:$C$46,2,FALSE)</f>
        <v>CABA</v>
      </c>
      <c r="S1249" t="str">
        <f>VLOOKUP($O1249,'Mapa Oficinas'!$A$7:$C$46,3,FALSE)</f>
        <v>Palermo</v>
      </c>
    </row>
    <row r="1250" spans="1:19" x14ac:dyDescent="0.2">
      <c r="A1250" s="1">
        <v>45888</v>
      </c>
      <c r="B1250" t="s">
        <v>4939</v>
      </c>
      <c r="D1250" t="s">
        <v>4940</v>
      </c>
      <c r="E1250" t="s">
        <v>16</v>
      </c>
      <c r="F1250" t="s">
        <v>134</v>
      </c>
      <c r="G1250" s="14">
        <v>55000</v>
      </c>
      <c r="H1250" s="14">
        <v>55000</v>
      </c>
      <c r="I1250" t="s">
        <v>22</v>
      </c>
      <c r="J1250" t="s">
        <v>22</v>
      </c>
      <c r="K1250" t="s">
        <v>4941</v>
      </c>
      <c r="L1250" t="s">
        <v>4942</v>
      </c>
      <c r="M1250" t="s">
        <v>97</v>
      </c>
      <c r="N1250">
        <v>1</v>
      </c>
      <c r="O1250" t="s">
        <v>130</v>
      </c>
      <c r="P1250" t="s">
        <v>66</v>
      </c>
      <c r="Q1250" t="s">
        <v>30</v>
      </c>
      <c r="R1250" t="str">
        <f>VLOOKUP($O1250,'Mapa Oficinas'!$A$7:$C$46,2,FALSE)</f>
        <v>Interior - Río Negro</v>
      </c>
      <c r="S1250" t="str">
        <f>VLOOKUP($O1250,'Mapa Oficinas'!$A$7:$C$46,3,FALSE)</f>
        <v>Bariloche</v>
      </c>
    </row>
    <row r="1251" spans="1:19" x14ac:dyDescent="0.2">
      <c r="A1251" s="1">
        <v>45888</v>
      </c>
      <c r="B1251" t="s">
        <v>4925</v>
      </c>
      <c r="D1251" t="s">
        <v>4926</v>
      </c>
      <c r="E1251" t="s">
        <v>16</v>
      </c>
      <c r="F1251" t="s">
        <v>47</v>
      </c>
      <c r="G1251" s="14">
        <v>80000</v>
      </c>
      <c r="H1251" s="14">
        <v>75000</v>
      </c>
      <c r="I1251" t="s">
        <v>22</v>
      </c>
      <c r="J1251" t="s">
        <v>22</v>
      </c>
      <c r="K1251" t="s">
        <v>4927</v>
      </c>
      <c r="L1251" t="s">
        <v>1811</v>
      </c>
      <c r="M1251" t="s">
        <v>28</v>
      </c>
      <c r="N1251">
        <v>1</v>
      </c>
      <c r="O1251" t="s">
        <v>171</v>
      </c>
      <c r="P1251" t="s">
        <v>146</v>
      </c>
      <c r="Q1251" t="s">
        <v>30</v>
      </c>
      <c r="R1251" t="str">
        <f>VLOOKUP($O1251,'Mapa Oficinas'!$A$7:$C$46,2,FALSE)</f>
        <v>Zona Sur (GBA)</v>
      </c>
      <c r="S1251" t="str">
        <f>VLOOKUP($O1251,'Mapa Oficinas'!$A$7:$C$46,3,FALSE)</f>
        <v>La Plata</v>
      </c>
    </row>
    <row r="1252" spans="1:19" x14ac:dyDescent="0.2">
      <c r="A1252" s="1">
        <v>45888</v>
      </c>
      <c r="B1252" t="s">
        <v>4957</v>
      </c>
      <c r="D1252" t="s">
        <v>4958</v>
      </c>
      <c r="E1252" t="s">
        <v>16</v>
      </c>
      <c r="F1252" t="s">
        <v>17</v>
      </c>
      <c r="G1252" s="14">
        <v>110000</v>
      </c>
      <c r="H1252" s="14">
        <v>105000</v>
      </c>
      <c r="I1252" t="s">
        <v>22</v>
      </c>
      <c r="J1252" t="s">
        <v>22</v>
      </c>
      <c r="K1252" t="s">
        <v>4959</v>
      </c>
      <c r="L1252" t="s">
        <v>79</v>
      </c>
      <c r="M1252" t="s">
        <v>19</v>
      </c>
      <c r="N1252">
        <v>2</v>
      </c>
      <c r="O1252" t="s">
        <v>20</v>
      </c>
      <c r="P1252" t="s">
        <v>21</v>
      </c>
      <c r="Q1252" t="s">
        <v>30</v>
      </c>
      <c r="R1252" t="str">
        <f>VLOOKUP($O1252,'Mapa Oficinas'!$A$7:$C$46,2,FALSE)</f>
        <v>CABA</v>
      </c>
      <c r="S1252" t="str">
        <f>VLOOKUP($O1252,'Mapa Oficinas'!$A$7:$C$46,3,FALSE)</f>
        <v>Palermo</v>
      </c>
    </row>
    <row r="1253" spans="1:19" x14ac:dyDescent="0.2">
      <c r="A1253" s="1">
        <v>45888</v>
      </c>
      <c r="B1253" t="s">
        <v>4922</v>
      </c>
      <c r="D1253" t="s">
        <v>4923</v>
      </c>
      <c r="E1253" t="s">
        <v>16</v>
      </c>
      <c r="F1253" t="s">
        <v>53</v>
      </c>
      <c r="G1253" s="14">
        <v>130000</v>
      </c>
      <c r="H1253" s="14">
        <v>110000</v>
      </c>
      <c r="I1253" t="s">
        <v>22</v>
      </c>
      <c r="J1253" t="s">
        <v>22</v>
      </c>
      <c r="K1253" t="s">
        <v>4924</v>
      </c>
      <c r="L1253" t="s">
        <v>683</v>
      </c>
      <c r="M1253" t="s">
        <v>28</v>
      </c>
      <c r="N1253">
        <v>2</v>
      </c>
      <c r="O1253" t="s">
        <v>55</v>
      </c>
      <c r="P1253" t="s">
        <v>21</v>
      </c>
      <c r="Q1253" t="s">
        <v>30</v>
      </c>
      <c r="R1253" t="str">
        <f>VLOOKUP($O1253,'Mapa Oficinas'!$A$7:$C$46,2,FALSE)</f>
        <v>Interior - Santa Fe</v>
      </c>
      <c r="S1253" t="str">
        <f>VLOOKUP($O1253,'Mapa Oficinas'!$A$7:$C$46,3,FALSE)</f>
        <v>Capital Santa Fe</v>
      </c>
    </row>
    <row r="1254" spans="1:19" x14ac:dyDescent="0.2">
      <c r="A1254" s="1">
        <v>45888</v>
      </c>
      <c r="B1254" t="s">
        <v>4928</v>
      </c>
      <c r="D1254" t="s">
        <v>4929</v>
      </c>
      <c r="E1254" t="s">
        <v>16</v>
      </c>
      <c r="F1254" t="s">
        <v>17</v>
      </c>
      <c r="G1254" s="14">
        <v>115000</v>
      </c>
      <c r="H1254" s="14">
        <v>110000</v>
      </c>
      <c r="I1254" t="s">
        <v>22</v>
      </c>
      <c r="J1254" t="s">
        <v>22</v>
      </c>
      <c r="K1254" t="s">
        <v>4930</v>
      </c>
      <c r="L1254" t="s">
        <v>318</v>
      </c>
      <c r="M1254" t="s">
        <v>72</v>
      </c>
      <c r="N1254">
        <v>2</v>
      </c>
      <c r="O1254" t="s">
        <v>142</v>
      </c>
      <c r="P1254" t="s">
        <v>21</v>
      </c>
      <c r="Q1254" t="s">
        <v>30</v>
      </c>
      <c r="R1254" t="str">
        <f>VLOOKUP($O1254,'Mapa Oficinas'!$A$7:$C$46,2,FALSE)</f>
        <v>Zona Norte (GBA)</v>
      </c>
      <c r="S1254" t="str">
        <f>VLOOKUP($O1254,'Mapa Oficinas'!$A$7:$C$46,3,FALSE)</f>
        <v>Nordelta</v>
      </c>
    </row>
    <row r="1255" spans="1:19" x14ac:dyDescent="0.2">
      <c r="A1255" s="1">
        <v>45888</v>
      </c>
      <c r="B1255" t="s">
        <v>4931</v>
      </c>
      <c r="D1255" t="s">
        <v>4932</v>
      </c>
      <c r="E1255" t="s">
        <v>16</v>
      </c>
      <c r="F1255" t="s">
        <v>17</v>
      </c>
      <c r="G1255" s="14">
        <v>1200</v>
      </c>
      <c r="H1255" s="14">
        <v>127500</v>
      </c>
      <c r="I1255" t="s">
        <v>22</v>
      </c>
      <c r="J1255" t="s">
        <v>22</v>
      </c>
      <c r="K1255" t="s">
        <v>4933</v>
      </c>
      <c r="L1255" t="s">
        <v>4934</v>
      </c>
      <c r="M1255" t="s">
        <v>28</v>
      </c>
      <c r="N1255">
        <v>1</v>
      </c>
      <c r="O1255" t="s">
        <v>142</v>
      </c>
      <c r="P1255" t="s">
        <v>146</v>
      </c>
      <c r="Q1255" t="s">
        <v>30</v>
      </c>
      <c r="R1255" t="str">
        <f>VLOOKUP($O1255,'Mapa Oficinas'!$A$7:$C$46,2,FALSE)</f>
        <v>Zona Norte (GBA)</v>
      </c>
      <c r="S1255" t="str">
        <f>VLOOKUP($O1255,'Mapa Oficinas'!$A$7:$C$46,3,FALSE)</f>
        <v>Nordelta</v>
      </c>
    </row>
    <row r="1256" spans="1:19" x14ac:dyDescent="0.2">
      <c r="A1256" s="1">
        <v>45888</v>
      </c>
      <c r="B1256" t="s">
        <v>4946</v>
      </c>
      <c r="D1256" t="s">
        <v>4947</v>
      </c>
      <c r="E1256" t="s">
        <v>16</v>
      </c>
      <c r="F1256" t="s">
        <v>17</v>
      </c>
      <c r="G1256" s="14">
        <v>159000</v>
      </c>
      <c r="H1256" s="14">
        <v>156000</v>
      </c>
      <c r="I1256" t="s">
        <v>22</v>
      </c>
      <c r="J1256" t="s">
        <v>22</v>
      </c>
      <c r="K1256" t="s">
        <v>4948</v>
      </c>
      <c r="L1256" t="s">
        <v>4949</v>
      </c>
      <c r="M1256" t="s">
        <v>19</v>
      </c>
      <c r="N1256">
        <v>2</v>
      </c>
      <c r="O1256" t="s">
        <v>40</v>
      </c>
      <c r="P1256" t="s">
        <v>21</v>
      </c>
      <c r="Q1256" t="s">
        <v>30</v>
      </c>
      <c r="R1256" t="str">
        <f>VLOOKUP($O1256,'Mapa Oficinas'!$A$7:$C$46,2,FALSE)</f>
        <v>Zona Norte (GBA)</v>
      </c>
      <c r="S1256" t="str">
        <f>VLOOKUP($O1256,'Mapa Oficinas'!$A$7:$C$46,3,FALSE)</f>
        <v>Pilar</v>
      </c>
    </row>
    <row r="1257" spans="1:19" x14ac:dyDescent="0.2">
      <c r="A1257" s="1">
        <v>45888</v>
      </c>
      <c r="B1257" t="s">
        <v>4954</v>
      </c>
      <c r="D1257" t="s">
        <v>4955</v>
      </c>
      <c r="E1257" t="s">
        <v>16</v>
      </c>
      <c r="F1257" t="s">
        <v>82</v>
      </c>
      <c r="G1257" s="14">
        <v>159000</v>
      </c>
      <c r="H1257" s="14">
        <v>156000</v>
      </c>
      <c r="I1257" t="s">
        <v>22</v>
      </c>
      <c r="J1257" t="s">
        <v>22</v>
      </c>
      <c r="K1257" t="s">
        <v>4956</v>
      </c>
      <c r="L1257" t="s">
        <v>1246</v>
      </c>
      <c r="M1257" t="s">
        <v>19</v>
      </c>
      <c r="N1257">
        <v>2</v>
      </c>
      <c r="O1257" t="s">
        <v>547</v>
      </c>
      <c r="P1257" t="s">
        <v>21</v>
      </c>
      <c r="Q1257" t="s">
        <v>30</v>
      </c>
      <c r="R1257" t="str">
        <f>VLOOKUP($O1257,'Mapa Oficinas'!$A$7:$C$46,2,FALSE)</f>
        <v>CABA</v>
      </c>
      <c r="S1257" t="str">
        <f>VLOOKUP($O1257,'Mapa Oficinas'!$A$7:$C$46,3,FALSE)</f>
        <v>Núñez</v>
      </c>
    </row>
    <row r="1258" spans="1:19" x14ac:dyDescent="0.2">
      <c r="A1258" s="1">
        <v>45888</v>
      </c>
      <c r="B1258" t="s">
        <v>4935</v>
      </c>
      <c r="D1258" t="s">
        <v>4936</v>
      </c>
      <c r="E1258" t="s">
        <v>16</v>
      </c>
      <c r="F1258" t="s">
        <v>17</v>
      </c>
      <c r="G1258" s="14">
        <v>150000</v>
      </c>
      <c r="H1258" s="14">
        <v>160000</v>
      </c>
      <c r="I1258" t="s">
        <v>22</v>
      </c>
      <c r="J1258" t="s">
        <v>22</v>
      </c>
      <c r="K1258" t="s">
        <v>4937</v>
      </c>
      <c r="L1258" t="s">
        <v>4938</v>
      </c>
      <c r="M1258" t="s">
        <v>97</v>
      </c>
      <c r="N1258">
        <v>2</v>
      </c>
      <c r="O1258" t="s">
        <v>142</v>
      </c>
      <c r="P1258" t="s">
        <v>41</v>
      </c>
      <c r="Q1258" t="s">
        <v>30</v>
      </c>
      <c r="R1258" t="str">
        <f>VLOOKUP($O1258,'Mapa Oficinas'!$A$7:$C$46,2,FALSE)</f>
        <v>Zona Norte (GBA)</v>
      </c>
      <c r="S1258" t="str">
        <f>VLOOKUP($O1258,'Mapa Oficinas'!$A$7:$C$46,3,FALSE)</f>
        <v>Nordelta</v>
      </c>
    </row>
    <row r="1259" spans="1:19" x14ac:dyDescent="0.2">
      <c r="A1259" s="1">
        <v>45888</v>
      </c>
      <c r="B1259" t="s">
        <v>4943</v>
      </c>
      <c r="D1259" t="s">
        <v>4944</v>
      </c>
      <c r="E1259" t="s">
        <v>16</v>
      </c>
      <c r="F1259" t="s">
        <v>17</v>
      </c>
      <c r="G1259" s="14">
        <v>175000</v>
      </c>
      <c r="H1259" s="14">
        <v>175000</v>
      </c>
      <c r="I1259" t="s">
        <v>22</v>
      </c>
      <c r="J1259" t="s">
        <v>22</v>
      </c>
      <c r="K1259" t="s">
        <v>4944</v>
      </c>
      <c r="L1259" t="s">
        <v>4945</v>
      </c>
      <c r="M1259" t="s">
        <v>28</v>
      </c>
      <c r="N1259">
        <v>2</v>
      </c>
      <c r="O1259" t="s">
        <v>142</v>
      </c>
      <c r="P1259" t="s">
        <v>41</v>
      </c>
      <c r="Q1259" t="s">
        <v>30</v>
      </c>
      <c r="R1259" t="str">
        <f>VLOOKUP($O1259,'Mapa Oficinas'!$A$7:$C$46,2,FALSE)</f>
        <v>Zona Norte (GBA)</v>
      </c>
      <c r="S1259" t="str">
        <f>VLOOKUP($O1259,'Mapa Oficinas'!$A$7:$C$46,3,FALSE)</f>
        <v>Nordelta</v>
      </c>
    </row>
    <row r="1260" spans="1:19" x14ac:dyDescent="0.2">
      <c r="A1260" s="1">
        <v>45889</v>
      </c>
      <c r="B1260" t="s">
        <v>4880</v>
      </c>
      <c r="D1260" t="s">
        <v>4881</v>
      </c>
      <c r="E1260" t="s">
        <v>16</v>
      </c>
      <c r="F1260" t="s">
        <v>17</v>
      </c>
      <c r="G1260" s="14">
        <v>39900</v>
      </c>
      <c r="H1260" s="14">
        <v>36000</v>
      </c>
      <c r="I1260" t="s">
        <v>22</v>
      </c>
      <c r="J1260" t="s">
        <v>22</v>
      </c>
      <c r="K1260" t="s">
        <v>4881</v>
      </c>
      <c r="L1260" t="s">
        <v>170</v>
      </c>
      <c r="M1260" t="s">
        <v>19</v>
      </c>
      <c r="N1260">
        <v>2</v>
      </c>
      <c r="O1260" t="s">
        <v>171</v>
      </c>
      <c r="P1260" t="s">
        <v>21</v>
      </c>
      <c r="Q1260" t="s">
        <v>30</v>
      </c>
      <c r="R1260" t="str">
        <f>VLOOKUP($O1260,'Mapa Oficinas'!$A$7:$C$46,2,FALSE)</f>
        <v>Zona Sur (GBA)</v>
      </c>
      <c r="S1260" t="str">
        <f>VLOOKUP($O1260,'Mapa Oficinas'!$A$7:$C$46,3,FALSE)</f>
        <v>La Plata</v>
      </c>
    </row>
    <row r="1261" spans="1:19" x14ac:dyDescent="0.2">
      <c r="A1261" s="1">
        <v>45889</v>
      </c>
      <c r="B1261" t="s">
        <v>4900</v>
      </c>
      <c r="D1261" t="s">
        <v>4901</v>
      </c>
      <c r="E1261" t="s">
        <v>16</v>
      </c>
      <c r="F1261" t="s">
        <v>243</v>
      </c>
      <c r="G1261" s="14">
        <v>37500</v>
      </c>
      <c r="H1261" s="14">
        <v>36000</v>
      </c>
      <c r="I1261" t="s">
        <v>22</v>
      </c>
      <c r="J1261" t="s">
        <v>22</v>
      </c>
      <c r="K1261" t="s">
        <v>4902</v>
      </c>
      <c r="L1261" t="s">
        <v>630</v>
      </c>
      <c r="M1261" t="s">
        <v>97</v>
      </c>
      <c r="N1261">
        <v>2</v>
      </c>
      <c r="O1261" t="s">
        <v>246</v>
      </c>
      <c r="P1261" t="s">
        <v>21</v>
      </c>
      <c r="Q1261" t="s">
        <v>30</v>
      </c>
      <c r="R1261" t="str">
        <f>VLOOKUP($O1261,'Mapa Oficinas'!$A$7:$C$46,2,FALSE)</f>
        <v>Interior - Salta</v>
      </c>
      <c r="S1261" t="str">
        <f>VLOOKUP($O1261,'Mapa Oficinas'!$A$7:$C$46,3,FALSE)</f>
        <v>San Lorenzo Chico</v>
      </c>
    </row>
    <row r="1262" spans="1:19" x14ac:dyDescent="0.2">
      <c r="A1262" s="1">
        <v>45889</v>
      </c>
      <c r="B1262" t="s">
        <v>4896</v>
      </c>
      <c r="D1262" t="s">
        <v>4897</v>
      </c>
      <c r="E1262" t="s">
        <v>16</v>
      </c>
      <c r="F1262" t="s">
        <v>82</v>
      </c>
      <c r="G1262" s="14">
        <v>55000</v>
      </c>
      <c r="H1262" s="14">
        <v>51000</v>
      </c>
      <c r="I1262" t="s">
        <v>22</v>
      </c>
      <c r="J1262" t="s">
        <v>22</v>
      </c>
      <c r="K1262" t="s">
        <v>4898</v>
      </c>
      <c r="L1262" t="s">
        <v>4899</v>
      </c>
      <c r="M1262" t="s">
        <v>28</v>
      </c>
      <c r="N1262">
        <v>1</v>
      </c>
      <c r="O1262" t="s">
        <v>55</v>
      </c>
      <c r="P1262" t="s">
        <v>66</v>
      </c>
      <c r="Q1262" t="s">
        <v>30</v>
      </c>
      <c r="R1262" t="str">
        <f>VLOOKUP($O1262,'Mapa Oficinas'!$A$7:$C$46,2,FALSE)</f>
        <v>Interior - Santa Fe</v>
      </c>
      <c r="S1262" t="str">
        <f>VLOOKUP($O1262,'Mapa Oficinas'!$A$7:$C$46,3,FALSE)</f>
        <v>Capital Santa Fe</v>
      </c>
    </row>
    <row r="1263" spans="1:19" x14ac:dyDescent="0.2">
      <c r="A1263" s="1">
        <v>45889</v>
      </c>
      <c r="B1263" t="s">
        <v>4903</v>
      </c>
      <c r="D1263" t="s">
        <v>4904</v>
      </c>
      <c r="E1263" t="s">
        <v>16</v>
      </c>
      <c r="F1263" t="s">
        <v>82</v>
      </c>
      <c r="G1263" s="14">
        <v>58000</v>
      </c>
      <c r="H1263" s="14">
        <v>54000</v>
      </c>
      <c r="I1263" t="s">
        <v>22</v>
      </c>
      <c r="J1263" t="s">
        <v>22</v>
      </c>
      <c r="K1263" t="s">
        <v>4905</v>
      </c>
      <c r="L1263" t="s">
        <v>54</v>
      </c>
      <c r="M1263" t="s">
        <v>19</v>
      </c>
      <c r="N1263">
        <v>1</v>
      </c>
      <c r="O1263" t="s">
        <v>55</v>
      </c>
      <c r="P1263" t="s">
        <v>131</v>
      </c>
      <c r="Q1263" t="s">
        <v>30</v>
      </c>
      <c r="R1263" t="str">
        <f>VLOOKUP($O1263,'Mapa Oficinas'!$A$7:$C$46,2,FALSE)</f>
        <v>Interior - Santa Fe</v>
      </c>
      <c r="S1263" t="str">
        <f>VLOOKUP($O1263,'Mapa Oficinas'!$A$7:$C$46,3,FALSE)</f>
        <v>Capital Santa Fe</v>
      </c>
    </row>
    <row r="1264" spans="1:19" x14ac:dyDescent="0.2">
      <c r="A1264" s="1">
        <v>45889</v>
      </c>
      <c r="B1264" t="s">
        <v>4916</v>
      </c>
      <c r="D1264" t="s">
        <v>4917</v>
      </c>
      <c r="E1264" t="s">
        <v>16</v>
      </c>
      <c r="F1264" t="s">
        <v>58</v>
      </c>
      <c r="G1264" s="14">
        <v>59900</v>
      </c>
      <c r="H1264" s="14">
        <v>55000</v>
      </c>
      <c r="I1264" t="s">
        <v>22</v>
      </c>
      <c r="J1264" t="s">
        <v>22</v>
      </c>
      <c r="K1264" t="s">
        <v>4918</v>
      </c>
      <c r="L1264" t="s">
        <v>1064</v>
      </c>
      <c r="M1264" t="s">
        <v>19</v>
      </c>
      <c r="N1264">
        <v>2</v>
      </c>
      <c r="O1264" t="s">
        <v>50</v>
      </c>
      <c r="P1264" t="s">
        <v>41</v>
      </c>
      <c r="Q1264" t="s">
        <v>30</v>
      </c>
      <c r="R1264" t="str">
        <f>VLOOKUP($O1264,'Mapa Oficinas'!$A$7:$C$46,2,FALSE)</f>
        <v>CABA</v>
      </c>
      <c r="S1264" t="str">
        <f>VLOOKUP($O1264,'Mapa Oficinas'!$A$7:$C$46,3,FALSE)</f>
        <v>Villa Urquiza</v>
      </c>
    </row>
    <row r="1265" spans="1:19" x14ac:dyDescent="0.2">
      <c r="A1265" s="1">
        <v>45889</v>
      </c>
      <c r="B1265" t="s">
        <v>4570</v>
      </c>
      <c r="D1265" t="s">
        <v>4571</v>
      </c>
      <c r="E1265" t="s">
        <v>16</v>
      </c>
      <c r="F1265" t="s">
        <v>58</v>
      </c>
      <c r="G1265" s="14">
        <v>87500</v>
      </c>
      <c r="H1265" s="14">
        <v>72400</v>
      </c>
      <c r="I1265" t="s">
        <v>22</v>
      </c>
      <c r="J1265" t="s">
        <v>22</v>
      </c>
      <c r="K1265" t="s">
        <v>4572</v>
      </c>
      <c r="L1265" t="s">
        <v>170</v>
      </c>
      <c r="M1265" t="s">
        <v>19</v>
      </c>
      <c r="N1265">
        <v>2</v>
      </c>
      <c r="O1265" t="s">
        <v>171</v>
      </c>
      <c r="P1265" t="s">
        <v>21</v>
      </c>
      <c r="Q1265" t="s">
        <v>30</v>
      </c>
      <c r="R1265" t="str">
        <f>VLOOKUP($O1265,'Mapa Oficinas'!$A$7:$C$46,2,FALSE)</f>
        <v>Zona Sur (GBA)</v>
      </c>
      <c r="S1265" t="str">
        <f>VLOOKUP($O1265,'Mapa Oficinas'!$A$7:$C$46,3,FALSE)</f>
        <v>La Plata</v>
      </c>
    </row>
    <row r="1266" spans="1:19" x14ac:dyDescent="0.2">
      <c r="A1266" s="1">
        <v>45889</v>
      </c>
      <c r="B1266" t="s">
        <v>4888</v>
      </c>
      <c r="D1266" t="s">
        <v>4889</v>
      </c>
      <c r="E1266" t="s">
        <v>16</v>
      </c>
      <c r="F1266" t="s">
        <v>17</v>
      </c>
      <c r="G1266" s="14">
        <v>119900</v>
      </c>
      <c r="H1266" s="14">
        <v>110000</v>
      </c>
      <c r="I1266" t="s">
        <v>22</v>
      </c>
      <c r="J1266" t="s">
        <v>22</v>
      </c>
      <c r="K1266" t="s">
        <v>4890</v>
      </c>
      <c r="L1266" t="s">
        <v>191</v>
      </c>
      <c r="M1266" t="s">
        <v>19</v>
      </c>
      <c r="N1266">
        <v>2</v>
      </c>
      <c r="O1266" t="s">
        <v>103</v>
      </c>
      <c r="P1266" t="s">
        <v>21</v>
      </c>
      <c r="Q1266" t="s">
        <v>30</v>
      </c>
      <c r="R1266" t="str">
        <f>VLOOKUP($O1266,'Mapa Oficinas'!$A$7:$C$46,2,FALSE)</f>
        <v>CABA</v>
      </c>
      <c r="S1266" t="str">
        <f>VLOOKUP($O1266,'Mapa Oficinas'!$A$7:$C$46,3,FALSE)</f>
        <v>Barrio Parque</v>
      </c>
    </row>
    <row r="1267" spans="1:19" x14ac:dyDescent="0.2">
      <c r="A1267" s="1">
        <v>45889</v>
      </c>
      <c r="B1267" t="s">
        <v>4882</v>
      </c>
      <c r="D1267" t="s">
        <v>4883</v>
      </c>
      <c r="E1267" t="s">
        <v>16</v>
      </c>
      <c r="F1267" t="s">
        <v>58</v>
      </c>
      <c r="G1267" s="14">
        <v>134900</v>
      </c>
      <c r="H1267" s="14">
        <v>130000</v>
      </c>
      <c r="I1267" t="s">
        <v>22</v>
      </c>
      <c r="J1267" t="s">
        <v>22</v>
      </c>
      <c r="K1267" t="s">
        <v>4884</v>
      </c>
      <c r="L1267" t="s">
        <v>205</v>
      </c>
      <c r="M1267" t="s">
        <v>19</v>
      </c>
      <c r="N1267">
        <v>2</v>
      </c>
      <c r="O1267" t="s">
        <v>103</v>
      </c>
      <c r="P1267" t="s">
        <v>21</v>
      </c>
      <c r="Q1267" t="s">
        <v>30</v>
      </c>
      <c r="R1267" t="str">
        <f>VLOOKUP($O1267,'Mapa Oficinas'!$A$7:$C$46,2,FALSE)</f>
        <v>CABA</v>
      </c>
      <c r="S1267" t="str">
        <f>VLOOKUP($O1267,'Mapa Oficinas'!$A$7:$C$46,3,FALSE)</f>
        <v>Barrio Parque</v>
      </c>
    </row>
    <row r="1268" spans="1:19" x14ac:dyDescent="0.2">
      <c r="A1268" s="1">
        <v>45889</v>
      </c>
      <c r="B1268" t="s">
        <v>4912</v>
      </c>
      <c r="D1268" t="s">
        <v>4913</v>
      </c>
      <c r="E1268" t="s">
        <v>16</v>
      </c>
      <c r="F1268" t="s">
        <v>47</v>
      </c>
      <c r="G1268" s="14">
        <v>164900</v>
      </c>
      <c r="H1268" s="14">
        <v>145000</v>
      </c>
      <c r="I1268" t="s">
        <v>22</v>
      </c>
      <c r="J1268" t="s">
        <v>22</v>
      </c>
      <c r="K1268" t="s">
        <v>4914</v>
      </c>
      <c r="L1268" t="s">
        <v>4915</v>
      </c>
      <c r="M1268" t="s">
        <v>28</v>
      </c>
      <c r="N1268">
        <v>2</v>
      </c>
      <c r="O1268" t="s">
        <v>50</v>
      </c>
      <c r="P1268" t="s">
        <v>1578</v>
      </c>
      <c r="Q1268" t="s">
        <v>30</v>
      </c>
      <c r="R1268" t="str">
        <f>VLOOKUP($O1268,'Mapa Oficinas'!$A$7:$C$46,2,FALSE)</f>
        <v>CABA</v>
      </c>
      <c r="S1268" t="str">
        <f>VLOOKUP($O1268,'Mapa Oficinas'!$A$7:$C$46,3,FALSE)</f>
        <v>Villa Urquiza</v>
      </c>
    </row>
    <row r="1269" spans="1:19" x14ac:dyDescent="0.2">
      <c r="A1269" s="1">
        <v>45889</v>
      </c>
      <c r="B1269" t="s">
        <v>4906</v>
      </c>
      <c r="D1269" t="s">
        <v>4907</v>
      </c>
      <c r="E1269" t="s">
        <v>16</v>
      </c>
      <c r="F1269" t="s">
        <v>17</v>
      </c>
      <c r="G1269" s="14">
        <v>159000</v>
      </c>
      <c r="H1269" s="14">
        <v>155000</v>
      </c>
      <c r="I1269" t="s">
        <v>22</v>
      </c>
      <c r="J1269" t="s">
        <v>22</v>
      </c>
      <c r="K1269" t="s">
        <v>4908</v>
      </c>
      <c r="L1269" t="s">
        <v>191</v>
      </c>
      <c r="M1269" t="s">
        <v>72</v>
      </c>
      <c r="N1269">
        <v>2</v>
      </c>
      <c r="O1269" t="s">
        <v>50</v>
      </c>
      <c r="P1269" t="s">
        <v>21</v>
      </c>
      <c r="Q1269" t="s">
        <v>30</v>
      </c>
      <c r="R1269" t="str">
        <f>VLOOKUP($O1269,'Mapa Oficinas'!$A$7:$C$46,2,FALSE)</f>
        <v>CABA</v>
      </c>
      <c r="S1269" t="str">
        <f>VLOOKUP($O1269,'Mapa Oficinas'!$A$7:$C$46,3,FALSE)</f>
        <v>Villa Urquiza</v>
      </c>
    </row>
    <row r="1270" spans="1:19" x14ac:dyDescent="0.2">
      <c r="A1270" s="1">
        <v>45889</v>
      </c>
      <c r="B1270" t="s">
        <v>4885</v>
      </c>
      <c r="D1270" t="s">
        <v>4886</v>
      </c>
      <c r="E1270" t="s">
        <v>16</v>
      </c>
      <c r="F1270" t="s">
        <v>17</v>
      </c>
      <c r="G1270" s="14">
        <v>185000</v>
      </c>
      <c r="H1270" s="14">
        <v>185000</v>
      </c>
      <c r="I1270" t="s">
        <v>22</v>
      </c>
      <c r="J1270" t="s">
        <v>22</v>
      </c>
      <c r="K1270" t="s">
        <v>4887</v>
      </c>
      <c r="L1270" t="s">
        <v>277</v>
      </c>
      <c r="M1270" t="s">
        <v>19</v>
      </c>
      <c r="N1270">
        <v>2</v>
      </c>
      <c r="O1270" t="s">
        <v>103</v>
      </c>
      <c r="P1270" t="s">
        <v>21</v>
      </c>
      <c r="Q1270" t="s">
        <v>30</v>
      </c>
      <c r="R1270" t="str">
        <f>VLOOKUP($O1270,'Mapa Oficinas'!$A$7:$C$46,2,FALSE)</f>
        <v>CABA</v>
      </c>
      <c r="S1270" t="str">
        <f>VLOOKUP($O1270,'Mapa Oficinas'!$A$7:$C$46,3,FALSE)</f>
        <v>Barrio Parque</v>
      </c>
    </row>
    <row r="1271" spans="1:19" x14ac:dyDescent="0.2">
      <c r="A1271" s="1">
        <v>45889</v>
      </c>
      <c r="B1271" t="s">
        <v>4909</v>
      </c>
      <c r="D1271" t="s">
        <v>4910</v>
      </c>
      <c r="E1271" t="s">
        <v>16</v>
      </c>
      <c r="F1271" t="s">
        <v>17</v>
      </c>
      <c r="G1271" s="14">
        <v>290000</v>
      </c>
      <c r="H1271" s="14">
        <v>275000</v>
      </c>
      <c r="I1271" t="s">
        <v>22</v>
      </c>
      <c r="J1271" t="s">
        <v>22</v>
      </c>
      <c r="K1271" t="s">
        <v>4911</v>
      </c>
      <c r="L1271" t="s">
        <v>482</v>
      </c>
      <c r="M1271" t="s">
        <v>19</v>
      </c>
      <c r="N1271">
        <v>2</v>
      </c>
      <c r="O1271" t="s">
        <v>116</v>
      </c>
      <c r="P1271" t="s">
        <v>21</v>
      </c>
      <c r="Q1271" t="s">
        <v>30</v>
      </c>
      <c r="R1271" t="str">
        <f>VLOOKUP($O1271,'Mapa Oficinas'!$A$7:$C$46,2,FALSE)</f>
        <v>CABA</v>
      </c>
      <c r="S1271" t="str">
        <f>VLOOKUP($O1271,'Mapa Oficinas'!$A$7:$C$46,3,FALSE)</f>
        <v>Puerto Madero</v>
      </c>
    </row>
    <row r="1272" spans="1:19" x14ac:dyDescent="0.2">
      <c r="A1272" s="1">
        <v>45889</v>
      </c>
      <c r="B1272" t="s">
        <v>4919</v>
      </c>
      <c r="D1272" t="s">
        <v>4920</v>
      </c>
      <c r="E1272" t="s">
        <v>16</v>
      </c>
      <c r="F1272" t="s">
        <v>17</v>
      </c>
      <c r="G1272" s="14">
        <v>595000</v>
      </c>
      <c r="H1272" s="14">
        <v>585000</v>
      </c>
      <c r="I1272" t="s">
        <v>22</v>
      </c>
      <c r="J1272" t="s">
        <v>22</v>
      </c>
      <c r="K1272" t="s">
        <v>4921</v>
      </c>
      <c r="L1272" t="s">
        <v>191</v>
      </c>
      <c r="M1272" t="s">
        <v>19</v>
      </c>
      <c r="N1272">
        <v>2</v>
      </c>
      <c r="O1272" t="s">
        <v>103</v>
      </c>
      <c r="P1272" t="s">
        <v>276</v>
      </c>
      <c r="Q1272" t="s">
        <v>30</v>
      </c>
      <c r="R1272" t="str">
        <f>VLOOKUP($O1272,'Mapa Oficinas'!$A$7:$C$46,2,FALSE)</f>
        <v>CABA</v>
      </c>
      <c r="S1272" t="str">
        <f>VLOOKUP($O1272,'Mapa Oficinas'!$A$7:$C$46,3,FALSE)</f>
        <v>Barrio Parque</v>
      </c>
    </row>
    <row r="1273" spans="1:19" x14ac:dyDescent="0.2">
      <c r="A1273" s="1">
        <v>45889</v>
      </c>
      <c r="B1273">
        <v>29</v>
      </c>
      <c r="D1273" t="s">
        <v>4894</v>
      </c>
      <c r="E1273" t="s">
        <v>16</v>
      </c>
      <c r="F1273" t="s">
        <v>17</v>
      </c>
      <c r="G1273" s="14">
        <v>1000000</v>
      </c>
      <c r="H1273" s="14">
        <v>1000000</v>
      </c>
      <c r="I1273" t="s">
        <v>22</v>
      </c>
      <c r="J1273" t="s">
        <v>22</v>
      </c>
      <c r="K1273" t="s">
        <v>4895</v>
      </c>
      <c r="L1273" t="s">
        <v>117</v>
      </c>
      <c r="M1273" t="s">
        <v>19</v>
      </c>
      <c r="N1273">
        <v>1</v>
      </c>
      <c r="O1273" t="s">
        <v>116</v>
      </c>
      <c r="P1273" t="s">
        <v>146</v>
      </c>
      <c r="Q1273" t="s">
        <v>30</v>
      </c>
      <c r="R1273" t="str">
        <f>VLOOKUP($O1273,'Mapa Oficinas'!$A$7:$C$46,2,FALSE)</f>
        <v>CABA</v>
      </c>
      <c r="S1273" t="str">
        <f>VLOOKUP($O1273,'Mapa Oficinas'!$A$7:$C$46,3,FALSE)</f>
        <v>Puerto Madero</v>
      </c>
    </row>
    <row r="1274" spans="1:19" x14ac:dyDescent="0.2">
      <c r="A1274" s="1">
        <v>45890</v>
      </c>
      <c r="B1274" t="s">
        <v>4874</v>
      </c>
      <c r="D1274" t="s">
        <v>4875</v>
      </c>
      <c r="E1274" t="s">
        <v>16</v>
      </c>
      <c r="F1274" t="s">
        <v>82</v>
      </c>
      <c r="G1274" s="14">
        <v>78000</v>
      </c>
      <c r="H1274" s="14">
        <v>76000</v>
      </c>
      <c r="I1274" t="s">
        <v>22</v>
      </c>
      <c r="J1274" t="s">
        <v>22</v>
      </c>
      <c r="K1274" t="s">
        <v>4876</v>
      </c>
      <c r="L1274" t="s">
        <v>54</v>
      </c>
      <c r="M1274" t="s">
        <v>28</v>
      </c>
      <c r="N1274">
        <v>1</v>
      </c>
      <c r="O1274" t="s">
        <v>55</v>
      </c>
      <c r="P1274" t="s">
        <v>131</v>
      </c>
      <c r="Q1274" t="s">
        <v>30</v>
      </c>
      <c r="R1274" t="str">
        <f>VLOOKUP($O1274,'Mapa Oficinas'!$A$7:$C$46,2,FALSE)</f>
        <v>Interior - Santa Fe</v>
      </c>
      <c r="S1274" t="str">
        <f>VLOOKUP($O1274,'Mapa Oficinas'!$A$7:$C$46,3,FALSE)</f>
        <v>Capital Santa Fe</v>
      </c>
    </row>
    <row r="1275" spans="1:19" x14ac:dyDescent="0.2">
      <c r="A1275" s="1">
        <v>45890</v>
      </c>
      <c r="B1275" t="s">
        <v>4877</v>
      </c>
      <c r="D1275" t="s">
        <v>4878</v>
      </c>
      <c r="E1275" t="s">
        <v>16</v>
      </c>
      <c r="F1275" t="s">
        <v>17</v>
      </c>
      <c r="G1275" s="14">
        <v>95000</v>
      </c>
      <c r="H1275" s="14">
        <v>88000</v>
      </c>
      <c r="I1275" t="s">
        <v>22</v>
      </c>
      <c r="J1275" t="s">
        <v>22</v>
      </c>
      <c r="K1275" t="s">
        <v>4879</v>
      </c>
      <c r="L1275" t="s">
        <v>298</v>
      </c>
      <c r="M1275" t="s">
        <v>19</v>
      </c>
      <c r="N1275">
        <v>1</v>
      </c>
      <c r="O1275" t="s">
        <v>206</v>
      </c>
      <c r="P1275" t="s">
        <v>146</v>
      </c>
      <c r="Q1275" t="s">
        <v>30</v>
      </c>
      <c r="R1275" t="str">
        <f>VLOOKUP($O1275,'Mapa Oficinas'!$A$7:$C$46,2,FALSE)</f>
        <v>CABA</v>
      </c>
      <c r="S1275" t="str">
        <f>VLOOKUP($O1275,'Mapa Oficinas'!$A$7:$C$46,3,FALSE)</f>
        <v>Belgrano</v>
      </c>
    </row>
    <row r="1276" spans="1:19" x14ac:dyDescent="0.2">
      <c r="A1276" s="1">
        <v>45890</v>
      </c>
      <c r="B1276" t="s">
        <v>4861</v>
      </c>
      <c r="D1276" t="s">
        <v>4862</v>
      </c>
      <c r="E1276" t="s">
        <v>16</v>
      </c>
      <c r="F1276" t="s">
        <v>17</v>
      </c>
      <c r="G1276" s="14">
        <v>112900</v>
      </c>
      <c r="H1276" s="14">
        <v>104500</v>
      </c>
      <c r="I1276" t="s">
        <v>22</v>
      </c>
      <c r="J1276" t="s">
        <v>22</v>
      </c>
      <c r="K1276" t="s">
        <v>4863</v>
      </c>
      <c r="L1276" t="s">
        <v>200</v>
      </c>
      <c r="M1276" t="s">
        <v>72</v>
      </c>
      <c r="N1276">
        <v>2</v>
      </c>
      <c r="O1276" t="s">
        <v>35</v>
      </c>
      <c r="P1276" t="s">
        <v>21</v>
      </c>
      <c r="Q1276" t="s">
        <v>30</v>
      </c>
      <c r="R1276" t="str">
        <f>VLOOKUP($O1276,'Mapa Oficinas'!$A$7:$C$46,2,FALSE)</f>
        <v>Zona Norte (GBA)</v>
      </c>
      <c r="S1276" t="str">
        <f>VLOOKUP($O1276,'Mapa Oficinas'!$A$7:$C$46,3,FALSE)</f>
        <v>Vicente López</v>
      </c>
    </row>
    <row r="1277" spans="1:19" x14ac:dyDescent="0.2">
      <c r="A1277" s="1">
        <v>45890</v>
      </c>
      <c r="B1277" t="s">
        <v>4858</v>
      </c>
      <c r="D1277" t="s">
        <v>4859</v>
      </c>
      <c r="E1277" t="s">
        <v>16</v>
      </c>
      <c r="F1277" t="s">
        <v>17</v>
      </c>
      <c r="G1277" s="14">
        <v>135000</v>
      </c>
      <c r="H1277" s="14">
        <v>127000</v>
      </c>
      <c r="I1277" t="s">
        <v>22</v>
      </c>
      <c r="J1277" t="s">
        <v>22</v>
      </c>
      <c r="K1277" t="s">
        <v>4860</v>
      </c>
      <c r="L1277" t="s">
        <v>79</v>
      </c>
      <c r="M1277" t="s">
        <v>19</v>
      </c>
      <c r="N1277">
        <v>2</v>
      </c>
      <c r="O1277" t="s">
        <v>73</v>
      </c>
      <c r="P1277" t="s">
        <v>21</v>
      </c>
      <c r="Q1277" t="s">
        <v>30</v>
      </c>
      <c r="R1277" t="str">
        <f>VLOOKUP($O1277,'Mapa Oficinas'!$A$7:$C$46,2,FALSE)</f>
        <v>CABA</v>
      </c>
      <c r="S1277" t="str">
        <f>VLOOKUP($O1277,'Mapa Oficinas'!$A$7:$C$46,3,FALSE)</f>
        <v>Recoleta</v>
      </c>
    </row>
    <row r="1278" spans="1:19" x14ac:dyDescent="0.2">
      <c r="A1278" s="1">
        <v>45890</v>
      </c>
      <c r="B1278" t="s">
        <v>4864</v>
      </c>
      <c r="D1278" t="s">
        <v>4865</v>
      </c>
      <c r="E1278" t="s">
        <v>16</v>
      </c>
      <c r="F1278" t="s">
        <v>17</v>
      </c>
      <c r="G1278" s="14">
        <v>225000</v>
      </c>
      <c r="H1278" s="14">
        <v>220000</v>
      </c>
      <c r="I1278" t="s">
        <v>22</v>
      </c>
      <c r="J1278" t="s">
        <v>22</v>
      </c>
      <c r="K1278" t="s">
        <v>4865</v>
      </c>
      <c r="L1278" t="s">
        <v>170</v>
      </c>
      <c r="N1278">
        <v>1</v>
      </c>
      <c r="O1278" t="s">
        <v>171</v>
      </c>
      <c r="P1278" t="s">
        <v>146</v>
      </c>
      <c r="Q1278" t="s">
        <v>30</v>
      </c>
      <c r="R1278" t="str">
        <f>VLOOKUP($O1278,'Mapa Oficinas'!$A$7:$C$46,2,FALSE)</f>
        <v>Zona Sur (GBA)</v>
      </c>
      <c r="S1278" t="str">
        <f>VLOOKUP($O1278,'Mapa Oficinas'!$A$7:$C$46,3,FALSE)</f>
        <v>La Plata</v>
      </c>
    </row>
    <row r="1279" spans="1:19" x14ac:dyDescent="0.2">
      <c r="A1279" s="1">
        <v>45890</v>
      </c>
      <c r="B1279" t="s">
        <v>4870</v>
      </c>
      <c r="D1279" t="s">
        <v>4871</v>
      </c>
      <c r="E1279" t="s">
        <v>16</v>
      </c>
      <c r="F1279" t="s">
        <v>17</v>
      </c>
      <c r="G1279" s="14">
        <v>280000</v>
      </c>
      <c r="H1279" s="14">
        <v>250000</v>
      </c>
      <c r="I1279" t="s">
        <v>22</v>
      </c>
      <c r="J1279" t="s">
        <v>22</v>
      </c>
      <c r="K1279" t="s">
        <v>4872</v>
      </c>
      <c r="L1279" t="s">
        <v>4873</v>
      </c>
      <c r="M1279" t="s">
        <v>28</v>
      </c>
      <c r="N1279">
        <v>2</v>
      </c>
      <c r="O1279" t="s">
        <v>151</v>
      </c>
      <c r="P1279" t="s">
        <v>21</v>
      </c>
      <c r="Q1279" t="s">
        <v>30</v>
      </c>
      <c r="R1279" t="str">
        <f>VLOOKUP($O1279,'Mapa Oficinas'!$A$7:$C$46,2,FALSE)</f>
        <v>Interior - Neuquén</v>
      </c>
      <c r="S1279" t="str">
        <f>VLOOKUP($O1279,'Mapa Oficinas'!$A$7:$C$46,3,FALSE)</f>
        <v>Capital Neuquén</v>
      </c>
    </row>
    <row r="1280" spans="1:19" x14ac:dyDescent="0.2">
      <c r="A1280" s="1">
        <v>45890</v>
      </c>
      <c r="B1280" t="s">
        <v>4855</v>
      </c>
      <c r="D1280" t="s">
        <v>4856</v>
      </c>
      <c r="E1280" t="s">
        <v>16</v>
      </c>
      <c r="F1280" t="s">
        <v>17</v>
      </c>
      <c r="G1280" s="14">
        <v>450000</v>
      </c>
      <c r="H1280" s="14">
        <v>380000</v>
      </c>
      <c r="I1280" t="s">
        <v>22</v>
      </c>
      <c r="J1280" t="s">
        <v>22</v>
      </c>
      <c r="K1280" t="s">
        <v>4857</v>
      </c>
      <c r="L1280" t="s">
        <v>111</v>
      </c>
      <c r="M1280" t="s">
        <v>28</v>
      </c>
      <c r="N1280">
        <v>2</v>
      </c>
      <c r="O1280" t="s">
        <v>206</v>
      </c>
      <c r="P1280" t="s">
        <v>21</v>
      </c>
      <c r="Q1280" t="s">
        <v>30</v>
      </c>
      <c r="R1280" t="str">
        <f>VLOOKUP($O1280,'Mapa Oficinas'!$A$7:$C$46,2,FALSE)</f>
        <v>CABA</v>
      </c>
      <c r="S1280" t="str">
        <f>VLOOKUP($O1280,'Mapa Oficinas'!$A$7:$C$46,3,FALSE)</f>
        <v>Belgrano</v>
      </c>
    </row>
    <row r="1281" spans="1:19" x14ac:dyDescent="0.2">
      <c r="A1281" s="1">
        <v>45890</v>
      </c>
      <c r="B1281" t="s">
        <v>4866</v>
      </c>
      <c r="D1281" t="s">
        <v>4867</v>
      </c>
      <c r="E1281" t="s">
        <v>16</v>
      </c>
      <c r="F1281" t="s">
        <v>644</v>
      </c>
      <c r="G1281" s="14">
        <v>620000</v>
      </c>
      <c r="H1281" s="14">
        <v>620000</v>
      </c>
      <c r="I1281" t="s">
        <v>22</v>
      </c>
      <c r="J1281" t="s">
        <v>22</v>
      </c>
      <c r="K1281" t="s">
        <v>4868</v>
      </c>
      <c r="L1281" t="s">
        <v>909</v>
      </c>
      <c r="M1281" t="s">
        <v>97</v>
      </c>
      <c r="N1281">
        <v>1</v>
      </c>
      <c r="O1281" t="s">
        <v>246</v>
      </c>
      <c r="P1281" t="s">
        <v>66</v>
      </c>
      <c r="Q1281" t="s">
        <v>30</v>
      </c>
      <c r="R1281" t="str">
        <f>VLOOKUP($O1281,'Mapa Oficinas'!$A$7:$C$46,2,FALSE)</f>
        <v>Interior - Salta</v>
      </c>
      <c r="S1281" t="str">
        <f>VLOOKUP($O1281,'Mapa Oficinas'!$A$7:$C$46,3,FALSE)</f>
        <v>San Lorenzo Chico</v>
      </c>
    </row>
    <row r="1282" spans="1:19" x14ac:dyDescent="0.2">
      <c r="A1282" s="1">
        <v>45891</v>
      </c>
      <c r="B1282" t="s">
        <v>4852</v>
      </c>
      <c r="D1282" t="s">
        <v>4853</v>
      </c>
      <c r="E1282" t="s">
        <v>16</v>
      </c>
      <c r="F1282" t="s">
        <v>38</v>
      </c>
      <c r="G1282" s="14">
        <v>65000</v>
      </c>
      <c r="H1282" s="14">
        <v>65000</v>
      </c>
      <c r="I1282" t="s">
        <v>22</v>
      </c>
      <c r="J1282" t="s">
        <v>22</v>
      </c>
      <c r="K1282" t="s">
        <v>4854</v>
      </c>
      <c r="L1282" t="s">
        <v>124</v>
      </c>
      <c r="M1282" t="s">
        <v>19</v>
      </c>
      <c r="N1282">
        <v>1</v>
      </c>
      <c r="O1282" t="s">
        <v>55</v>
      </c>
      <c r="P1282" t="s">
        <v>66</v>
      </c>
      <c r="Q1282" t="s">
        <v>30</v>
      </c>
      <c r="R1282" t="str">
        <f>VLOOKUP($O1282,'Mapa Oficinas'!$A$7:$C$46,2,FALSE)</f>
        <v>Interior - Santa Fe</v>
      </c>
      <c r="S1282" t="str">
        <f>VLOOKUP($O1282,'Mapa Oficinas'!$A$7:$C$46,3,FALSE)</f>
        <v>Capital Santa Fe</v>
      </c>
    </row>
    <row r="1283" spans="1:19" x14ac:dyDescent="0.2">
      <c r="A1283" s="1">
        <v>45891</v>
      </c>
      <c r="B1283" t="s">
        <v>4827</v>
      </c>
      <c r="D1283" t="s">
        <v>4828</v>
      </c>
      <c r="E1283" t="s">
        <v>16</v>
      </c>
      <c r="F1283" t="s">
        <v>17</v>
      </c>
      <c r="G1283" s="14">
        <v>74900</v>
      </c>
      <c r="H1283" s="14">
        <v>72000</v>
      </c>
      <c r="I1283" t="s">
        <v>22</v>
      </c>
      <c r="J1283" t="s">
        <v>22</v>
      </c>
      <c r="K1283" t="s">
        <v>4829</v>
      </c>
      <c r="L1283" t="s">
        <v>205</v>
      </c>
      <c r="M1283" t="s">
        <v>19</v>
      </c>
      <c r="N1283">
        <v>2</v>
      </c>
      <c r="O1283" t="s">
        <v>201</v>
      </c>
      <c r="P1283" t="s">
        <v>21</v>
      </c>
      <c r="Q1283" t="s">
        <v>30</v>
      </c>
      <c r="R1283" t="str">
        <f>VLOOKUP($O1283,'Mapa Oficinas'!$A$7:$C$46,2,FALSE)</f>
        <v>CABA</v>
      </c>
      <c r="S1283" t="str">
        <f>VLOOKUP($O1283,'Mapa Oficinas'!$A$7:$C$46,3,FALSE)</f>
        <v>Recoleta</v>
      </c>
    </row>
    <row r="1284" spans="1:19" x14ac:dyDescent="0.2">
      <c r="A1284" s="1">
        <v>45891</v>
      </c>
      <c r="B1284" t="s">
        <v>4839</v>
      </c>
      <c r="D1284" t="s">
        <v>4840</v>
      </c>
      <c r="E1284" t="s">
        <v>16</v>
      </c>
      <c r="F1284" t="s">
        <v>82</v>
      </c>
      <c r="G1284" s="14">
        <v>89000</v>
      </c>
      <c r="H1284" s="14">
        <v>88000</v>
      </c>
      <c r="I1284" t="s">
        <v>22</v>
      </c>
      <c r="J1284" t="s">
        <v>22</v>
      </c>
      <c r="K1284" t="s">
        <v>4841</v>
      </c>
      <c r="L1284" t="s">
        <v>1285</v>
      </c>
      <c r="M1284" t="s">
        <v>28</v>
      </c>
      <c r="N1284">
        <v>1</v>
      </c>
      <c r="O1284" t="s">
        <v>55</v>
      </c>
      <c r="P1284" t="s">
        <v>66</v>
      </c>
      <c r="Q1284" t="s">
        <v>30</v>
      </c>
      <c r="R1284" t="str">
        <f>VLOOKUP($O1284,'Mapa Oficinas'!$A$7:$C$46,2,FALSE)</f>
        <v>Interior - Santa Fe</v>
      </c>
      <c r="S1284" t="str">
        <f>VLOOKUP($O1284,'Mapa Oficinas'!$A$7:$C$46,3,FALSE)</f>
        <v>Capital Santa Fe</v>
      </c>
    </row>
    <row r="1285" spans="1:19" x14ac:dyDescent="0.2">
      <c r="A1285" s="1">
        <v>45891</v>
      </c>
      <c r="B1285" t="s">
        <v>4845</v>
      </c>
      <c r="D1285" t="s">
        <v>4846</v>
      </c>
      <c r="E1285" t="s">
        <v>16</v>
      </c>
      <c r="F1285" t="s">
        <v>17</v>
      </c>
      <c r="G1285" s="14">
        <v>169000</v>
      </c>
      <c r="H1285" s="14">
        <v>165000</v>
      </c>
      <c r="I1285" t="s">
        <v>22</v>
      </c>
      <c r="J1285" t="s">
        <v>22</v>
      </c>
      <c r="K1285" t="s">
        <v>4847</v>
      </c>
      <c r="L1285" t="s">
        <v>318</v>
      </c>
      <c r="M1285" t="s">
        <v>19</v>
      </c>
      <c r="N1285">
        <v>2</v>
      </c>
      <c r="O1285" t="s">
        <v>103</v>
      </c>
      <c r="P1285" t="s">
        <v>276</v>
      </c>
      <c r="Q1285" t="s">
        <v>30</v>
      </c>
      <c r="R1285" t="str">
        <f>VLOOKUP($O1285,'Mapa Oficinas'!$A$7:$C$46,2,FALSE)</f>
        <v>CABA</v>
      </c>
      <c r="S1285" t="str">
        <f>VLOOKUP($O1285,'Mapa Oficinas'!$A$7:$C$46,3,FALSE)</f>
        <v>Barrio Parque</v>
      </c>
    </row>
    <row r="1286" spans="1:19" x14ac:dyDescent="0.2">
      <c r="A1286" s="1">
        <v>45891</v>
      </c>
      <c r="B1286" t="s">
        <v>4842</v>
      </c>
      <c r="D1286" t="s">
        <v>4843</v>
      </c>
      <c r="E1286" t="s">
        <v>16</v>
      </c>
      <c r="F1286" t="s">
        <v>17</v>
      </c>
      <c r="G1286" s="14">
        <v>215000</v>
      </c>
      <c r="H1286" s="14">
        <v>205000</v>
      </c>
      <c r="I1286" t="s">
        <v>22</v>
      </c>
      <c r="J1286" t="s">
        <v>22</v>
      </c>
      <c r="K1286" t="s">
        <v>4844</v>
      </c>
      <c r="L1286" t="s">
        <v>330</v>
      </c>
      <c r="M1286" t="s">
        <v>19</v>
      </c>
      <c r="N1286">
        <v>2</v>
      </c>
      <c r="O1286" t="s">
        <v>103</v>
      </c>
      <c r="P1286" t="s">
        <v>276</v>
      </c>
      <c r="Q1286" t="s">
        <v>30</v>
      </c>
      <c r="R1286" t="str">
        <f>VLOOKUP($O1286,'Mapa Oficinas'!$A$7:$C$46,2,FALSE)</f>
        <v>CABA</v>
      </c>
      <c r="S1286" t="str">
        <f>VLOOKUP($O1286,'Mapa Oficinas'!$A$7:$C$46,3,FALSE)</f>
        <v>Barrio Parque</v>
      </c>
    </row>
    <row r="1287" spans="1:19" x14ac:dyDescent="0.2">
      <c r="A1287" s="1">
        <v>45891</v>
      </c>
      <c r="B1287" t="s">
        <v>4848</v>
      </c>
      <c r="D1287" t="s">
        <v>4849</v>
      </c>
      <c r="E1287" t="s">
        <v>16</v>
      </c>
      <c r="F1287" t="s">
        <v>134</v>
      </c>
      <c r="G1287" s="14">
        <v>340000</v>
      </c>
      <c r="H1287" s="14">
        <v>310000</v>
      </c>
      <c r="I1287" t="s">
        <v>22</v>
      </c>
      <c r="J1287" t="s">
        <v>22</v>
      </c>
      <c r="K1287" t="s">
        <v>4850</v>
      </c>
      <c r="L1287" t="s">
        <v>4851</v>
      </c>
      <c r="M1287" t="s">
        <v>97</v>
      </c>
      <c r="N1287">
        <v>2</v>
      </c>
      <c r="O1287" t="s">
        <v>98</v>
      </c>
      <c r="P1287" t="s">
        <v>41</v>
      </c>
      <c r="Q1287" t="s">
        <v>30</v>
      </c>
      <c r="R1287" t="str">
        <f>VLOOKUP($O1287,'Mapa Oficinas'!$A$7:$C$46,2,FALSE)</f>
        <v>Interior - Neuquén</v>
      </c>
      <c r="S1287" t="str">
        <f>VLOOKUP($O1287,'Mapa Oficinas'!$A$7:$C$46,3,FALSE)</f>
        <v>Villa La Angostura</v>
      </c>
    </row>
    <row r="1288" spans="1:19" x14ac:dyDescent="0.2">
      <c r="A1288" s="1">
        <v>45891</v>
      </c>
      <c r="B1288" t="s">
        <v>4830</v>
      </c>
      <c r="D1288" t="s">
        <v>4831</v>
      </c>
      <c r="E1288" t="s">
        <v>16</v>
      </c>
      <c r="F1288" t="s">
        <v>17</v>
      </c>
      <c r="G1288" s="14">
        <v>120000</v>
      </c>
      <c r="H1288" s="14">
        <v>460000</v>
      </c>
      <c r="I1288" t="s">
        <v>22</v>
      </c>
      <c r="J1288" t="s">
        <v>22</v>
      </c>
      <c r="K1288" t="s">
        <v>4832</v>
      </c>
      <c r="L1288" t="s">
        <v>191</v>
      </c>
      <c r="M1288" t="s">
        <v>19</v>
      </c>
      <c r="N1288">
        <v>1</v>
      </c>
      <c r="O1288" t="s">
        <v>142</v>
      </c>
      <c r="P1288" t="s">
        <v>146</v>
      </c>
      <c r="Q1288" t="s">
        <v>30</v>
      </c>
      <c r="R1288" t="str">
        <f>VLOOKUP($O1288,'Mapa Oficinas'!$A$7:$C$46,2,FALSE)</f>
        <v>Zona Norte (GBA)</v>
      </c>
      <c r="S1288" t="str">
        <f>VLOOKUP($O1288,'Mapa Oficinas'!$A$7:$C$46,3,FALSE)</f>
        <v>Nordelta</v>
      </c>
    </row>
    <row r="1289" spans="1:19" x14ac:dyDescent="0.2">
      <c r="A1289" s="1">
        <v>45894</v>
      </c>
      <c r="B1289" t="s">
        <v>4805</v>
      </c>
      <c r="D1289" t="s">
        <v>4806</v>
      </c>
      <c r="E1289" t="s">
        <v>16</v>
      </c>
      <c r="F1289" t="s">
        <v>17</v>
      </c>
      <c r="G1289" s="14">
        <v>65000</v>
      </c>
      <c r="H1289" s="14">
        <v>65000</v>
      </c>
      <c r="I1289" t="s">
        <v>22</v>
      </c>
      <c r="J1289" t="s">
        <v>22</v>
      </c>
      <c r="K1289" t="s">
        <v>4807</v>
      </c>
      <c r="L1289" t="s">
        <v>560</v>
      </c>
      <c r="M1289" t="s">
        <v>72</v>
      </c>
      <c r="N1289">
        <v>1</v>
      </c>
      <c r="O1289" t="s">
        <v>227</v>
      </c>
      <c r="P1289" t="s">
        <v>146</v>
      </c>
      <c r="Q1289" t="s">
        <v>30</v>
      </c>
      <c r="R1289" t="str">
        <f>VLOOKUP($O1289,'Mapa Oficinas'!$A$7:$C$46,2,FALSE)</f>
        <v>Zona Oeste (GBA)</v>
      </c>
      <c r="S1289" t="str">
        <f>VLOOKUP($O1289,'Mapa Oficinas'!$A$7:$C$46,3,FALSE)</f>
        <v>Parque Leloir</v>
      </c>
    </row>
    <row r="1290" spans="1:19" x14ac:dyDescent="0.2">
      <c r="A1290" s="1">
        <v>45894</v>
      </c>
      <c r="B1290" t="s">
        <v>4814</v>
      </c>
      <c r="D1290" t="s">
        <v>4815</v>
      </c>
      <c r="E1290" t="s">
        <v>16</v>
      </c>
      <c r="F1290" t="s">
        <v>17</v>
      </c>
      <c r="G1290" s="14">
        <v>84000</v>
      </c>
      <c r="H1290" s="14">
        <v>83000</v>
      </c>
      <c r="I1290" t="s">
        <v>22</v>
      </c>
      <c r="J1290" t="s">
        <v>22</v>
      </c>
      <c r="K1290" t="s">
        <v>4816</v>
      </c>
      <c r="L1290" t="s">
        <v>503</v>
      </c>
      <c r="M1290" t="s">
        <v>19</v>
      </c>
      <c r="N1290">
        <v>2</v>
      </c>
      <c r="O1290" t="s">
        <v>73</v>
      </c>
      <c r="P1290" t="s">
        <v>21</v>
      </c>
      <c r="Q1290" t="s">
        <v>30</v>
      </c>
      <c r="R1290" t="str">
        <f>VLOOKUP($O1290,'Mapa Oficinas'!$A$7:$C$46,2,FALSE)</f>
        <v>CABA</v>
      </c>
      <c r="S1290" t="str">
        <f>VLOOKUP($O1290,'Mapa Oficinas'!$A$7:$C$46,3,FALSE)</f>
        <v>Recoleta</v>
      </c>
    </row>
    <row r="1291" spans="1:19" x14ac:dyDescent="0.2">
      <c r="A1291" s="1">
        <v>45894</v>
      </c>
      <c r="B1291" t="s">
        <v>4790</v>
      </c>
      <c r="D1291" t="s">
        <v>4791</v>
      </c>
      <c r="E1291" t="s">
        <v>16</v>
      </c>
      <c r="F1291" t="s">
        <v>82</v>
      </c>
      <c r="G1291" s="14">
        <v>100000</v>
      </c>
      <c r="H1291" s="14">
        <v>93000</v>
      </c>
      <c r="I1291" t="s">
        <v>22</v>
      </c>
      <c r="J1291" t="s">
        <v>22</v>
      </c>
      <c r="K1291" t="s">
        <v>4792</v>
      </c>
      <c r="L1291" t="s">
        <v>54</v>
      </c>
      <c r="M1291" t="s">
        <v>28</v>
      </c>
      <c r="N1291">
        <v>1</v>
      </c>
      <c r="O1291" t="s">
        <v>55</v>
      </c>
      <c r="P1291" t="s">
        <v>131</v>
      </c>
      <c r="Q1291" t="s">
        <v>30</v>
      </c>
      <c r="R1291" t="str">
        <f>VLOOKUP($O1291,'Mapa Oficinas'!$A$7:$C$46,2,FALSE)</f>
        <v>Interior - Santa Fe</v>
      </c>
      <c r="S1291" t="str">
        <f>VLOOKUP($O1291,'Mapa Oficinas'!$A$7:$C$46,3,FALSE)</f>
        <v>Capital Santa Fe</v>
      </c>
    </row>
    <row r="1292" spans="1:19" x14ac:dyDescent="0.2">
      <c r="A1292" s="1">
        <v>45894</v>
      </c>
      <c r="B1292" t="s">
        <v>4821</v>
      </c>
      <c r="D1292" t="s">
        <v>4822</v>
      </c>
      <c r="E1292" t="s">
        <v>16</v>
      </c>
      <c r="F1292" t="s">
        <v>47</v>
      </c>
      <c r="G1292" s="14">
        <v>119900</v>
      </c>
      <c r="H1292" s="14">
        <v>110000</v>
      </c>
      <c r="I1292" t="s">
        <v>22</v>
      </c>
      <c r="J1292" t="s">
        <v>22</v>
      </c>
      <c r="K1292" t="s">
        <v>4823</v>
      </c>
      <c r="L1292" t="s">
        <v>191</v>
      </c>
      <c r="M1292" t="s">
        <v>19</v>
      </c>
      <c r="N1292">
        <v>2</v>
      </c>
      <c r="O1292" t="s">
        <v>142</v>
      </c>
      <c r="P1292" t="s">
        <v>21</v>
      </c>
      <c r="Q1292" t="s">
        <v>30</v>
      </c>
      <c r="R1292" t="str">
        <f>VLOOKUP($O1292,'Mapa Oficinas'!$A$7:$C$46,2,FALSE)</f>
        <v>Zona Norte (GBA)</v>
      </c>
      <c r="S1292" t="str">
        <f>VLOOKUP($O1292,'Mapa Oficinas'!$A$7:$C$46,3,FALSE)</f>
        <v>Nordelta</v>
      </c>
    </row>
    <row r="1293" spans="1:19" x14ac:dyDescent="0.2">
      <c r="A1293" s="1">
        <v>45894</v>
      </c>
      <c r="B1293">
        <v>12</v>
      </c>
      <c r="D1293" t="s">
        <v>4811</v>
      </c>
      <c r="E1293" t="s">
        <v>16</v>
      </c>
      <c r="F1293" t="s">
        <v>47</v>
      </c>
      <c r="G1293" s="14">
        <v>132000</v>
      </c>
      <c r="H1293" s="14">
        <v>132000</v>
      </c>
      <c r="I1293" t="s">
        <v>22</v>
      </c>
      <c r="J1293" t="s">
        <v>22</v>
      </c>
      <c r="K1293" t="s">
        <v>4812</v>
      </c>
      <c r="L1293" t="s">
        <v>4813</v>
      </c>
      <c r="M1293" t="s">
        <v>28</v>
      </c>
      <c r="N1293">
        <v>1</v>
      </c>
      <c r="O1293" t="s">
        <v>198</v>
      </c>
      <c r="P1293" t="s">
        <v>146</v>
      </c>
      <c r="Q1293" t="s">
        <v>30</v>
      </c>
      <c r="R1293" t="str">
        <f>VLOOKUP($O1293,'Mapa Oficinas'!$A$7:$C$46,2,FALSE)</f>
        <v>CABA</v>
      </c>
      <c r="S1293" t="str">
        <f>VLOOKUP($O1293,'Mapa Oficinas'!$A$7:$C$46,3,FALSE)</f>
        <v>Caballito</v>
      </c>
    </row>
    <row r="1294" spans="1:19" x14ac:dyDescent="0.2">
      <c r="A1294" s="1">
        <v>45894</v>
      </c>
      <c r="B1294" t="s">
        <v>4808</v>
      </c>
      <c r="D1294" t="s">
        <v>4809</v>
      </c>
      <c r="E1294" t="s">
        <v>16</v>
      </c>
      <c r="F1294" t="s">
        <v>17</v>
      </c>
      <c r="G1294" s="14">
        <v>157000</v>
      </c>
      <c r="H1294" s="14">
        <v>152000</v>
      </c>
      <c r="I1294" t="s">
        <v>22</v>
      </c>
      <c r="J1294" t="s">
        <v>22</v>
      </c>
      <c r="K1294" t="s">
        <v>4810</v>
      </c>
      <c r="L1294" t="s">
        <v>2016</v>
      </c>
      <c r="M1294" t="s">
        <v>28</v>
      </c>
      <c r="N1294">
        <v>2</v>
      </c>
      <c r="O1294" t="s">
        <v>198</v>
      </c>
      <c r="P1294" t="s">
        <v>21</v>
      </c>
      <c r="Q1294" t="s">
        <v>30</v>
      </c>
      <c r="R1294" t="str">
        <f>VLOOKUP($O1294,'Mapa Oficinas'!$A$7:$C$46,2,FALSE)</f>
        <v>CABA</v>
      </c>
      <c r="S1294" t="str">
        <f>VLOOKUP($O1294,'Mapa Oficinas'!$A$7:$C$46,3,FALSE)</f>
        <v>Caballito</v>
      </c>
    </row>
    <row r="1295" spans="1:19" x14ac:dyDescent="0.2">
      <c r="A1295" s="1">
        <v>45894</v>
      </c>
      <c r="B1295" t="s">
        <v>3382</v>
      </c>
      <c r="D1295" t="s">
        <v>3382</v>
      </c>
      <c r="E1295" t="s">
        <v>16</v>
      </c>
      <c r="F1295" t="s">
        <v>17</v>
      </c>
      <c r="G1295" s="14">
        <v>165000</v>
      </c>
      <c r="H1295" s="14">
        <v>165000</v>
      </c>
      <c r="I1295" t="s">
        <v>22</v>
      </c>
      <c r="J1295" t="s">
        <v>22</v>
      </c>
      <c r="K1295" t="s">
        <v>3382</v>
      </c>
      <c r="L1295" t="s">
        <v>282</v>
      </c>
      <c r="M1295" t="s">
        <v>19</v>
      </c>
      <c r="N1295">
        <v>1</v>
      </c>
      <c r="O1295" t="s">
        <v>35</v>
      </c>
      <c r="P1295" t="s">
        <v>131</v>
      </c>
      <c r="Q1295" t="s">
        <v>30</v>
      </c>
      <c r="R1295" t="str">
        <f>VLOOKUP($O1295,'Mapa Oficinas'!$A$7:$C$46,2,FALSE)</f>
        <v>Zona Norte (GBA)</v>
      </c>
      <c r="S1295" t="str">
        <f>VLOOKUP($O1295,'Mapa Oficinas'!$A$7:$C$46,3,FALSE)</f>
        <v>Vicente López</v>
      </c>
    </row>
    <row r="1296" spans="1:19" x14ac:dyDescent="0.2">
      <c r="A1296" s="1">
        <v>45894</v>
      </c>
      <c r="B1296" t="s">
        <v>4793</v>
      </c>
      <c r="D1296" t="s">
        <v>4794</v>
      </c>
      <c r="E1296" t="s">
        <v>16</v>
      </c>
      <c r="F1296" t="s">
        <v>17</v>
      </c>
      <c r="G1296" s="14">
        <v>170000</v>
      </c>
      <c r="H1296" s="14">
        <v>170000</v>
      </c>
      <c r="I1296" t="s">
        <v>22</v>
      </c>
      <c r="J1296" t="s">
        <v>22</v>
      </c>
      <c r="K1296" t="s">
        <v>4795</v>
      </c>
      <c r="L1296" t="s">
        <v>4796</v>
      </c>
      <c r="M1296" t="s">
        <v>28</v>
      </c>
      <c r="N1296">
        <v>2</v>
      </c>
      <c r="O1296" t="s">
        <v>142</v>
      </c>
      <c r="P1296" t="s">
        <v>276</v>
      </c>
      <c r="Q1296" t="s">
        <v>30</v>
      </c>
      <c r="R1296" t="str">
        <f>VLOOKUP($O1296,'Mapa Oficinas'!$A$7:$C$46,2,FALSE)</f>
        <v>Zona Norte (GBA)</v>
      </c>
      <c r="S1296" t="str">
        <f>VLOOKUP($O1296,'Mapa Oficinas'!$A$7:$C$46,3,FALSE)</f>
        <v>Nordelta</v>
      </c>
    </row>
    <row r="1297" spans="1:19" x14ac:dyDescent="0.2">
      <c r="A1297" s="1">
        <v>45894</v>
      </c>
      <c r="D1297" t="s">
        <v>4803</v>
      </c>
      <c r="E1297" t="s">
        <v>16</v>
      </c>
      <c r="F1297" t="s">
        <v>17</v>
      </c>
      <c r="G1297" s="14">
        <v>182000</v>
      </c>
      <c r="H1297" s="14">
        <v>182000</v>
      </c>
      <c r="I1297" t="s">
        <v>22</v>
      </c>
      <c r="J1297" t="s">
        <v>22</v>
      </c>
      <c r="K1297" t="s">
        <v>4804</v>
      </c>
      <c r="L1297" t="s">
        <v>277</v>
      </c>
      <c r="M1297" t="s">
        <v>19</v>
      </c>
      <c r="N1297">
        <v>1</v>
      </c>
      <c r="O1297" t="s">
        <v>201</v>
      </c>
      <c r="P1297" t="s">
        <v>146</v>
      </c>
      <c r="Q1297" t="s">
        <v>30</v>
      </c>
      <c r="R1297" t="str">
        <f>VLOOKUP($O1297,'Mapa Oficinas'!$A$7:$C$46,2,FALSE)</f>
        <v>CABA</v>
      </c>
      <c r="S1297" t="str">
        <f>VLOOKUP($O1297,'Mapa Oficinas'!$A$7:$C$46,3,FALSE)</f>
        <v>Recoleta</v>
      </c>
    </row>
    <row r="1298" spans="1:19" x14ac:dyDescent="0.2">
      <c r="A1298" s="1">
        <v>45894</v>
      </c>
      <c r="B1298" t="s">
        <v>4797</v>
      </c>
      <c r="D1298" t="s">
        <v>4798</v>
      </c>
      <c r="E1298" t="s">
        <v>16</v>
      </c>
      <c r="F1298" t="s">
        <v>17</v>
      </c>
      <c r="G1298" s="14">
        <v>199000</v>
      </c>
      <c r="H1298" s="14">
        <v>189000</v>
      </c>
      <c r="I1298" t="s">
        <v>22</v>
      </c>
      <c r="J1298" t="s">
        <v>22</v>
      </c>
      <c r="K1298" t="s">
        <v>4799</v>
      </c>
      <c r="L1298" t="s">
        <v>4622</v>
      </c>
      <c r="M1298" t="s">
        <v>19</v>
      </c>
      <c r="N1298">
        <v>2</v>
      </c>
      <c r="O1298" t="s">
        <v>201</v>
      </c>
      <c r="P1298" t="s">
        <v>21</v>
      </c>
      <c r="Q1298" t="s">
        <v>30</v>
      </c>
      <c r="R1298" t="str">
        <f>VLOOKUP($O1298,'Mapa Oficinas'!$A$7:$C$46,2,FALSE)</f>
        <v>CABA</v>
      </c>
      <c r="S1298" t="str">
        <f>VLOOKUP($O1298,'Mapa Oficinas'!$A$7:$C$46,3,FALSE)</f>
        <v>Recoleta</v>
      </c>
    </row>
    <row r="1299" spans="1:19" x14ac:dyDescent="0.2">
      <c r="A1299" s="1">
        <v>45894</v>
      </c>
      <c r="B1299" t="s">
        <v>4800</v>
      </c>
      <c r="D1299" t="s">
        <v>4801</v>
      </c>
      <c r="E1299" t="s">
        <v>16</v>
      </c>
      <c r="F1299" t="s">
        <v>58</v>
      </c>
      <c r="G1299" s="14">
        <v>224500</v>
      </c>
      <c r="H1299" s="14">
        <v>190000</v>
      </c>
      <c r="I1299" t="s">
        <v>22</v>
      </c>
      <c r="J1299" t="s">
        <v>22</v>
      </c>
      <c r="K1299" t="s">
        <v>4802</v>
      </c>
      <c r="L1299" t="s">
        <v>569</v>
      </c>
      <c r="M1299" t="s">
        <v>72</v>
      </c>
      <c r="N1299">
        <v>2</v>
      </c>
      <c r="O1299" t="s">
        <v>50</v>
      </c>
      <c r="P1299" t="s">
        <v>21</v>
      </c>
      <c r="Q1299" t="s">
        <v>30</v>
      </c>
      <c r="R1299" t="str">
        <f>VLOOKUP($O1299,'Mapa Oficinas'!$A$7:$C$46,2,FALSE)</f>
        <v>CABA</v>
      </c>
      <c r="S1299" t="str">
        <f>VLOOKUP($O1299,'Mapa Oficinas'!$A$7:$C$46,3,FALSE)</f>
        <v>Villa Urquiza</v>
      </c>
    </row>
    <row r="1300" spans="1:19" x14ac:dyDescent="0.2">
      <c r="A1300" s="1">
        <v>45894</v>
      </c>
      <c r="B1300" t="s">
        <v>4824</v>
      </c>
      <c r="D1300" t="s">
        <v>4825</v>
      </c>
      <c r="E1300" t="s">
        <v>16</v>
      </c>
      <c r="F1300" t="s">
        <v>17</v>
      </c>
      <c r="G1300" s="14">
        <v>158999</v>
      </c>
      <c r="H1300" s="14">
        <v>195000</v>
      </c>
      <c r="I1300" t="s">
        <v>22</v>
      </c>
      <c r="J1300" t="s">
        <v>22</v>
      </c>
      <c r="K1300" t="s">
        <v>4826</v>
      </c>
      <c r="L1300" t="s">
        <v>282</v>
      </c>
      <c r="M1300" t="s">
        <v>19</v>
      </c>
      <c r="N1300">
        <v>1</v>
      </c>
      <c r="O1300" t="s">
        <v>142</v>
      </c>
      <c r="P1300" t="s">
        <v>146</v>
      </c>
      <c r="Q1300" t="s">
        <v>30</v>
      </c>
      <c r="R1300" t="str">
        <f>VLOOKUP($O1300,'Mapa Oficinas'!$A$7:$C$46,2,FALSE)</f>
        <v>Zona Norte (GBA)</v>
      </c>
      <c r="S1300" t="str">
        <f>VLOOKUP($O1300,'Mapa Oficinas'!$A$7:$C$46,3,FALSE)</f>
        <v>Nordelta</v>
      </c>
    </row>
    <row r="1301" spans="1:19" x14ac:dyDescent="0.2">
      <c r="A1301" s="1">
        <v>45895</v>
      </c>
      <c r="B1301" t="s">
        <v>4768</v>
      </c>
      <c r="D1301" t="s">
        <v>4768</v>
      </c>
      <c r="E1301" t="s">
        <v>16</v>
      </c>
      <c r="F1301" t="s">
        <v>17</v>
      </c>
      <c r="G1301" s="14">
        <v>79000</v>
      </c>
      <c r="H1301" s="14">
        <v>79000</v>
      </c>
      <c r="I1301" t="s">
        <v>22</v>
      </c>
      <c r="J1301" t="s">
        <v>22</v>
      </c>
      <c r="K1301" t="s">
        <v>4768</v>
      </c>
      <c r="L1301" t="s">
        <v>657</v>
      </c>
      <c r="M1301" t="s">
        <v>19</v>
      </c>
      <c r="N1301">
        <v>2</v>
      </c>
      <c r="O1301" t="s">
        <v>50</v>
      </c>
      <c r="P1301" t="s">
        <v>41</v>
      </c>
      <c r="Q1301" t="s">
        <v>30</v>
      </c>
      <c r="R1301" t="str">
        <f>VLOOKUP($O1301,'Mapa Oficinas'!$A$7:$C$46,2,FALSE)</f>
        <v>CABA</v>
      </c>
      <c r="S1301" t="str">
        <f>VLOOKUP($O1301,'Mapa Oficinas'!$A$7:$C$46,3,FALSE)</f>
        <v>Villa Urquiza</v>
      </c>
    </row>
    <row r="1302" spans="1:19" x14ac:dyDescent="0.2">
      <c r="A1302" s="1">
        <v>45895</v>
      </c>
      <c r="B1302" t="s">
        <v>4780</v>
      </c>
      <c r="D1302" t="s">
        <v>4781</v>
      </c>
      <c r="E1302" t="s">
        <v>16</v>
      </c>
      <c r="F1302" t="s">
        <v>134</v>
      </c>
      <c r="G1302" s="14">
        <v>85000</v>
      </c>
      <c r="H1302" s="14">
        <v>80000</v>
      </c>
      <c r="I1302" t="s">
        <v>22</v>
      </c>
      <c r="J1302" t="s">
        <v>22</v>
      </c>
      <c r="K1302" t="s">
        <v>4782</v>
      </c>
      <c r="L1302" t="s">
        <v>129</v>
      </c>
      <c r="M1302" t="s">
        <v>19</v>
      </c>
      <c r="N1302">
        <v>2</v>
      </c>
      <c r="O1302" t="s">
        <v>130</v>
      </c>
      <c r="P1302" t="s">
        <v>41</v>
      </c>
      <c r="Q1302" t="s">
        <v>30</v>
      </c>
      <c r="R1302" t="str">
        <f>VLOOKUP($O1302,'Mapa Oficinas'!$A$7:$C$46,2,FALSE)</f>
        <v>Interior - Río Negro</v>
      </c>
      <c r="S1302" t="str">
        <f>VLOOKUP($O1302,'Mapa Oficinas'!$A$7:$C$46,3,FALSE)</f>
        <v>Bariloche</v>
      </c>
    </row>
    <row r="1303" spans="1:19" x14ac:dyDescent="0.2">
      <c r="A1303" s="1">
        <v>45895</v>
      </c>
      <c r="B1303" t="s">
        <v>4769</v>
      </c>
      <c r="D1303" t="s">
        <v>4770</v>
      </c>
      <c r="E1303" t="s">
        <v>16</v>
      </c>
      <c r="F1303" t="s">
        <v>17</v>
      </c>
      <c r="G1303" s="14">
        <v>86000</v>
      </c>
      <c r="H1303" s="14">
        <v>86000</v>
      </c>
      <c r="I1303" t="s">
        <v>22</v>
      </c>
      <c r="J1303" t="s">
        <v>22</v>
      </c>
      <c r="K1303" t="s">
        <v>2552</v>
      </c>
      <c r="L1303" t="s">
        <v>330</v>
      </c>
      <c r="M1303" t="s">
        <v>19</v>
      </c>
      <c r="N1303">
        <v>2</v>
      </c>
      <c r="O1303" t="s">
        <v>103</v>
      </c>
      <c r="P1303" t="s">
        <v>44</v>
      </c>
      <c r="Q1303" t="s">
        <v>30</v>
      </c>
      <c r="R1303" t="str">
        <f>VLOOKUP($O1303,'Mapa Oficinas'!$A$7:$C$46,2,FALSE)</f>
        <v>CABA</v>
      </c>
      <c r="S1303" t="str">
        <f>VLOOKUP($O1303,'Mapa Oficinas'!$A$7:$C$46,3,FALSE)</f>
        <v>Barrio Parque</v>
      </c>
    </row>
    <row r="1304" spans="1:19" x14ac:dyDescent="0.2">
      <c r="A1304" s="1">
        <v>45895</v>
      </c>
      <c r="B1304">
        <v>10486</v>
      </c>
      <c r="D1304" t="s">
        <v>4783</v>
      </c>
      <c r="E1304" t="s">
        <v>16</v>
      </c>
      <c r="F1304" t="s">
        <v>1708</v>
      </c>
      <c r="G1304" s="14">
        <v>0</v>
      </c>
      <c r="H1304" s="14">
        <v>90000</v>
      </c>
      <c r="I1304" t="s">
        <v>22</v>
      </c>
      <c r="J1304" t="s">
        <v>22</v>
      </c>
      <c r="L1304" t="s">
        <v>277</v>
      </c>
      <c r="M1304" t="s">
        <v>19</v>
      </c>
      <c r="N1304">
        <v>2</v>
      </c>
      <c r="O1304" t="s">
        <v>103</v>
      </c>
      <c r="P1304" t="s">
        <v>36</v>
      </c>
      <c r="Q1304" t="s">
        <v>30</v>
      </c>
      <c r="R1304" t="str">
        <f>VLOOKUP($O1304,'Mapa Oficinas'!$A$7:$C$46,2,FALSE)</f>
        <v>CABA</v>
      </c>
      <c r="S1304" t="str">
        <f>VLOOKUP($O1304,'Mapa Oficinas'!$A$7:$C$46,3,FALSE)</f>
        <v>Barrio Parque</v>
      </c>
    </row>
    <row r="1305" spans="1:19" x14ac:dyDescent="0.2">
      <c r="A1305" s="1">
        <v>45895</v>
      </c>
      <c r="B1305" t="s">
        <v>4787</v>
      </c>
      <c r="D1305" t="s">
        <v>4788</v>
      </c>
      <c r="E1305" t="s">
        <v>16</v>
      </c>
      <c r="F1305" t="s">
        <v>82</v>
      </c>
      <c r="G1305" s="14">
        <v>130000</v>
      </c>
      <c r="H1305" s="14">
        <v>122000</v>
      </c>
      <c r="I1305" t="s">
        <v>22</v>
      </c>
      <c r="J1305" t="s">
        <v>22</v>
      </c>
      <c r="K1305" t="s">
        <v>4789</v>
      </c>
      <c r="L1305" t="s">
        <v>34</v>
      </c>
      <c r="M1305" t="s">
        <v>19</v>
      </c>
      <c r="N1305">
        <v>2</v>
      </c>
      <c r="O1305" t="s">
        <v>40</v>
      </c>
      <c r="P1305" t="s">
        <v>21</v>
      </c>
      <c r="Q1305" t="s">
        <v>30</v>
      </c>
      <c r="R1305" t="str">
        <f>VLOOKUP($O1305,'Mapa Oficinas'!$A$7:$C$46,2,FALSE)</f>
        <v>Zona Norte (GBA)</v>
      </c>
      <c r="S1305" t="str">
        <f>VLOOKUP($O1305,'Mapa Oficinas'!$A$7:$C$46,3,FALSE)</f>
        <v>Pilar</v>
      </c>
    </row>
    <row r="1306" spans="1:19" x14ac:dyDescent="0.2">
      <c r="A1306" s="1">
        <v>45895</v>
      </c>
      <c r="B1306">
        <v>10453</v>
      </c>
      <c r="D1306" t="s">
        <v>4771</v>
      </c>
      <c r="E1306" t="s">
        <v>16</v>
      </c>
      <c r="F1306" t="s">
        <v>17</v>
      </c>
      <c r="G1306" s="14">
        <v>0</v>
      </c>
      <c r="H1306" s="14">
        <v>125000</v>
      </c>
      <c r="I1306" t="s">
        <v>22</v>
      </c>
      <c r="J1306" t="s">
        <v>22</v>
      </c>
      <c r="L1306" t="s">
        <v>141</v>
      </c>
      <c r="M1306" t="s">
        <v>19</v>
      </c>
      <c r="N1306">
        <v>1</v>
      </c>
      <c r="O1306" t="s">
        <v>103</v>
      </c>
      <c r="P1306" t="s">
        <v>146</v>
      </c>
      <c r="Q1306" t="s">
        <v>30</v>
      </c>
      <c r="R1306" t="str">
        <f>VLOOKUP($O1306,'Mapa Oficinas'!$A$7:$C$46,2,FALSE)</f>
        <v>CABA</v>
      </c>
      <c r="S1306" t="str">
        <f>VLOOKUP($O1306,'Mapa Oficinas'!$A$7:$C$46,3,FALSE)</f>
        <v>Barrio Parque</v>
      </c>
    </row>
    <row r="1307" spans="1:19" x14ac:dyDescent="0.2">
      <c r="A1307" s="1">
        <v>45895</v>
      </c>
      <c r="B1307" t="s">
        <v>4784</v>
      </c>
      <c r="D1307" t="s">
        <v>4785</v>
      </c>
      <c r="E1307" t="s">
        <v>16</v>
      </c>
      <c r="F1307" t="s">
        <v>17</v>
      </c>
      <c r="G1307" s="14">
        <v>129000</v>
      </c>
      <c r="H1307" s="14">
        <v>125000</v>
      </c>
      <c r="I1307" t="s">
        <v>22</v>
      </c>
      <c r="J1307" t="s">
        <v>22</v>
      </c>
      <c r="K1307" t="s">
        <v>4786</v>
      </c>
      <c r="L1307" t="s">
        <v>189</v>
      </c>
      <c r="M1307" t="s">
        <v>19</v>
      </c>
      <c r="N1307">
        <v>1</v>
      </c>
      <c r="O1307" t="s">
        <v>151</v>
      </c>
      <c r="P1307" t="s">
        <v>66</v>
      </c>
      <c r="Q1307" t="s">
        <v>30</v>
      </c>
      <c r="R1307" t="str">
        <f>VLOOKUP($O1307,'Mapa Oficinas'!$A$7:$C$46,2,FALSE)</f>
        <v>Interior - Neuquén</v>
      </c>
      <c r="S1307" t="str">
        <f>VLOOKUP($O1307,'Mapa Oficinas'!$A$7:$C$46,3,FALSE)</f>
        <v>Capital Neuquén</v>
      </c>
    </row>
    <row r="1308" spans="1:19" x14ac:dyDescent="0.2">
      <c r="A1308" s="1">
        <v>45895</v>
      </c>
      <c r="B1308" t="s">
        <v>4775</v>
      </c>
      <c r="D1308" t="s">
        <v>4776</v>
      </c>
      <c r="E1308" t="s">
        <v>16</v>
      </c>
      <c r="F1308" t="s">
        <v>17</v>
      </c>
      <c r="G1308" s="14">
        <v>145000</v>
      </c>
      <c r="H1308" s="14">
        <v>140000</v>
      </c>
      <c r="I1308" t="s">
        <v>22</v>
      </c>
      <c r="J1308" t="s">
        <v>22</v>
      </c>
      <c r="K1308" t="s">
        <v>2262</v>
      </c>
      <c r="L1308" t="s">
        <v>107</v>
      </c>
      <c r="M1308" t="s">
        <v>72</v>
      </c>
      <c r="N1308">
        <v>2</v>
      </c>
      <c r="O1308" t="s">
        <v>35</v>
      </c>
      <c r="P1308" t="s">
        <v>21</v>
      </c>
      <c r="Q1308" t="s">
        <v>30</v>
      </c>
      <c r="R1308" t="str">
        <f>VLOOKUP($O1308,'Mapa Oficinas'!$A$7:$C$46,2,FALSE)</f>
        <v>Zona Norte (GBA)</v>
      </c>
      <c r="S1308" t="str">
        <f>VLOOKUP($O1308,'Mapa Oficinas'!$A$7:$C$46,3,FALSE)</f>
        <v>Vicente López</v>
      </c>
    </row>
    <row r="1309" spans="1:19" x14ac:dyDescent="0.2">
      <c r="A1309" s="1">
        <v>45895</v>
      </c>
      <c r="B1309" t="s">
        <v>4777</v>
      </c>
      <c r="D1309" t="s">
        <v>4778</v>
      </c>
      <c r="E1309" t="s">
        <v>16</v>
      </c>
      <c r="F1309" t="s">
        <v>17</v>
      </c>
      <c r="G1309" s="14">
        <v>320000</v>
      </c>
      <c r="H1309" s="14">
        <v>266700</v>
      </c>
      <c r="I1309" t="s">
        <v>22</v>
      </c>
      <c r="J1309" t="s">
        <v>22</v>
      </c>
      <c r="K1309" t="s">
        <v>4779</v>
      </c>
      <c r="L1309" t="s">
        <v>277</v>
      </c>
      <c r="M1309" t="s">
        <v>19</v>
      </c>
      <c r="N1309">
        <v>2</v>
      </c>
      <c r="O1309" t="s">
        <v>103</v>
      </c>
      <c r="P1309" t="s">
        <v>21</v>
      </c>
      <c r="Q1309" t="s">
        <v>30</v>
      </c>
      <c r="R1309" t="str">
        <f>VLOOKUP($O1309,'Mapa Oficinas'!$A$7:$C$46,2,FALSE)</f>
        <v>CABA</v>
      </c>
      <c r="S1309" t="str">
        <f>VLOOKUP($O1309,'Mapa Oficinas'!$A$7:$C$46,3,FALSE)</f>
        <v>Barrio Parque</v>
      </c>
    </row>
    <row r="1310" spans="1:19" x14ac:dyDescent="0.2">
      <c r="A1310" s="1">
        <v>45896</v>
      </c>
      <c r="B1310" t="s">
        <v>4749</v>
      </c>
      <c r="D1310" t="s">
        <v>4750</v>
      </c>
      <c r="E1310" t="s">
        <v>16</v>
      </c>
      <c r="F1310" t="s">
        <v>82</v>
      </c>
      <c r="G1310" s="14">
        <v>40000</v>
      </c>
      <c r="H1310" s="14">
        <v>38000</v>
      </c>
      <c r="I1310" t="s">
        <v>22</v>
      </c>
      <c r="J1310" t="s">
        <v>22</v>
      </c>
      <c r="K1310" t="s">
        <v>4751</v>
      </c>
      <c r="L1310" t="s">
        <v>4752</v>
      </c>
      <c r="M1310" t="s">
        <v>28</v>
      </c>
      <c r="N1310">
        <v>2</v>
      </c>
      <c r="O1310" t="s">
        <v>85</v>
      </c>
      <c r="P1310" t="s">
        <v>21</v>
      </c>
      <c r="Q1310" t="s">
        <v>30</v>
      </c>
      <c r="R1310" t="str">
        <f>VLOOKUP($O1310,'Mapa Oficinas'!$A$7:$C$46,2,FALSE)</f>
        <v>Interior - Jujuy</v>
      </c>
      <c r="S1310" t="str">
        <f>VLOOKUP($O1310,'Mapa Oficinas'!$A$7:$C$46,3,FALSE)</f>
        <v>Capital Jujuy</v>
      </c>
    </row>
    <row r="1311" spans="1:19" x14ac:dyDescent="0.2">
      <c r="A1311" s="1">
        <v>45896</v>
      </c>
      <c r="B1311" t="s">
        <v>4759</v>
      </c>
      <c r="D1311" t="s">
        <v>4759</v>
      </c>
      <c r="E1311" t="s">
        <v>16</v>
      </c>
      <c r="F1311" t="s">
        <v>47</v>
      </c>
      <c r="G1311" s="14">
        <v>83000</v>
      </c>
      <c r="H1311" s="14">
        <v>41500</v>
      </c>
      <c r="I1311" t="s">
        <v>22</v>
      </c>
      <c r="J1311" t="s">
        <v>22</v>
      </c>
      <c r="K1311" t="s">
        <v>4759</v>
      </c>
      <c r="L1311" t="s">
        <v>523</v>
      </c>
      <c r="M1311" t="s">
        <v>19</v>
      </c>
      <c r="N1311">
        <v>2</v>
      </c>
      <c r="O1311" t="s">
        <v>50</v>
      </c>
      <c r="P1311" t="s">
        <v>21</v>
      </c>
      <c r="Q1311" t="s">
        <v>30</v>
      </c>
      <c r="R1311" t="str">
        <f>VLOOKUP($O1311,'Mapa Oficinas'!$A$7:$C$46,2,FALSE)</f>
        <v>CABA</v>
      </c>
      <c r="S1311" t="str">
        <f>VLOOKUP($O1311,'Mapa Oficinas'!$A$7:$C$46,3,FALSE)</f>
        <v>Villa Urquiza</v>
      </c>
    </row>
    <row r="1312" spans="1:19" x14ac:dyDescent="0.2">
      <c r="A1312" s="1">
        <v>45896</v>
      </c>
      <c r="B1312" t="s">
        <v>4763</v>
      </c>
      <c r="D1312" t="s">
        <v>4764</v>
      </c>
      <c r="E1312" t="s">
        <v>16</v>
      </c>
      <c r="F1312" t="s">
        <v>17</v>
      </c>
      <c r="G1312" s="14">
        <v>83000</v>
      </c>
      <c r="H1312" s="14">
        <v>78000</v>
      </c>
      <c r="I1312" t="s">
        <v>22</v>
      </c>
      <c r="J1312" t="s">
        <v>22</v>
      </c>
      <c r="K1312" t="s">
        <v>4765</v>
      </c>
      <c r="L1312" t="s">
        <v>37</v>
      </c>
      <c r="M1312" t="s">
        <v>19</v>
      </c>
      <c r="N1312">
        <v>2</v>
      </c>
      <c r="O1312" t="s">
        <v>547</v>
      </c>
      <c r="P1312" t="s">
        <v>276</v>
      </c>
      <c r="Q1312" t="s">
        <v>30</v>
      </c>
      <c r="R1312" t="str">
        <f>VLOOKUP($O1312,'Mapa Oficinas'!$A$7:$C$46,2,FALSE)</f>
        <v>CABA</v>
      </c>
      <c r="S1312" t="str">
        <f>VLOOKUP($O1312,'Mapa Oficinas'!$A$7:$C$46,3,FALSE)</f>
        <v>Núñez</v>
      </c>
    </row>
    <row r="1313" spans="1:19" x14ac:dyDescent="0.2">
      <c r="A1313" s="1">
        <v>45896</v>
      </c>
      <c r="B1313" t="s">
        <v>4753</v>
      </c>
      <c r="D1313" t="s">
        <v>4754</v>
      </c>
      <c r="E1313" t="s">
        <v>16</v>
      </c>
      <c r="F1313" t="s">
        <v>17</v>
      </c>
      <c r="G1313" s="14">
        <v>95000</v>
      </c>
      <c r="H1313" s="14">
        <v>92500</v>
      </c>
      <c r="I1313" t="s">
        <v>22</v>
      </c>
      <c r="J1313" t="s">
        <v>22</v>
      </c>
      <c r="K1313" t="s">
        <v>4755</v>
      </c>
      <c r="L1313" t="s">
        <v>551</v>
      </c>
      <c r="M1313" t="s">
        <v>19</v>
      </c>
      <c r="N1313">
        <v>2</v>
      </c>
      <c r="O1313" t="s">
        <v>206</v>
      </c>
      <c r="P1313" t="s">
        <v>276</v>
      </c>
      <c r="Q1313" t="s">
        <v>30</v>
      </c>
      <c r="R1313" t="str">
        <f>VLOOKUP($O1313,'Mapa Oficinas'!$A$7:$C$46,2,FALSE)</f>
        <v>CABA</v>
      </c>
      <c r="S1313" t="str">
        <f>VLOOKUP($O1313,'Mapa Oficinas'!$A$7:$C$46,3,FALSE)</f>
        <v>Belgrano</v>
      </c>
    </row>
    <row r="1314" spans="1:19" x14ac:dyDescent="0.2">
      <c r="A1314" s="1">
        <v>45896</v>
      </c>
      <c r="B1314" t="s">
        <v>4761</v>
      </c>
      <c r="D1314" t="s">
        <v>4762</v>
      </c>
      <c r="E1314" t="s">
        <v>16</v>
      </c>
      <c r="F1314" t="s">
        <v>17</v>
      </c>
      <c r="G1314" s="14">
        <v>93000</v>
      </c>
      <c r="H1314" s="14">
        <v>93000</v>
      </c>
      <c r="I1314" t="s">
        <v>22</v>
      </c>
      <c r="J1314" t="s">
        <v>22</v>
      </c>
      <c r="L1314" t="s">
        <v>821</v>
      </c>
      <c r="M1314" t="s">
        <v>97</v>
      </c>
      <c r="N1314">
        <v>1</v>
      </c>
      <c r="O1314" t="s">
        <v>151</v>
      </c>
      <c r="P1314" t="s">
        <v>131</v>
      </c>
      <c r="Q1314" t="s">
        <v>30</v>
      </c>
      <c r="R1314" t="str">
        <f>VLOOKUP($O1314,'Mapa Oficinas'!$A$7:$C$46,2,FALSE)</f>
        <v>Interior - Neuquén</v>
      </c>
      <c r="S1314" t="str">
        <f>VLOOKUP($O1314,'Mapa Oficinas'!$A$7:$C$46,3,FALSE)</f>
        <v>Capital Neuquén</v>
      </c>
    </row>
    <row r="1315" spans="1:19" x14ac:dyDescent="0.2">
      <c r="A1315" s="1">
        <v>45896</v>
      </c>
      <c r="B1315" t="s">
        <v>4756</v>
      </c>
      <c r="D1315" t="s">
        <v>4757</v>
      </c>
      <c r="E1315" t="s">
        <v>16</v>
      </c>
      <c r="F1315" t="s">
        <v>17</v>
      </c>
      <c r="G1315" s="14">
        <v>128000</v>
      </c>
      <c r="H1315" s="14">
        <v>125000</v>
      </c>
      <c r="I1315" t="s">
        <v>22</v>
      </c>
      <c r="J1315" t="s">
        <v>22</v>
      </c>
      <c r="K1315" t="s">
        <v>4758</v>
      </c>
      <c r="L1315" t="s">
        <v>79</v>
      </c>
      <c r="M1315" t="s">
        <v>19</v>
      </c>
      <c r="N1315">
        <v>2</v>
      </c>
      <c r="O1315" t="s">
        <v>116</v>
      </c>
      <c r="P1315" t="s">
        <v>21</v>
      </c>
      <c r="Q1315" t="s">
        <v>30</v>
      </c>
      <c r="R1315" t="str">
        <f>VLOOKUP($O1315,'Mapa Oficinas'!$A$7:$C$46,2,FALSE)</f>
        <v>CABA</v>
      </c>
      <c r="S1315" t="str">
        <f>VLOOKUP($O1315,'Mapa Oficinas'!$A$7:$C$46,3,FALSE)</f>
        <v>Puerto Madero</v>
      </c>
    </row>
    <row r="1316" spans="1:19" x14ac:dyDescent="0.2">
      <c r="A1316" s="1">
        <v>45896</v>
      </c>
      <c r="B1316" t="s">
        <v>4766</v>
      </c>
      <c r="D1316" t="s">
        <v>4767</v>
      </c>
      <c r="E1316" t="s">
        <v>16</v>
      </c>
      <c r="F1316" t="s">
        <v>184</v>
      </c>
      <c r="G1316" s="14">
        <v>135680</v>
      </c>
      <c r="H1316" s="14">
        <v>135000</v>
      </c>
      <c r="I1316" t="s">
        <v>22</v>
      </c>
      <c r="J1316" t="s">
        <v>22</v>
      </c>
      <c r="K1316" t="s">
        <v>1930</v>
      </c>
      <c r="L1316" t="s">
        <v>1931</v>
      </c>
      <c r="M1316" t="s">
        <v>19</v>
      </c>
      <c r="N1316">
        <v>2</v>
      </c>
      <c r="O1316" t="s">
        <v>98</v>
      </c>
      <c r="P1316" t="s">
        <v>41</v>
      </c>
      <c r="Q1316" t="s">
        <v>30</v>
      </c>
      <c r="R1316" t="str">
        <f>VLOOKUP($O1316,'Mapa Oficinas'!$A$7:$C$46,2,FALSE)</f>
        <v>Interior - Neuquén</v>
      </c>
      <c r="S1316" t="str">
        <f>VLOOKUP($O1316,'Mapa Oficinas'!$A$7:$C$46,3,FALSE)</f>
        <v>Villa La Angostura</v>
      </c>
    </row>
    <row r="1317" spans="1:19" x14ac:dyDescent="0.2">
      <c r="A1317" s="1">
        <v>45897</v>
      </c>
      <c r="B1317" t="s">
        <v>4727</v>
      </c>
      <c r="D1317" t="s">
        <v>4728</v>
      </c>
      <c r="E1317" t="s">
        <v>16</v>
      </c>
      <c r="F1317" t="s">
        <v>17</v>
      </c>
      <c r="G1317" s="14">
        <v>31500</v>
      </c>
      <c r="H1317" s="14">
        <v>60000</v>
      </c>
      <c r="I1317" t="s">
        <v>22</v>
      </c>
      <c r="J1317" t="s">
        <v>22</v>
      </c>
      <c r="K1317" t="s">
        <v>4729</v>
      </c>
      <c r="L1317" t="s">
        <v>894</v>
      </c>
      <c r="M1317" t="s">
        <v>19</v>
      </c>
      <c r="N1317">
        <v>2</v>
      </c>
      <c r="O1317" t="s">
        <v>227</v>
      </c>
      <c r="P1317" t="s">
        <v>21</v>
      </c>
      <c r="Q1317" t="s">
        <v>30</v>
      </c>
      <c r="R1317" t="str">
        <f>VLOOKUP($O1317,'Mapa Oficinas'!$A$7:$C$46,2,FALSE)</f>
        <v>Zona Oeste (GBA)</v>
      </c>
      <c r="S1317" t="str">
        <f>VLOOKUP($O1317,'Mapa Oficinas'!$A$7:$C$46,3,FALSE)</f>
        <v>Parque Leloir</v>
      </c>
    </row>
    <row r="1318" spans="1:19" x14ac:dyDescent="0.2">
      <c r="A1318" s="1">
        <v>45897</v>
      </c>
      <c r="B1318" t="s">
        <v>4708</v>
      </c>
      <c r="D1318" t="s">
        <v>4709</v>
      </c>
      <c r="E1318" t="s">
        <v>16</v>
      </c>
      <c r="F1318" t="s">
        <v>17</v>
      </c>
      <c r="G1318" s="14">
        <v>76900</v>
      </c>
      <c r="H1318" s="14">
        <v>65000</v>
      </c>
      <c r="I1318" t="s">
        <v>22</v>
      </c>
      <c r="J1318" t="s">
        <v>22</v>
      </c>
      <c r="K1318" t="s">
        <v>4710</v>
      </c>
      <c r="L1318" t="s">
        <v>2412</v>
      </c>
      <c r="M1318" t="s">
        <v>72</v>
      </c>
      <c r="N1318">
        <v>2</v>
      </c>
      <c r="O1318" t="s">
        <v>103</v>
      </c>
      <c r="P1318" t="s">
        <v>21</v>
      </c>
      <c r="Q1318" t="s">
        <v>30</v>
      </c>
      <c r="R1318" t="str">
        <f>VLOOKUP($O1318,'Mapa Oficinas'!$A$7:$C$46,2,FALSE)</f>
        <v>CABA</v>
      </c>
      <c r="S1318" t="str">
        <f>VLOOKUP($O1318,'Mapa Oficinas'!$A$7:$C$46,3,FALSE)</f>
        <v>Barrio Parque</v>
      </c>
    </row>
    <row r="1319" spans="1:19" x14ac:dyDescent="0.2">
      <c r="A1319" s="1">
        <v>45897</v>
      </c>
      <c r="B1319" t="s">
        <v>4719</v>
      </c>
      <c r="D1319" t="s">
        <v>4720</v>
      </c>
      <c r="E1319" t="s">
        <v>16</v>
      </c>
      <c r="F1319" t="s">
        <v>17</v>
      </c>
      <c r="G1319" s="14">
        <v>97000</v>
      </c>
      <c r="H1319" s="14">
        <v>76500</v>
      </c>
      <c r="I1319" t="s">
        <v>22</v>
      </c>
      <c r="J1319" t="s">
        <v>22</v>
      </c>
      <c r="K1319" t="s">
        <v>4721</v>
      </c>
      <c r="L1319" t="s">
        <v>318</v>
      </c>
      <c r="M1319" t="s">
        <v>19</v>
      </c>
      <c r="N1319">
        <v>2</v>
      </c>
      <c r="O1319" t="s">
        <v>73</v>
      </c>
      <c r="P1319" t="s">
        <v>276</v>
      </c>
      <c r="Q1319" t="s">
        <v>30</v>
      </c>
      <c r="R1319" t="str">
        <f>VLOOKUP($O1319,'Mapa Oficinas'!$A$7:$C$46,2,FALSE)</f>
        <v>CABA</v>
      </c>
      <c r="S1319" t="str">
        <f>VLOOKUP($O1319,'Mapa Oficinas'!$A$7:$C$46,3,FALSE)</f>
        <v>Recoleta</v>
      </c>
    </row>
    <row r="1320" spans="1:19" x14ac:dyDescent="0.2">
      <c r="A1320" s="1">
        <v>45897</v>
      </c>
      <c r="B1320" t="s">
        <v>4746</v>
      </c>
      <c r="D1320" t="s">
        <v>4747</v>
      </c>
      <c r="E1320" t="s">
        <v>16</v>
      </c>
      <c r="F1320" t="s">
        <v>17</v>
      </c>
      <c r="G1320" s="14">
        <v>98000</v>
      </c>
      <c r="H1320" s="14">
        <v>80000</v>
      </c>
      <c r="I1320" t="s">
        <v>22</v>
      </c>
      <c r="J1320" t="s">
        <v>22</v>
      </c>
      <c r="K1320" t="s">
        <v>4748</v>
      </c>
      <c r="L1320" t="s">
        <v>77</v>
      </c>
      <c r="M1320" t="s">
        <v>28</v>
      </c>
      <c r="N1320">
        <v>2</v>
      </c>
      <c r="O1320" t="s">
        <v>20</v>
      </c>
      <c r="P1320" t="s">
        <v>21</v>
      </c>
      <c r="Q1320" t="s">
        <v>30</v>
      </c>
      <c r="R1320" t="str">
        <f>VLOOKUP($O1320,'Mapa Oficinas'!$A$7:$C$46,2,FALSE)</f>
        <v>CABA</v>
      </c>
      <c r="S1320" t="str">
        <f>VLOOKUP($O1320,'Mapa Oficinas'!$A$7:$C$46,3,FALSE)</f>
        <v>Palermo</v>
      </c>
    </row>
    <row r="1321" spans="1:19" x14ac:dyDescent="0.2">
      <c r="A1321" s="1">
        <v>45897</v>
      </c>
      <c r="B1321" t="s">
        <v>4733</v>
      </c>
      <c r="D1321" t="s">
        <v>4734</v>
      </c>
      <c r="E1321" t="s">
        <v>16</v>
      </c>
      <c r="F1321" t="s">
        <v>17</v>
      </c>
      <c r="G1321" s="14">
        <v>85000</v>
      </c>
      <c r="H1321" s="14">
        <v>82500</v>
      </c>
      <c r="I1321" t="s">
        <v>22</v>
      </c>
      <c r="J1321" t="s">
        <v>22</v>
      </c>
      <c r="K1321" t="s">
        <v>4735</v>
      </c>
      <c r="L1321" t="s">
        <v>205</v>
      </c>
      <c r="M1321" t="s">
        <v>19</v>
      </c>
      <c r="N1321">
        <v>2</v>
      </c>
      <c r="O1321" t="s">
        <v>103</v>
      </c>
      <c r="P1321" t="s">
        <v>21</v>
      </c>
      <c r="Q1321" t="s">
        <v>30</v>
      </c>
      <c r="R1321" t="str">
        <f>VLOOKUP($O1321,'Mapa Oficinas'!$A$7:$C$46,2,FALSE)</f>
        <v>CABA</v>
      </c>
      <c r="S1321" t="str">
        <f>VLOOKUP($O1321,'Mapa Oficinas'!$A$7:$C$46,3,FALSE)</f>
        <v>Barrio Parque</v>
      </c>
    </row>
    <row r="1322" spans="1:19" x14ac:dyDescent="0.2">
      <c r="A1322" s="1">
        <v>45897</v>
      </c>
      <c r="B1322" t="s">
        <v>4742</v>
      </c>
      <c r="D1322" t="s">
        <v>4743</v>
      </c>
      <c r="E1322" t="s">
        <v>16</v>
      </c>
      <c r="F1322" t="s">
        <v>17</v>
      </c>
      <c r="G1322" s="14">
        <v>100000</v>
      </c>
      <c r="H1322" s="14">
        <v>95000</v>
      </c>
      <c r="I1322" t="s">
        <v>22</v>
      </c>
      <c r="J1322" t="s">
        <v>22</v>
      </c>
      <c r="K1322" t="s">
        <v>4744</v>
      </c>
      <c r="L1322" t="s">
        <v>821</v>
      </c>
      <c r="M1322" t="s">
        <v>19</v>
      </c>
      <c r="N1322">
        <v>1</v>
      </c>
      <c r="O1322" t="s">
        <v>151</v>
      </c>
      <c r="P1322" t="s">
        <v>66</v>
      </c>
      <c r="Q1322" t="s">
        <v>30</v>
      </c>
      <c r="R1322" t="str">
        <f>VLOOKUP($O1322,'Mapa Oficinas'!$A$7:$C$46,2,FALSE)</f>
        <v>Interior - Neuquén</v>
      </c>
      <c r="S1322" t="str">
        <f>VLOOKUP($O1322,'Mapa Oficinas'!$A$7:$C$46,3,FALSE)</f>
        <v>Capital Neuquén</v>
      </c>
    </row>
    <row r="1323" spans="1:19" x14ac:dyDescent="0.2">
      <c r="A1323" s="1">
        <v>45897</v>
      </c>
      <c r="B1323" t="s">
        <v>4736</v>
      </c>
      <c r="D1323" t="s">
        <v>4737</v>
      </c>
      <c r="E1323" t="s">
        <v>16</v>
      </c>
      <c r="F1323" t="s">
        <v>47</v>
      </c>
      <c r="G1323" s="14">
        <v>125000</v>
      </c>
      <c r="H1323" s="14">
        <v>113000</v>
      </c>
      <c r="I1323" t="s">
        <v>22</v>
      </c>
      <c r="J1323" t="s">
        <v>22</v>
      </c>
      <c r="K1323" t="s">
        <v>4738</v>
      </c>
      <c r="L1323" t="s">
        <v>894</v>
      </c>
      <c r="M1323" t="s">
        <v>28</v>
      </c>
      <c r="N1323">
        <v>2</v>
      </c>
      <c r="O1323" t="s">
        <v>252</v>
      </c>
      <c r="P1323" t="s">
        <v>21</v>
      </c>
      <c r="Q1323" t="s">
        <v>30</v>
      </c>
      <c r="R1323" t="str">
        <f>VLOOKUP($O1323,'Mapa Oficinas'!$A$7:$C$46,2,FALSE)</f>
        <v>CABA</v>
      </c>
      <c r="S1323" t="str">
        <f>VLOOKUP($O1323,'Mapa Oficinas'!$A$7:$C$46,3,FALSE)</f>
        <v>Belgrano</v>
      </c>
    </row>
    <row r="1324" spans="1:19" x14ac:dyDescent="0.2">
      <c r="A1324" s="1">
        <v>45897</v>
      </c>
      <c r="D1324" t="s">
        <v>4725</v>
      </c>
      <c r="E1324" t="s">
        <v>16</v>
      </c>
      <c r="F1324" t="s">
        <v>82</v>
      </c>
      <c r="G1324" s="14">
        <v>115000</v>
      </c>
      <c r="H1324" s="14">
        <v>115000</v>
      </c>
      <c r="I1324" t="s">
        <v>22</v>
      </c>
      <c r="J1324" t="s">
        <v>22</v>
      </c>
      <c r="K1324" t="s">
        <v>4726</v>
      </c>
      <c r="L1324" t="s">
        <v>282</v>
      </c>
      <c r="M1324" t="s">
        <v>19</v>
      </c>
      <c r="N1324">
        <v>2</v>
      </c>
      <c r="O1324" t="s">
        <v>252</v>
      </c>
      <c r="P1324" t="s">
        <v>21</v>
      </c>
      <c r="Q1324" t="s">
        <v>30</v>
      </c>
      <c r="R1324" t="str">
        <f>VLOOKUP($O1324,'Mapa Oficinas'!$A$7:$C$46,2,FALSE)</f>
        <v>CABA</v>
      </c>
      <c r="S1324" t="str">
        <f>VLOOKUP($O1324,'Mapa Oficinas'!$A$7:$C$46,3,FALSE)</f>
        <v>Belgrano</v>
      </c>
    </row>
    <row r="1325" spans="1:19" x14ac:dyDescent="0.2">
      <c r="A1325" s="1">
        <v>45897</v>
      </c>
      <c r="B1325" t="s">
        <v>4711</v>
      </c>
      <c r="D1325" t="s">
        <v>4712</v>
      </c>
      <c r="E1325" t="s">
        <v>16</v>
      </c>
      <c r="F1325" t="s">
        <v>17</v>
      </c>
      <c r="G1325" s="14">
        <v>130000</v>
      </c>
      <c r="H1325" s="14">
        <v>120000</v>
      </c>
      <c r="I1325" t="s">
        <v>22</v>
      </c>
      <c r="J1325" t="s">
        <v>22</v>
      </c>
      <c r="K1325" t="s">
        <v>4713</v>
      </c>
      <c r="L1325" t="s">
        <v>27</v>
      </c>
      <c r="M1325" t="s">
        <v>19</v>
      </c>
      <c r="N1325">
        <v>2</v>
      </c>
      <c r="O1325" t="s">
        <v>103</v>
      </c>
      <c r="P1325" t="s">
        <v>44</v>
      </c>
      <c r="Q1325" t="s">
        <v>30</v>
      </c>
      <c r="R1325" t="str">
        <f>VLOOKUP($O1325,'Mapa Oficinas'!$A$7:$C$46,2,FALSE)</f>
        <v>CABA</v>
      </c>
      <c r="S1325" t="str">
        <f>VLOOKUP($O1325,'Mapa Oficinas'!$A$7:$C$46,3,FALSE)</f>
        <v>Barrio Parque</v>
      </c>
    </row>
    <row r="1326" spans="1:19" x14ac:dyDescent="0.2">
      <c r="A1326" s="1">
        <v>45897</v>
      </c>
      <c r="B1326" t="s">
        <v>4745</v>
      </c>
      <c r="D1326" t="s">
        <v>4745</v>
      </c>
      <c r="E1326" t="s">
        <v>16</v>
      </c>
      <c r="F1326" t="s">
        <v>17</v>
      </c>
      <c r="G1326" s="14">
        <v>120000</v>
      </c>
      <c r="H1326" s="14">
        <v>120000</v>
      </c>
      <c r="I1326" t="s">
        <v>22</v>
      </c>
      <c r="J1326" t="s">
        <v>22</v>
      </c>
      <c r="K1326" t="s">
        <v>4745</v>
      </c>
      <c r="L1326" t="s">
        <v>27</v>
      </c>
      <c r="M1326" t="s">
        <v>19</v>
      </c>
      <c r="N1326">
        <v>1</v>
      </c>
      <c r="O1326" t="s">
        <v>20</v>
      </c>
      <c r="P1326" t="s">
        <v>146</v>
      </c>
      <c r="Q1326" t="s">
        <v>30</v>
      </c>
      <c r="R1326" t="str">
        <f>VLOOKUP($O1326,'Mapa Oficinas'!$A$7:$C$46,2,FALSE)</f>
        <v>CABA</v>
      </c>
      <c r="S1326" t="str">
        <f>VLOOKUP($O1326,'Mapa Oficinas'!$A$7:$C$46,3,FALSE)</f>
        <v>Palermo</v>
      </c>
    </row>
    <row r="1327" spans="1:19" x14ac:dyDescent="0.2">
      <c r="A1327" s="1">
        <v>45897</v>
      </c>
      <c r="D1327" t="s">
        <v>4717</v>
      </c>
      <c r="E1327" t="s">
        <v>16</v>
      </c>
      <c r="F1327" t="s">
        <v>17</v>
      </c>
      <c r="G1327" s="14">
        <v>0</v>
      </c>
      <c r="H1327" s="14">
        <v>157000</v>
      </c>
      <c r="I1327" t="s">
        <v>22</v>
      </c>
      <c r="J1327" t="s">
        <v>22</v>
      </c>
      <c r="K1327" t="s">
        <v>4718</v>
      </c>
      <c r="L1327" t="s">
        <v>79</v>
      </c>
      <c r="M1327" t="s">
        <v>19</v>
      </c>
      <c r="N1327">
        <v>2</v>
      </c>
      <c r="O1327" t="s">
        <v>201</v>
      </c>
      <c r="P1327" t="s">
        <v>41</v>
      </c>
      <c r="Q1327" t="s">
        <v>30</v>
      </c>
      <c r="R1327" t="str">
        <f>VLOOKUP($O1327,'Mapa Oficinas'!$A$7:$C$46,2,FALSE)</f>
        <v>CABA</v>
      </c>
      <c r="S1327" t="str">
        <f>VLOOKUP($O1327,'Mapa Oficinas'!$A$7:$C$46,3,FALSE)</f>
        <v>Recoleta</v>
      </c>
    </row>
    <row r="1328" spans="1:19" x14ac:dyDescent="0.2">
      <c r="A1328" s="1">
        <v>45897</v>
      </c>
      <c r="B1328" t="s">
        <v>4714</v>
      </c>
      <c r="D1328" t="s">
        <v>4715</v>
      </c>
      <c r="E1328" t="s">
        <v>16</v>
      </c>
      <c r="F1328" t="s">
        <v>17</v>
      </c>
      <c r="G1328" s="14">
        <v>89700</v>
      </c>
      <c r="H1328" s="14">
        <v>171000</v>
      </c>
      <c r="I1328" t="s">
        <v>22</v>
      </c>
      <c r="J1328" t="s">
        <v>22</v>
      </c>
      <c r="K1328" t="s">
        <v>4716</v>
      </c>
      <c r="L1328" t="s">
        <v>2443</v>
      </c>
      <c r="M1328" t="s">
        <v>19</v>
      </c>
      <c r="N1328">
        <v>2</v>
      </c>
      <c r="O1328" t="s">
        <v>142</v>
      </c>
      <c r="P1328" t="s">
        <v>21</v>
      </c>
      <c r="Q1328" t="s">
        <v>30</v>
      </c>
      <c r="R1328" t="str">
        <f>VLOOKUP($O1328,'Mapa Oficinas'!$A$7:$C$46,2,FALSE)</f>
        <v>Zona Norte (GBA)</v>
      </c>
      <c r="S1328" t="str">
        <f>VLOOKUP($O1328,'Mapa Oficinas'!$A$7:$C$46,3,FALSE)</f>
        <v>Nordelta</v>
      </c>
    </row>
    <row r="1329" spans="1:19" x14ac:dyDescent="0.2">
      <c r="A1329" s="1">
        <v>45897</v>
      </c>
      <c r="B1329" t="s">
        <v>4703</v>
      </c>
      <c r="D1329" t="s">
        <v>4704</v>
      </c>
      <c r="E1329" t="s">
        <v>16</v>
      </c>
      <c r="F1329" t="s">
        <v>17</v>
      </c>
      <c r="G1329" s="14">
        <v>185000</v>
      </c>
      <c r="H1329" s="14">
        <v>172000</v>
      </c>
      <c r="I1329" t="s">
        <v>22</v>
      </c>
      <c r="J1329" t="s">
        <v>22</v>
      </c>
      <c r="K1329" t="s">
        <v>2342</v>
      </c>
      <c r="L1329" t="s">
        <v>277</v>
      </c>
      <c r="M1329" t="s">
        <v>19</v>
      </c>
      <c r="N1329">
        <v>2</v>
      </c>
      <c r="O1329" t="s">
        <v>227</v>
      </c>
      <c r="P1329" t="s">
        <v>276</v>
      </c>
      <c r="Q1329" t="s">
        <v>30</v>
      </c>
      <c r="R1329" t="str">
        <f>VLOOKUP($O1329,'Mapa Oficinas'!$A$7:$C$46,2,FALSE)</f>
        <v>Zona Oeste (GBA)</v>
      </c>
      <c r="S1329" t="str">
        <f>VLOOKUP($O1329,'Mapa Oficinas'!$A$7:$C$46,3,FALSE)</f>
        <v>Parque Leloir</v>
      </c>
    </row>
    <row r="1330" spans="1:19" x14ac:dyDescent="0.2">
      <c r="A1330" s="1">
        <v>45897</v>
      </c>
      <c r="B1330" t="s">
        <v>4739</v>
      </c>
      <c r="D1330" t="s">
        <v>4740</v>
      </c>
      <c r="E1330" t="s">
        <v>16</v>
      </c>
      <c r="F1330" t="s">
        <v>38</v>
      </c>
      <c r="G1330" s="14">
        <v>220000</v>
      </c>
      <c r="H1330" s="14">
        <v>213000</v>
      </c>
      <c r="I1330" t="s">
        <v>22</v>
      </c>
      <c r="J1330" t="s">
        <v>22</v>
      </c>
      <c r="K1330" t="s">
        <v>4740</v>
      </c>
      <c r="L1330" t="s">
        <v>4741</v>
      </c>
      <c r="M1330" t="s">
        <v>19</v>
      </c>
      <c r="N1330">
        <v>2</v>
      </c>
      <c r="O1330" t="s">
        <v>156</v>
      </c>
      <c r="P1330" t="s">
        <v>276</v>
      </c>
      <c r="Q1330" t="s">
        <v>30</v>
      </c>
      <c r="R1330" t="str">
        <f>VLOOKUP($O1330,'Mapa Oficinas'!$A$7:$C$46,2,FALSE)</f>
        <v>Zona Norte (GBA)</v>
      </c>
      <c r="S1330" t="str">
        <f>VLOOKUP($O1330,'Mapa Oficinas'!$A$7:$C$46,3,FALSE)</f>
        <v>Pilar</v>
      </c>
    </row>
    <row r="1331" spans="1:19" x14ac:dyDescent="0.2">
      <c r="A1331" s="1">
        <v>45898</v>
      </c>
      <c r="B1331" t="s">
        <v>4635</v>
      </c>
      <c r="D1331" t="s">
        <v>4636</v>
      </c>
      <c r="E1331" t="s">
        <v>16</v>
      </c>
      <c r="F1331" t="s">
        <v>82</v>
      </c>
      <c r="G1331" s="14">
        <v>40000</v>
      </c>
      <c r="H1331" s="14">
        <v>40000</v>
      </c>
      <c r="I1331" t="s">
        <v>22</v>
      </c>
      <c r="J1331" t="s">
        <v>22</v>
      </c>
      <c r="K1331" t="s">
        <v>4637</v>
      </c>
      <c r="L1331" t="s">
        <v>2287</v>
      </c>
      <c r="M1331" t="s">
        <v>97</v>
      </c>
      <c r="N1331">
        <v>2</v>
      </c>
      <c r="O1331" t="s">
        <v>98</v>
      </c>
      <c r="P1331" t="s">
        <v>41</v>
      </c>
      <c r="Q1331" t="s">
        <v>30</v>
      </c>
      <c r="R1331" t="str">
        <f>VLOOKUP($O1331,'Mapa Oficinas'!$A$7:$C$46,2,FALSE)</f>
        <v>Interior - Neuquén</v>
      </c>
      <c r="S1331" t="str">
        <f>VLOOKUP($O1331,'Mapa Oficinas'!$A$7:$C$46,3,FALSE)</f>
        <v>Villa La Angostura</v>
      </c>
    </row>
    <row r="1332" spans="1:19" x14ac:dyDescent="0.2">
      <c r="A1332" s="1">
        <v>45898</v>
      </c>
      <c r="B1332" t="s">
        <v>4687</v>
      </c>
      <c r="D1332" t="s">
        <v>4688</v>
      </c>
      <c r="E1332" t="s">
        <v>16</v>
      </c>
      <c r="F1332" t="s">
        <v>38</v>
      </c>
      <c r="G1332" s="14">
        <v>40000</v>
      </c>
      <c r="H1332" s="14">
        <v>40000</v>
      </c>
      <c r="I1332" t="s">
        <v>22</v>
      </c>
      <c r="J1332" t="s">
        <v>22</v>
      </c>
      <c r="K1332" t="s">
        <v>4689</v>
      </c>
      <c r="L1332" t="s">
        <v>449</v>
      </c>
      <c r="M1332" t="s">
        <v>300</v>
      </c>
      <c r="N1332">
        <v>2</v>
      </c>
      <c r="O1332" t="s">
        <v>367</v>
      </c>
      <c r="P1332" t="s">
        <v>41</v>
      </c>
      <c r="Q1332" t="s">
        <v>30</v>
      </c>
      <c r="R1332" t="str">
        <f>VLOOKUP($O1332,'Mapa Oficinas'!$A$7:$C$46,2,FALSE)</f>
        <v>Interior - Neuquén</v>
      </c>
      <c r="S1332" t="str">
        <f>VLOOKUP($O1332,'Mapa Oficinas'!$A$7:$C$46,3,FALSE)</f>
        <v>San Martín de los Andes</v>
      </c>
    </row>
    <row r="1333" spans="1:19" x14ac:dyDescent="0.2">
      <c r="A1333" s="1">
        <v>45898</v>
      </c>
      <c r="B1333" t="s">
        <v>4671</v>
      </c>
      <c r="D1333" t="s">
        <v>4671</v>
      </c>
      <c r="E1333" t="s">
        <v>16</v>
      </c>
      <c r="F1333" t="s">
        <v>58</v>
      </c>
      <c r="G1333" s="14">
        <v>85000</v>
      </c>
      <c r="H1333" s="14">
        <v>42500</v>
      </c>
      <c r="I1333" t="s">
        <v>22</v>
      </c>
      <c r="J1333" t="s">
        <v>22</v>
      </c>
      <c r="K1333" t="s">
        <v>4671</v>
      </c>
      <c r="L1333" t="s">
        <v>523</v>
      </c>
      <c r="M1333" t="s">
        <v>19</v>
      </c>
      <c r="N1333">
        <v>2</v>
      </c>
      <c r="O1333" t="s">
        <v>50</v>
      </c>
      <c r="P1333" t="s">
        <v>21</v>
      </c>
      <c r="Q1333" t="s">
        <v>30</v>
      </c>
      <c r="R1333" t="str">
        <f>VLOOKUP($O1333,'Mapa Oficinas'!$A$7:$C$46,2,FALSE)</f>
        <v>CABA</v>
      </c>
      <c r="S1333" t="str">
        <f>VLOOKUP($O1333,'Mapa Oficinas'!$A$7:$C$46,3,FALSE)</f>
        <v>Villa Urquiza</v>
      </c>
    </row>
    <row r="1334" spans="1:19" x14ac:dyDescent="0.2">
      <c r="A1334" s="1">
        <v>45898</v>
      </c>
      <c r="B1334" t="s">
        <v>4632</v>
      </c>
      <c r="D1334" t="s">
        <v>4633</v>
      </c>
      <c r="E1334" t="s">
        <v>16</v>
      </c>
      <c r="F1334" t="s">
        <v>17</v>
      </c>
      <c r="G1334" s="14">
        <v>52500</v>
      </c>
      <c r="H1334" s="14">
        <v>48000</v>
      </c>
      <c r="I1334" t="s">
        <v>22</v>
      </c>
      <c r="J1334" t="s">
        <v>22</v>
      </c>
      <c r="K1334" t="s">
        <v>4634</v>
      </c>
      <c r="L1334" t="s">
        <v>1198</v>
      </c>
      <c r="M1334" t="s">
        <v>19</v>
      </c>
      <c r="N1334">
        <v>2</v>
      </c>
      <c r="O1334" t="s">
        <v>227</v>
      </c>
      <c r="P1334" t="s">
        <v>21</v>
      </c>
      <c r="Q1334" t="s">
        <v>30</v>
      </c>
      <c r="R1334" t="str">
        <f>VLOOKUP($O1334,'Mapa Oficinas'!$A$7:$C$46,2,FALSE)</f>
        <v>Zona Oeste (GBA)</v>
      </c>
      <c r="S1334" t="str">
        <f>VLOOKUP($O1334,'Mapa Oficinas'!$A$7:$C$46,3,FALSE)</f>
        <v>Parque Leloir</v>
      </c>
    </row>
    <row r="1335" spans="1:19" x14ac:dyDescent="0.2">
      <c r="A1335" s="1">
        <v>45898</v>
      </c>
      <c r="B1335" t="s">
        <v>4672</v>
      </c>
      <c r="D1335" t="s">
        <v>4673</v>
      </c>
      <c r="E1335" t="s">
        <v>16</v>
      </c>
      <c r="F1335" t="s">
        <v>82</v>
      </c>
      <c r="G1335" s="14">
        <v>50000</v>
      </c>
      <c r="H1335" s="14">
        <v>50000</v>
      </c>
      <c r="I1335" t="s">
        <v>22</v>
      </c>
      <c r="J1335" t="s">
        <v>22</v>
      </c>
      <c r="K1335" t="s">
        <v>4674</v>
      </c>
      <c r="L1335" t="s">
        <v>1827</v>
      </c>
      <c r="M1335" t="s">
        <v>300</v>
      </c>
      <c r="N1335">
        <v>2</v>
      </c>
      <c r="O1335" t="s">
        <v>151</v>
      </c>
      <c r="P1335" t="s">
        <v>41</v>
      </c>
      <c r="Q1335" t="s">
        <v>30</v>
      </c>
      <c r="R1335" t="str">
        <f>VLOOKUP($O1335,'Mapa Oficinas'!$A$7:$C$46,2,FALSE)</f>
        <v>Interior - Neuquén</v>
      </c>
      <c r="S1335" t="str">
        <f>VLOOKUP($O1335,'Mapa Oficinas'!$A$7:$C$46,3,FALSE)</f>
        <v>Capital Neuquén</v>
      </c>
    </row>
    <row r="1336" spans="1:19" x14ac:dyDescent="0.2">
      <c r="A1336" s="1">
        <v>45898</v>
      </c>
      <c r="B1336" t="s">
        <v>4652</v>
      </c>
      <c r="D1336" t="s">
        <v>4653</v>
      </c>
      <c r="E1336" t="s">
        <v>16</v>
      </c>
      <c r="F1336" t="s">
        <v>17</v>
      </c>
      <c r="G1336" s="14">
        <v>38500</v>
      </c>
      <c r="H1336" s="14">
        <v>60000</v>
      </c>
      <c r="I1336" t="s">
        <v>22</v>
      </c>
      <c r="J1336" t="s">
        <v>22</v>
      </c>
      <c r="K1336" t="s">
        <v>4654</v>
      </c>
      <c r="L1336" t="s">
        <v>1676</v>
      </c>
      <c r="M1336" t="s">
        <v>19</v>
      </c>
      <c r="N1336">
        <v>2</v>
      </c>
      <c r="O1336" t="s">
        <v>227</v>
      </c>
      <c r="P1336" t="s">
        <v>21</v>
      </c>
      <c r="Q1336" t="s">
        <v>30</v>
      </c>
      <c r="R1336" t="str">
        <f>VLOOKUP($O1336,'Mapa Oficinas'!$A$7:$C$46,2,FALSE)</f>
        <v>Zona Oeste (GBA)</v>
      </c>
      <c r="S1336" t="str">
        <f>VLOOKUP($O1336,'Mapa Oficinas'!$A$7:$C$46,3,FALSE)</f>
        <v>Parque Leloir</v>
      </c>
    </row>
    <row r="1337" spans="1:19" x14ac:dyDescent="0.2">
      <c r="A1337" s="1">
        <v>45898</v>
      </c>
      <c r="B1337" t="s">
        <v>4693</v>
      </c>
      <c r="D1337" t="s">
        <v>4694</v>
      </c>
      <c r="E1337" t="s">
        <v>16</v>
      </c>
      <c r="F1337" t="s">
        <v>17</v>
      </c>
      <c r="G1337" s="14">
        <v>88000</v>
      </c>
      <c r="H1337" s="14">
        <v>83000</v>
      </c>
      <c r="I1337" t="s">
        <v>22</v>
      </c>
      <c r="J1337" t="s">
        <v>22</v>
      </c>
      <c r="K1337" t="s">
        <v>4695</v>
      </c>
      <c r="L1337" t="s">
        <v>727</v>
      </c>
      <c r="M1337" t="s">
        <v>72</v>
      </c>
      <c r="N1337">
        <v>2</v>
      </c>
      <c r="O1337" t="s">
        <v>20</v>
      </c>
      <c r="P1337" t="s">
        <v>21</v>
      </c>
      <c r="Q1337" t="s">
        <v>30</v>
      </c>
      <c r="R1337" t="str">
        <f>VLOOKUP($O1337,'Mapa Oficinas'!$A$7:$C$46,2,FALSE)</f>
        <v>CABA</v>
      </c>
      <c r="S1337" t="str">
        <f>VLOOKUP($O1337,'Mapa Oficinas'!$A$7:$C$46,3,FALSE)</f>
        <v>Palermo</v>
      </c>
    </row>
    <row r="1338" spans="1:19" x14ac:dyDescent="0.2">
      <c r="A1338" s="1">
        <v>45898</v>
      </c>
      <c r="B1338" t="s">
        <v>4697</v>
      </c>
      <c r="D1338" t="s">
        <v>4698</v>
      </c>
      <c r="E1338" t="s">
        <v>16</v>
      </c>
      <c r="F1338" t="s">
        <v>17</v>
      </c>
      <c r="G1338" s="14">
        <v>87000</v>
      </c>
      <c r="H1338" s="14">
        <v>86000</v>
      </c>
      <c r="I1338" t="s">
        <v>22</v>
      </c>
      <c r="J1338" t="s">
        <v>22</v>
      </c>
      <c r="K1338" t="s">
        <v>4699</v>
      </c>
      <c r="L1338" t="s">
        <v>217</v>
      </c>
      <c r="M1338" t="s">
        <v>19</v>
      </c>
      <c r="N1338">
        <v>2</v>
      </c>
      <c r="O1338" t="s">
        <v>20</v>
      </c>
      <c r="P1338" t="s">
        <v>21</v>
      </c>
      <c r="Q1338" t="s">
        <v>30</v>
      </c>
      <c r="R1338" t="str">
        <f>VLOOKUP($O1338,'Mapa Oficinas'!$A$7:$C$46,2,FALSE)</f>
        <v>CABA</v>
      </c>
      <c r="S1338" t="str">
        <f>VLOOKUP($O1338,'Mapa Oficinas'!$A$7:$C$46,3,FALSE)</f>
        <v>Palermo</v>
      </c>
    </row>
    <row r="1339" spans="1:19" x14ac:dyDescent="0.2">
      <c r="A1339" s="1">
        <v>45898</v>
      </c>
      <c r="B1339" t="s">
        <v>4678</v>
      </c>
      <c r="D1339" t="s">
        <v>4679</v>
      </c>
      <c r="E1339" t="s">
        <v>16</v>
      </c>
      <c r="F1339" t="s">
        <v>82</v>
      </c>
      <c r="G1339" s="14">
        <v>92000</v>
      </c>
      <c r="H1339" s="14">
        <v>90000</v>
      </c>
      <c r="I1339" t="s">
        <v>22</v>
      </c>
      <c r="J1339" t="s">
        <v>22</v>
      </c>
      <c r="K1339" t="s">
        <v>4680</v>
      </c>
      <c r="L1339" t="s">
        <v>821</v>
      </c>
      <c r="M1339" t="s">
        <v>28</v>
      </c>
      <c r="N1339">
        <v>2</v>
      </c>
      <c r="O1339" t="s">
        <v>151</v>
      </c>
      <c r="P1339" t="s">
        <v>41</v>
      </c>
      <c r="Q1339" t="s">
        <v>30</v>
      </c>
      <c r="R1339" t="str">
        <f>VLOOKUP($O1339,'Mapa Oficinas'!$A$7:$C$46,2,FALSE)</f>
        <v>Interior - Neuquén</v>
      </c>
      <c r="S1339" t="str">
        <f>VLOOKUP($O1339,'Mapa Oficinas'!$A$7:$C$46,3,FALSE)</f>
        <v>Capital Neuquén</v>
      </c>
    </row>
    <row r="1340" spans="1:19" x14ac:dyDescent="0.2">
      <c r="A1340" s="1">
        <v>45898</v>
      </c>
      <c r="B1340" t="s">
        <v>4690</v>
      </c>
      <c r="D1340" t="s">
        <v>4691</v>
      </c>
      <c r="E1340" t="s">
        <v>16</v>
      </c>
      <c r="F1340" t="s">
        <v>38</v>
      </c>
      <c r="G1340" s="14">
        <v>75000</v>
      </c>
      <c r="H1340" s="14">
        <v>100000</v>
      </c>
      <c r="I1340" t="s">
        <v>22</v>
      </c>
      <c r="J1340" t="s">
        <v>22</v>
      </c>
      <c r="K1340" t="s">
        <v>4692</v>
      </c>
      <c r="L1340" t="s">
        <v>1585</v>
      </c>
      <c r="M1340" t="s">
        <v>28</v>
      </c>
      <c r="N1340">
        <v>2</v>
      </c>
      <c r="O1340" t="s">
        <v>367</v>
      </c>
      <c r="P1340" t="s">
        <v>41</v>
      </c>
      <c r="Q1340" t="s">
        <v>30</v>
      </c>
      <c r="R1340" t="str">
        <f>VLOOKUP($O1340,'Mapa Oficinas'!$A$7:$C$46,2,FALSE)</f>
        <v>Interior - Neuquén</v>
      </c>
      <c r="S1340" t="str">
        <f>VLOOKUP($O1340,'Mapa Oficinas'!$A$7:$C$46,3,FALSE)</f>
        <v>San Martín de los Andes</v>
      </c>
    </row>
    <row r="1341" spans="1:19" x14ac:dyDescent="0.2">
      <c r="A1341" s="1">
        <v>45898</v>
      </c>
      <c r="B1341" t="s">
        <v>4661</v>
      </c>
      <c r="D1341" t="s">
        <v>4662</v>
      </c>
      <c r="E1341" t="s">
        <v>16</v>
      </c>
      <c r="F1341" t="s">
        <v>17</v>
      </c>
      <c r="G1341" s="14">
        <v>112000</v>
      </c>
      <c r="H1341" s="14">
        <v>108000</v>
      </c>
      <c r="I1341" t="s">
        <v>22</v>
      </c>
      <c r="J1341" t="s">
        <v>22</v>
      </c>
      <c r="K1341" t="s">
        <v>4663</v>
      </c>
      <c r="L1341" t="s">
        <v>727</v>
      </c>
      <c r="M1341" t="s">
        <v>19</v>
      </c>
      <c r="N1341">
        <v>2</v>
      </c>
      <c r="O1341" t="s">
        <v>252</v>
      </c>
      <c r="P1341" t="s">
        <v>276</v>
      </c>
      <c r="Q1341" t="s">
        <v>30</v>
      </c>
      <c r="R1341" t="str">
        <f>VLOOKUP($O1341,'Mapa Oficinas'!$A$7:$C$46,2,FALSE)</f>
        <v>CABA</v>
      </c>
      <c r="S1341" t="str">
        <f>VLOOKUP($O1341,'Mapa Oficinas'!$A$7:$C$46,3,FALSE)</f>
        <v>Belgrano</v>
      </c>
    </row>
    <row r="1342" spans="1:19" x14ac:dyDescent="0.2">
      <c r="A1342" s="1">
        <v>45898</v>
      </c>
      <c r="B1342" t="s">
        <v>4651</v>
      </c>
      <c r="D1342" t="s">
        <v>4143</v>
      </c>
      <c r="E1342" t="s">
        <v>16</v>
      </c>
      <c r="F1342" t="s">
        <v>17</v>
      </c>
      <c r="G1342" s="14">
        <v>126000</v>
      </c>
      <c r="H1342" s="14">
        <v>115000</v>
      </c>
      <c r="I1342" t="s">
        <v>22</v>
      </c>
      <c r="J1342" t="s">
        <v>22</v>
      </c>
      <c r="K1342" t="s">
        <v>4144</v>
      </c>
      <c r="L1342" t="s">
        <v>111</v>
      </c>
      <c r="M1342" t="s">
        <v>19</v>
      </c>
      <c r="N1342">
        <v>2</v>
      </c>
      <c r="O1342" t="s">
        <v>103</v>
      </c>
      <c r="P1342" t="s">
        <v>21</v>
      </c>
      <c r="Q1342" t="s">
        <v>30</v>
      </c>
      <c r="R1342" t="str">
        <f>VLOOKUP($O1342,'Mapa Oficinas'!$A$7:$C$46,2,FALSE)</f>
        <v>CABA</v>
      </c>
      <c r="S1342" t="str">
        <f>VLOOKUP($O1342,'Mapa Oficinas'!$A$7:$C$46,3,FALSE)</f>
        <v>Barrio Parque</v>
      </c>
    </row>
    <row r="1343" spans="1:19" x14ac:dyDescent="0.2">
      <c r="A1343" s="1">
        <v>45898</v>
      </c>
      <c r="B1343" t="s">
        <v>4650</v>
      </c>
      <c r="D1343" t="s">
        <v>4650</v>
      </c>
      <c r="E1343" t="s">
        <v>16</v>
      </c>
      <c r="F1343" t="s">
        <v>17</v>
      </c>
      <c r="G1343" s="14">
        <v>120000</v>
      </c>
      <c r="H1343" s="14">
        <v>120000</v>
      </c>
      <c r="I1343" t="s">
        <v>22</v>
      </c>
      <c r="J1343" t="s">
        <v>22</v>
      </c>
      <c r="L1343" t="s">
        <v>1309</v>
      </c>
      <c r="M1343" t="s">
        <v>72</v>
      </c>
      <c r="N1343">
        <v>2</v>
      </c>
      <c r="O1343" t="s">
        <v>151</v>
      </c>
      <c r="P1343" t="s">
        <v>21</v>
      </c>
      <c r="Q1343" t="s">
        <v>30</v>
      </c>
      <c r="R1343" t="str">
        <f>VLOOKUP($O1343,'Mapa Oficinas'!$A$7:$C$46,2,FALSE)</f>
        <v>Interior - Neuquén</v>
      </c>
      <c r="S1343" t="str">
        <f>VLOOKUP($O1343,'Mapa Oficinas'!$A$7:$C$46,3,FALSE)</f>
        <v>Capital Neuquén</v>
      </c>
    </row>
    <row r="1344" spans="1:19" x14ac:dyDescent="0.2">
      <c r="A1344" s="1">
        <v>45898</v>
      </c>
      <c r="B1344" t="s">
        <v>4696</v>
      </c>
      <c r="D1344" t="s">
        <v>4696</v>
      </c>
      <c r="E1344" t="s">
        <v>16</v>
      </c>
      <c r="F1344" t="s">
        <v>17</v>
      </c>
      <c r="G1344" s="14">
        <v>124000</v>
      </c>
      <c r="H1344" s="14">
        <v>124000</v>
      </c>
      <c r="I1344" t="s">
        <v>22</v>
      </c>
      <c r="J1344" t="s">
        <v>22</v>
      </c>
      <c r="K1344" t="s">
        <v>4696</v>
      </c>
      <c r="L1344" t="s">
        <v>111</v>
      </c>
      <c r="M1344" t="s">
        <v>19</v>
      </c>
      <c r="N1344">
        <v>1</v>
      </c>
      <c r="O1344" t="s">
        <v>20</v>
      </c>
      <c r="P1344" t="s">
        <v>146</v>
      </c>
      <c r="Q1344" t="s">
        <v>30</v>
      </c>
      <c r="R1344" t="str">
        <f>VLOOKUP($O1344,'Mapa Oficinas'!$A$7:$C$46,2,FALSE)</f>
        <v>CABA</v>
      </c>
      <c r="S1344" t="str">
        <f>VLOOKUP($O1344,'Mapa Oficinas'!$A$7:$C$46,3,FALSE)</f>
        <v>Palermo</v>
      </c>
    </row>
    <row r="1345" spans="1:19" x14ac:dyDescent="0.2">
      <c r="A1345" s="1">
        <v>45898</v>
      </c>
      <c r="B1345" t="s">
        <v>4684</v>
      </c>
      <c r="D1345" t="s">
        <v>4685</v>
      </c>
      <c r="E1345" t="s">
        <v>16</v>
      </c>
      <c r="F1345" t="s">
        <v>17</v>
      </c>
      <c r="G1345" s="14">
        <v>130000</v>
      </c>
      <c r="H1345" s="14">
        <v>125000</v>
      </c>
      <c r="I1345" t="s">
        <v>22</v>
      </c>
      <c r="J1345" t="s">
        <v>22</v>
      </c>
      <c r="K1345" t="s">
        <v>4686</v>
      </c>
      <c r="L1345" t="s">
        <v>821</v>
      </c>
      <c r="M1345" t="s">
        <v>28</v>
      </c>
      <c r="N1345">
        <v>2</v>
      </c>
      <c r="O1345" t="s">
        <v>151</v>
      </c>
      <c r="P1345" t="s">
        <v>21</v>
      </c>
      <c r="Q1345" t="s">
        <v>30</v>
      </c>
      <c r="R1345" t="str">
        <f>VLOOKUP($O1345,'Mapa Oficinas'!$A$7:$C$46,2,FALSE)</f>
        <v>Interior - Neuquén</v>
      </c>
      <c r="S1345" t="str">
        <f>VLOOKUP($O1345,'Mapa Oficinas'!$A$7:$C$46,3,FALSE)</f>
        <v>Capital Neuquén</v>
      </c>
    </row>
    <row r="1346" spans="1:19" x14ac:dyDescent="0.2">
      <c r="A1346" s="1">
        <v>45898</v>
      </c>
      <c r="B1346" t="s">
        <v>4638</v>
      </c>
      <c r="D1346" t="s">
        <v>4639</v>
      </c>
      <c r="E1346" t="s">
        <v>16</v>
      </c>
      <c r="F1346" t="s">
        <v>134</v>
      </c>
      <c r="G1346" s="14">
        <v>136080</v>
      </c>
      <c r="H1346" s="14">
        <v>136080</v>
      </c>
      <c r="I1346" t="s">
        <v>22</v>
      </c>
      <c r="J1346" t="s">
        <v>22</v>
      </c>
      <c r="K1346" t="s">
        <v>2901</v>
      </c>
      <c r="L1346" t="s">
        <v>129</v>
      </c>
      <c r="M1346" t="s">
        <v>19</v>
      </c>
      <c r="N1346">
        <v>2</v>
      </c>
      <c r="O1346" t="s">
        <v>130</v>
      </c>
      <c r="P1346" t="s">
        <v>21</v>
      </c>
      <c r="Q1346" t="s">
        <v>30</v>
      </c>
      <c r="R1346" t="str">
        <f>VLOOKUP($O1346,'Mapa Oficinas'!$A$7:$C$46,2,FALSE)</f>
        <v>Interior - Río Negro</v>
      </c>
      <c r="S1346" t="str">
        <f>VLOOKUP($O1346,'Mapa Oficinas'!$A$7:$C$46,3,FALSE)</f>
        <v>Bariloche</v>
      </c>
    </row>
    <row r="1347" spans="1:19" x14ac:dyDescent="0.2">
      <c r="A1347" s="1">
        <v>45898</v>
      </c>
      <c r="B1347" t="s">
        <v>4681</v>
      </c>
      <c r="D1347" t="s">
        <v>4682</v>
      </c>
      <c r="E1347" t="s">
        <v>16</v>
      </c>
      <c r="F1347" t="s">
        <v>53</v>
      </c>
      <c r="G1347" s="14">
        <v>165000</v>
      </c>
      <c r="H1347" s="14">
        <v>165000</v>
      </c>
      <c r="I1347" t="s">
        <v>22</v>
      </c>
      <c r="J1347" t="s">
        <v>22</v>
      </c>
      <c r="K1347" t="s">
        <v>4683</v>
      </c>
      <c r="L1347" t="s">
        <v>821</v>
      </c>
      <c r="M1347" t="s">
        <v>28</v>
      </c>
      <c r="N1347">
        <v>2</v>
      </c>
      <c r="O1347" t="s">
        <v>151</v>
      </c>
      <c r="P1347" t="s">
        <v>21</v>
      </c>
      <c r="Q1347" t="s">
        <v>30</v>
      </c>
      <c r="R1347" t="str">
        <f>VLOOKUP($O1347,'Mapa Oficinas'!$A$7:$C$46,2,FALSE)</f>
        <v>Interior - Neuquén</v>
      </c>
      <c r="S1347" t="str">
        <f>VLOOKUP($O1347,'Mapa Oficinas'!$A$7:$C$46,3,FALSE)</f>
        <v>Capital Neuquén</v>
      </c>
    </row>
    <row r="1348" spans="1:19" x14ac:dyDescent="0.2">
      <c r="A1348" s="1">
        <v>45898</v>
      </c>
      <c r="B1348" t="s">
        <v>4675</v>
      </c>
      <c r="D1348" t="s">
        <v>4676</v>
      </c>
      <c r="E1348" t="s">
        <v>16</v>
      </c>
      <c r="F1348" t="s">
        <v>17</v>
      </c>
      <c r="G1348" s="14">
        <v>190000</v>
      </c>
      <c r="H1348" s="14">
        <v>180000</v>
      </c>
      <c r="I1348" t="s">
        <v>22</v>
      </c>
      <c r="J1348" t="s">
        <v>22</v>
      </c>
      <c r="K1348" t="s">
        <v>4677</v>
      </c>
      <c r="L1348" t="s">
        <v>79</v>
      </c>
      <c r="M1348" t="s">
        <v>19</v>
      </c>
      <c r="N1348">
        <v>2</v>
      </c>
      <c r="O1348" t="s">
        <v>103</v>
      </c>
      <c r="P1348" t="s">
        <v>21</v>
      </c>
      <c r="Q1348" t="s">
        <v>30</v>
      </c>
      <c r="R1348" t="str">
        <f>VLOOKUP($O1348,'Mapa Oficinas'!$A$7:$C$46,2,FALSE)</f>
        <v>CABA</v>
      </c>
      <c r="S1348" t="str">
        <f>VLOOKUP($O1348,'Mapa Oficinas'!$A$7:$C$46,3,FALSE)</f>
        <v>Barrio Parque</v>
      </c>
    </row>
    <row r="1349" spans="1:19" x14ac:dyDescent="0.2">
      <c r="A1349" s="1">
        <v>45898</v>
      </c>
      <c r="B1349" t="s">
        <v>4643</v>
      </c>
      <c r="D1349" t="s">
        <v>4398</v>
      </c>
      <c r="E1349" t="s">
        <v>16</v>
      </c>
      <c r="F1349" t="s">
        <v>47</v>
      </c>
      <c r="G1349" s="14">
        <v>190000</v>
      </c>
      <c r="H1349" s="14">
        <v>190000</v>
      </c>
      <c r="I1349" t="s">
        <v>22</v>
      </c>
      <c r="J1349" t="s">
        <v>22</v>
      </c>
      <c r="K1349" t="s">
        <v>4644</v>
      </c>
      <c r="L1349" t="s">
        <v>191</v>
      </c>
      <c r="M1349" t="s">
        <v>19</v>
      </c>
      <c r="N1349">
        <v>1</v>
      </c>
      <c r="O1349" t="s">
        <v>73</v>
      </c>
      <c r="P1349" t="s">
        <v>146</v>
      </c>
      <c r="Q1349" t="s">
        <v>30</v>
      </c>
      <c r="R1349" t="str">
        <f>VLOOKUP($O1349,'Mapa Oficinas'!$A$7:$C$46,2,FALSE)</f>
        <v>CABA</v>
      </c>
      <c r="S1349" t="str">
        <f>VLOOKUP($O1349,'Mapa Oficinas'!$A$7:$C$46,3,FALSE)</f>
        <v>Recoleta</v>
      </c>
    </row>
    <row r="1350" spans="1:19" x14ac:dyDescent="0.2">
      <c r="A1350" s="1">
        <v>45898</v>
      </c>
      <c r="B1350" t="s">
        <v>4669</v>
      </c>
      <c r="D1350" t="s">
        <v>4670</v>
      </c>
      <c r="E1350" t="s">
        <v>16</v>
      </c>
      <c r="F1350" t="s">
        <v>17</v>
      </c>
      <c r="G1350" s="14">
        <v>193000</v>
      </c>
      <c r="H1350" s="14">
        <v>193000</v>
      </c>
      <c r="I1350" t="s">
        <v>22</v>
      </c>
      <c r="J1350" t="s">
        <v>22</v>
      </c>
      <c r="L1350" t="s">
        <v>189</v>
      </c>
      <c r="M1350" t="s">
        <v>72</v>
      </c>
      <c r="N1350">
        <v>2</v>
      </c>
      <c r="O1350" t="s">
        <v>151</v>
      </c>
      <c r="P1350" t="s">
        <v>21</v>
      </c>
      <c r="Q1350" t="s">
        <v>30</v>
      </c>
      <c r="R1350" t="str">
        <f>VLOOKUP($O1350,'Mapa Oficinas'!$A$7:$C$46,2,FALSE)</f>
        <v>Interior - Neuquén</v>
      </c>
      <c r="S1350" t="str">
        <f>VLOOKUP($O1350,'Mapa Oficinas'!$A$7:$C$46,3,FALSE)</f>
        <v>Capital Neuquén</v>
      </c>
    </row>
    <row r="1351" spans="1:19" x14ac:dyDescent="0.2">
      <c r="A1351" s="1">
        <v>45898</v>
      </c>
      <c r="D1351" t="s">
        <v>4648</v>
      </c>
      <c r="E1351" t="s">
        <v>16</v>
      </c>
      <c r="F1351" t="s">
        <v>17</v>
      </c>
      <c r="G1351" s="14">
        <v>193000</v>
      </c>
      <c r="H1351" s="14">
        <v>193000</v>
      </c>
      <c r="I1351" t="s">
        <v>22</v>
      </c>
      <c r="J1351" t="s">
        <v>22</v>
      </c>
      <c r="K1351" t="s">
        <v>4649</v>
      </c>
      <c r="L1351" t="s">
        <v>79</v>
      </c>
      <c r="M1351" t="s">
        <v>97</v>
      </c>
      <c r="N1351">
        <v>1</v>
      </c>
      <c r="O1351" t="s">
        <v>201</v>
      </c>
      <c r="P1351" t="s">
        <v>146</v>
      </c>
      <c r="Q1351" t="s">
        <v>30</v>
      </c>
      <c r="R1351" t="str">
        <f>VLOOKUP($O1351,'Mapa Oficinas'!$A$7:$C$46,2,FALSE)</f>
        <v>CABA</v>
      </c>
      <c r="S1351" t="str">
        <f>VLOOKUP($O1351,'Mapa Oficinas'!$A$7:$C$46,3,FALSE)</f>
        <v>Recoleta</v>
      </c>
    </row>
    <row r="1352" spans="1:19" x14ac:dyDescent="0.2">
      <c r="A1352" s="1">
        <v>45898</v>
      </c>
      <c r="B1352" t="s">
        <v>4630</v>
      </c>
      <c r="D1352" t="s">
        <v>4631</v>
      </c>
      <c r="E1352" t="s">
        <v>16</v>
      </c>
      <c r="F1352" t="s">
        <v>17</v>
      </c>
      <c r="G1352" s="14">
        <v>210000</v>
      </c>
      <c r="H1352" s="14">
        <v>204000</v>
      </c>
      <c r="I1352" t="s">
        <v>22</v>
      </c>
      <c r="J1352" t="s">
        <v>22</v>
      </c>
      <c r="K1352" t="s">
        <v>4359</v>
      </c>
      <c r="L1352" t="s">
        <v>676</v>
      </c>
      <c r="M1352" t="s">
        <v>19</v>
      </c>
      <c r="N1352">
        <v>2</v>
      </c>
      <c r="O1352" t="s">
        <v>142</v>
      </c>
      <c r="P1352" t="s">
        <v>21</v>
      </c>
      <c r="Q1352" t="s">
        <v>30</v>
      </c>
      <c r="R1352" t="str">
        <f>VLOOKUP($O1352,'Mapa Oficinas'!$A$7:$C$46,2,FALSE)</f>
        <v>Zona Norte (GBA)</v>
      </c>
      <c r="S1352" t="str">
        <f>VLOOKUP($O1352,'Mapa Oficinas'!$A$7:$C$46,3,FALSE)</f>
        <v>Nordelta</v>
      </c>
    </row>
    <row r="1353" spans="1:19" x14ac:dyDescent="0.2">
      <c r="A1353" s="1">
        <v>45898</v>
      </c>
      <c r="B1353" t="s">
        <v>4655</v>
      </c>
      <c r="D1353" t="s">
        <v>4656</v>
      </c>
      <c r="E1353" t="s">
        <v>16</v>
      </c>
      <c r="F1353" t="s">
        <v>38</v>
      </c>
      <c r="G1353" s="14">
        <v>290000</v>
      </c>
      <c r="H1353" s="14">
        <v>240000</v>
      </c>
      <c r="I1353" t="s">
        <v>22</v>
      </c>
      <c r="J1353" t="s">
        <v>22</v>
      </c>
      <c r="K1353" t="s">
        <v>4657</v>
      </c>
      <c r="L1353" t="s">
        <v>4658</v>
      </c>
      <c r="M1353" t="s">
        <v>28</v>
      </c>
      <c r="N1353">
        <v>2</v>
      </c>
      <c r="O1353" t="s">
        <v>142</v>
      </c>
      <c r="P1353" t="s">
        <v>21</v>
      </c>
      <c r="Q1353" t="s">
        <v>30</v>
      </c>
      <c r="R1353" t="str">
        <f>VLOOKUP($O1353,'Mapa Oficinas'!$A$7:$C$46,2,FALSE)</f>
        <v>Zona Norte (GBA)</v>
      </c>
      <c r="S1353" t="str">
        <f>VLOOKUP($O1353,'Mapa Oficinas'!$A$7:$C$46,3,FALSE)</f>
        <v>Nordelta</v>
      </c>
    </row>
    <row r="1354" spans="1:19" x14ac:dyDescent="0.2">
      <c r="A1354" s="1">
        <v>45898</v>
      </c>
      <c r="B1354" t="s">
        <v>4664</v>
      </c>
      <c r="D1354" t="s">
        <v>4665</v>
      </c>
      <c r="E1354" t="s">
        <v>16</v>
      </c>
      <c r="F1354" t="s">
        <v>17</v>
      </c>
      <c r="G1354" s="14">
        <v>285000</v>
      </c>
      <c r="H1354" s="14">
        <v>280000</v>
      </c>
      <c r="I1354" t="s">
        <v>22</v>
      </c>
      <c r="J1354" t="s">
        <v>22</v>
      </c>
      <c r="K1354" t="s">
        <v>4666</v>
      </c>
      <c r="L1354" t="s">
        <v>111</v>
      </c>
      <c r="M1354" t="s">
        <v>19</v>
      </c>
      <c r="N1354">
        <v>2</v>
      </c>
      <c r="O1354" t="s">
        <v>252</v>
      </c>
      <c r="P1354" t="s">
        <v>276</v>
      </c>
      <c r="Q1354" t="s">
        <v>30</v>
      </c>
      <c r="R1354" t="str">
        <f>VLOOKUP($O1354,'Mapa Oficinas'!$A$7:$C$46,2,FALSE)</f>
        <v>CABA</v>
      </c>
      <c r="S1354" t="str">
        <f>VLOOKUP($O1354,'Mapa Oficinas'!$A$7:$C$46,3,FALSE)</f>
        <v>Belgrano</v>
      </c>
    </row>
    <row r="1355" spans="1:19" x14ac:dyDescent="0.2">
      <c r="A1355" s="1">
        <v>45898</v>
      </c>
      <c r="B1355" t="s">
        <v>4640</v>
      </c>
      <c r="D1355" t="s">
        <v>4641</v>
      </c>
      <c r="E1355" t="s">
        <v>16</v>
      </c>
      <c r="F1355" t="s">
        <v>17</v>
      </c>
      <c r="G1355" s="14">
        <v>299000</v>
      </c>
      <c r="H1355" s="14">
        <v>280000</v>
      </c>
      <c r="I1355" t="s">
        <v>22</v>
      </c>
      <c r="J1355" t="s">
        <v>22</v>
      </c>
      <c r="K1355" t="s">
        <v>4642</v>
      </c>
      <c r="L1355" t="s">
        <v>200</v>
      </c>
      <c r="M1355" t="s">
        <v>28</v>
      </c>
      <c r="N1355">
        <v>2</v>
      </c>
      <c r="O1355" t="s">
        <v>116</v>
      </c>
      <c r="P1355" t="s">
        <v>21</v>
      </c>
      <c r="Q1355" t="s">
        <v>30</v>
      </c>
      <c r="R1355" t="str">
        <f>VLOOKUP($O1355,'Mapa Oficinas'!$A$7:$C$46,2,FALSE)</f>
        <v>CABA</v>
      </c>
      <c r="S1355" t="str">
        <f>VLOOKUP($O1355,'Mapa Oficinas'!$A$7:$C$46,3,FALSE)</f>
        <v>Puerto Madero</v>
      </c>
    </row>
    <row r="1356" spans="1:19" x14ac:dyDescent="0.2">
      <c r="A1356" s="1">
        <v>45898</v>
      </c>
      <c r="B1356" t="s">
        <v>4645</v>
      </c>
      <c r="D1356" t="s">
        <v>4646</v>
      </c>
      <c r="E1356" t="s">
        <v>16</v>
      </c>
      <c r="F1356" t="s">
        <v>38</v>
      </c>
      <c r="G1356" s="14">
        <v>380000</v>
      </c>
      <c r="H1356" s="14">
        <v>350000</v>
      </c>
      <c r="I1356" t="s">
        <v>22</v>
      </c>
      <c r="J1356" t="s">
        <v>22</v>
      </c>
      <c r="K1356" t="s">
        <v>4646</v>
      </c>
      <c r="L1356" t="s">
        <v>4647</v>
      </c>
      <c r="M1356" t="s">
        <v>28</v>
      </c>
      <c r="N1356">
        <v>2</v>
      </c>
      <c r="O1356" t="s">
        <v>40</v>
      </c>
      <c r="P1356" t="s">
        <v>44</v>
      </c>
      <c r="Q1356" t="s">
        <v>30</v>
      </c>
      <c r="R1356" t="str">
        <f>VLOOKUP($O1356,'Mapa Oficinas'!$A$7:$C$46,2,FALSE)</f>
        <v>Zona Norte (GBA)</v>
      </c>
      <c r="S1356" t="str">
        <f>VLOOKUP($O1356,'Mapa Oficinas'!$A$7:$C$46,3,FALSE)</f>
        <v>Pilar</v>
      </c>
    </row>
    <row r="1357" spans="1:19" x14ac:dyDescent="0.2">
      <c r="A1357" s="1">
        <v>45898</v>
      </c>
      <c r="B1357" t="s">
        <v>4700</v>
      </c>
      <c r="D1357" t="s">
        <v>4701</v>
      </c>
      <c r="E1357" t="s">
        <v>16</v>
      </c>
      <c r="F1357" t="s">
        <v>17</v>
      </c>
      <c r="G1357" s="14">
        <v>430000</v>
      </c>
      <c r="H1357" s="14">
        <v>400000</v>
      </c>
      <c r="I1357" t="s">
        <v>22</v>
      </c>
      <c r="J1357" t="s">
        <v>22</v>
      </c>
      <c r="K1357" t="s">
        <v>4702</v>
      </c>
      <c r="L1357" t="s">
        <v>277</v>
      </c>
      <c r="M1357" t="s">
        <v>19</v>
      </c>
      <c r="N1357">
        <v>2</v>
      </c>
      <c r="O1357" t="s">
        <v>20</v>
      </c>
      <c r="P1357" t="s">
        <v>21</v>
      </c>
      <c r="Q1357" t="s">
        <v>30</v>
      </c>
      <c r="R1357" t="str">
        <f>VLOOKUP($O1357,'Mapa Oficinas'!$A$7:$C$46,2,FALSE)</f>
        <v>CABA</v>
      </c>
      <c r="S1357" t="str">
        <f>VLOOKUP($O1357,'Mapa Oficinas'!$A$7:$C$46,3,FALSE)</f>
        <v>Palermo</v>
      </c>
    </row>
    <row r="1358" spans="1:19" x14ac:dyDescent="0.2">
      <c r="A1358" s="1">
        <v>45899</v>
      </c>
      <c r="B1358" t="s">
        <v>4625</v>
      </c>
      <c r="D1358" t="s">
        <v>4626</v>
      </c>
      <c r="E1358" t="s">
        <v>16</v>
      </c>
      <c r="F1358" t="s">
        <v>47</v>
      </c>
      <c r="G1358" s="14">
        <v>97900</v>
      </c>
      <c r="H1358" s="14">
        <v>48000</v>
      </c>
      <c r="I1358" t="s">
        <v>22</v>
      </c>
      <c r="J1358" t="s">
        <v>22</v>
      </c>
      <c r="K1358" t="s">
        <v>4627</v>
      </c>
      <c r="L1358" t="s">
        <v>1498</v>
      </c>
      <c r="M1358" t="s">
        <v>19</v>
      </c>
      <c r="N1358">
        <v>2</v>
      </c>
      <c r="O1358" t="s">
        <v>50</v>
      </c>
      <c r="P1358" t="s">
        <v>21</v>
      </c>
      <c r="Q1358" t="s">
        <v>30</v>
      </c>
      <c r="R1358" t="str">
        <f>VLOOKUP($O1358,'Mapa Oficinas'!$A$7:$C$46,2,FALSE)</f>
        <v>CABA</v>
      </c>
      <c r="S1358" t="str">
        <f>VLOOKUP($O1358,'Mapa Oficinas'!$A$7:$C$46,3,FALSE)</f>
        <v>Villa Urquiza</v>
      </c>
    </row>
    <row r="1359" spans="1:19" x14ac:dyDescent="0.2">
      <c r="A1359" s="1">
        <v>45899</v>
      </c>
      <c r="B1359" t="s">
        <v>4619</v>
      </c>
      <c r="D1359" t="s">
        <v>4620</v>
      </c>
      <c r="E1359" t="s">
        <v>16</v>
      </c>
      <c r="F1359" t="s">
        <v>17</v>
      </c>
      <c r="G1359" s="14">
        <v>126900</v>
      </c>
      <c r="H1359" s="14">
        <v>112500</v>
      </c>
      <c r="I1359" t="s">
        <v>22</v>
      </c>
      <c r="J1359" t="s">
        <v>22</v>
      </c>
      <c r="K1359" t="s">
        <v>4621</v>
      </c>
      <c r="L1359" t="s">
        <v>4622</v>
      </c>
      <c r="M1359" t="s">
        <v>28</v>
      </c>
      <c r="N1359">
        <v>2</v>
      </c>
      <c r="O1359" t="s">
        <v>50</v>
      </c>
      <c r="P1359" t="s">
        <v>21</v>
      </c>
      <c r="Q1359" t="s">
        <v>30</v>
      </c>
      <c r="R1359" t="str">
        <f>VLOOKUP($O1359,'Mapa Oficinas'!$A$7:$C$46,2,FALSE)</f>
        <v>CABA</v>
      </c>
      <c r="S1359" t="str">
        <f>VLOOKUP($O1359,'Mapa Oficinas'!$A$7:$C$46,3,FALSE)</f>
        <v>Villa Urquiza</v>
      </c>
    </row>
    <row r="1360" spans="1:19" x14ac:dyDescent="0.2">
      <c r="A1360" s="1">
        <v>45899</v>
      </c>
      <c r="B1360">
        <v>29</v>
      </c>
      <c r="D1360" t="s">
        <v>4628</v>
      </c>
      <c r="E1360" t="s">
        <v>16</v>
      </c>
      <c r="F1360" t="s">
        <v>17</v>
      </c>
      <c r="G1360" s="14">
        <v>134000</v>
      </c>
      <c r="H1360" s="14">
        <v>134000</v>
      </c>
      <c r="I1360" t="s">
        <v>22</v>
      </c>
      <c r="J1360" t="s">
        <v>22</v>
      </c>
      <c r="K1360" t="s">
        <v>4629</v>
      </c>
      <c r="L1360" t="s">
        <v>217</v>
      </c>
      <c r="M1360" t="s">
        <v>19</v>
      </c>
      <c r="N1360">
        <v>1</v>
      </c>
      <c r="O1360" t="s">
        <v>116</v>
      </c>
      <c r="P1360" t="s">
        <v>146</v>
      </c>
      <c r="Q1360" t="s">
        <v>30</v>
      </c>
      <c r="R1360" t="str">
        <f>VLOOKUP($O1360,'Mapa Oficinas'!$A$7:$C$46,2,FALSE)</f>
        <v>CABA</v>
      </c>
      <c r="S1360" t="str">
        <f>VLOOKUP($O1360,'Mapa Oficinas'!$A$7:$C$46,3,FALSE)</f>
        <v>Puerto Madero</v>
      </c>
    </row>
    <row r="1361" spans="1:19" x14ac:dyDescent="0.2">
      <c r="A1361" s="1">
        <v>45899</v>
      </c>
      <c r="B1361" t="s">
        <v>4623</v>
      </c>
      <c r="D1361" t="s">
        <v>4624</v>
      </c>
      <c r="E1361" t="s">
        <v>16</v>
      </c>
      <c r="F1361" t="s">
        <v>58</v>
      </c>
      <c r="G1361" s="14">
        <v>131100</v>
      </c>
      <c r="H1361" s="14">
        <v>144200</v>
      </c>
      <c r="I1361" t="s">
        <v>22</v>
      </c>
      <c r="J1361" t="s">
        <v>22</v>
      </c>
      <c r="K1361" t="s">
        <v>3864</v>
      </c>
      <c r="L1361" t="s">
        <v>3865</v>
      </c>
      <c r="M1361" t="s">
        <v>19</v>
      </c>
      <c r="N1361">
        <v>2</v>
      </c>
      <c r="O1361" t="s">
        <v>50</v>
      </c>
      <c r="P1361" t="s">
        <v>21</v>
      </c>
      <c r="Q1361" t="s">
        <v>30</v>
      </c>
      <c r="R1361" t="str">
        <f>VLOOKUP($O1361,'Mapa Oficinas'!$A$7:$C$46,2,FALSE)</f>
        <v>CABA</v>
      </c>
      <c r="S1361" t="str">
        <f>VLOOKUP($O1361,'Mapa Oficinas'!$A$7:$C$46,3,FALSE)</f>
        <v>Villa Urquiza</v>
      </c>
    </row>
    <row r="1362" spans="1:19" x14ac:dyDescent="0.2">
      <c r="A1362" s="1">
        <v>45900</v>
      </c>
      <c r="B1362" t="s">
        <v>4616</v>
      </c>
      <c r="D1362" t="s">
        <v>4617</v>
      </c>
      <c r="E1362" t="s">
        <v>16</v>
      </c>
      <c r="F1362" t="s">
        <v>47</v>
      </c>
      <c r="G1362" s="14">
        <v>410000</v>
      </c>
      <c r="H1362" s="14">
        <v>350000</v>
      </c>
      <c r="I1362" t="s">
        <v>22</v>
      </c>
      <c r="J1362" t="s">
        <v>22</v>
      </c>
      <c r="K1362" t="s">
        <v>4618</v>
      </c>
      <c r="L1362" t="s">
        <v>111</v>
      </c>
      <c r="M1362" t="s">
        <v>97</v>
      </c>
      <c r="N1362">
        <v>2</v>
      </c>
      <c r="O1362" t="s">
        <v>50</v>
      </c>
      <c r="P1362" t="s">
        <v>21</v>
      </c>
      <c r="Q1362" t="s">
        <v>30</v>
      </c>
      <c r="R1362" t="str">
        <f>VLOOKUP($O1362,'Mapa Oficinas'!$A$7:$C$46,2,FALSE)</f>
        <v>CABA</v>
      </c>
      <c r="S1362" t="str">
        <f>VLOOKUP($O1362,'Mapa Oficinas'!$A$7:$C$46,3,FALSE)</f>
        <v>Villa Urquiza</v>
      </c>
    </row>
    <row r="1363" spans="1:19" x14ac:dyDescent="0.2">
      <c r="A1363" s="1">
        <v>45901</v>
      </c>
      <c r="B1363" t="s">
        <v>4602</v>
      </c>
      <c r="D1363" t="s">
        <v>4603</v>
      </c>
      <c r="E1363" t="s">
        <v>16</v>
      </c>
      <c r="F1363" t="s">
        <v>17</v>
      </c>
      <c r="G1363" s="14">
        <v>60000</v>
      </c>
      <c r="H1363" s="14">
        <v>51000</v>
      </c>
      <c r="I1363" t="s">
        <v>22</v>
      </c>
      <c r="J1363" t="s">
        <v>22</v>
      </c>
      <c r="K1363" t="s">
        <v>4604</v>
      </c>
      <c r="L1363" t="s">
        <v>4605</v>
      </c>
      <c r="M1363" t="s">
        <v>28</v>
      </c>
      <c r="N1363">
        <v>2</v>
      </c>
      <c r="O1363" t="s">
        <v>201</v>
      </c>
      <c r="P1363" t="s">
        <v>41</v>
      </c>
      <c r="Q1363" t="s">
        <v>30</v>
      </c>
      <c r="R1363" t="str">
        <f>VLOOKUP($O1363,'Mapa Oficinas'!$A$7:$C$46,2,FALSE)</f>
        <v>CABA</v>
      </c>
      <c r="S1363" t="str">
        <f>VLOOKUP($O1363,'Mapa Oficinas'!$A$7:$C$46,3,FALSE)</f>
        <v>Recoleta</v>
      </c>
    </row>
    <row r="1364" spans="1:19" x14ac:dyDescent="0.2">
      <c r="A1364" s="1">
        <v>45901</v>
      </c>
      <c r="B1364" t="s">
        <v>4606</v>
      </c>
      <c r="D1364" t="s">
        <v>4607</v>
      </c>
      <c r="E1364" t="s">
        <v>16</v>
      </c>
      <c r="F1364" t="s">
        <v>58</v>
      </c>
      <c r="G1364" s="14">
        <v>104500</v>
      </c>
      <c r="H1364" s="14">
        <v>104000</v>
      </c>
      <c r="I1364" t="s">
        <v>22</v>
      </c>
      <c r="J1364" t="s">
        <v>22</v>
      </c>
      <c r="K1364" t="s">
        <v>4608</v>
      </c>
      <c r="L1364" t="s">
        <v>4609</v>
      </c>
      <c r="M1364" t="s">
        <v>72</v>
      </c>
      <c r="N1364">
        <v>2</v>
      </c>
      <c r="O1364" t="s">
        <v>198</v>
      </c>
      <c r="P1364" t="s">
        <v>276</v>
      </c>
      <c r="Q1364" t="s">
        <v>30</v>
      </c>
      <c r="R1364" t="str">
        <f>VLOOKUP($O1364,'Mapa Oficinas'!$A$7:$C$46,2,FALSE)</f>
        <v>CABA</v>
      </c>
      <c r="S1364" t="str">
        <f>VLOOKUP($O1364,'Mapa Oficinas'!$A$7:$C$46,3,FALSE)</f>
        <v>Caballito</v>
      </c>
    </row>
    <row r="1365" spans="1:19" x14ac:dyDescent="0.2">
      <c r="A1365" s="1">
        <v>45901</v>
      </c>
      <c r="B1365" t="s">
        <v>4598</v>
      </c>
      <c r="D1365" t="s">
        <v>4599</v>
      </c>
      <c r="E1365" t="s">
        <v>16</v>
      </c>
      <c r="F1365" t="s">
        <v>17</v>
      </c>
      <c r="G1365" s="14">
        <v>134900</v>
      </c>
      <c r="H1365" s="14">
        <v>115000</v>
      </c>
      <c r="I1365" t="s">
        <v>22</v>
      </c>
      <c r="J1365" t="s">
        <v>22</v>
      </c>
      <c r="K1365" t="s">
        <v>4600</v>
      </c>
      <c r="L1365" t="s">
        <v>4601</v>
      </c>
      <c r="M1365" t="s">
        <v>28</v>
      </c>
      <c r="N1365">
        <v>2</v>
      </c>
      <c r="O1365" t="s">
        <v>227</v>
      </c>
      <c r="P1365" t="s">
        <v>21</v>
      </c>
      <c r="Q1365" t="s">
        <v>30</v>
      </c>
      <c r="R1365" t="str">
        <f>VLOOKUP($O1365,'Mapa Oficinas'!$A$7:$C$46,2,FALSE)</f>
        <v>Zona Oeste (GBA)</v>
      </c>
      <c r="S1365" t="str">
        <f>VLOOKUP($O1365,'Mapa Oficinas'!$A$7:$C$46,3,FALSE)</f>
        <v>Parque Leloir</v>
      </c>
    </row>
    <row r="1366" spans="1:19" x14ac:dyDescent="0.2">
      <c r="A1366" s="1">
        <v>45901</v>
      </c>
      <c r="B1366" t="s">
        <v>4610</v>
      </c>
      <c r="D1366" t="s">
        <v>4611</v>
      </c>
      <c r="E1366" t="s">
        <v>16</v>
      </c>
      <c r="F1366" t="s">
        <v>17</v>
      </c>
      <c r="G1366" s="14">
        <v>145000</v>
      </c>
      <c r="H1366" s="14">
        <v>135000</v>
      </c>
      <c r="I1366" t="s">
        <v>22</v>
      </c>
      <c r="J1366" t="s">
        <v>22</v>
      </c>
      <c r="K1366" t="s">
        <v>4612</v>
      </c>
      <c r="L1366" t="s">
        <v>1633</v>
      </c>
      <c r="M1366" t="s">
        <v>19</v>
      </c>
      <c r="N1366">
        <v>2</v>
      </c>
      <c r="O1366" t="s">
        <v>29</v>
      </c>
      <c r="P1366" t="s">
        <v>21</v>
      </c>
      <c r="Q1366" t="s">
        <v>30</v>
      </c>
      <c r="R1366" t="str">
        <f>VLOOKUP($O1366,'Mapa Oficinas'!$A$7:$C$46,2,FALSE)</f>
        <v>CABA</v>
      </c>
      <c r="S1366" t="str">
        <f>VLOOKUP($O1366,'Mapa Oficinas'!$A$7:$C$46,3,FALSE)</f>
        <v>Núñez</v>
      </c>
    </row>
    <row r="1367" spans="1:19" x14ac:dyDescent="0.2">
      <c r="A1367" s="1">
        <v>45902</v>
      </c>
      <c r="B1367" t="s">
        <v>4589</v>
      </c>
      <c r="D1367" t="s">
        <v>4590</v>
      </c>
      <c r="E1367" t="s">
        <v>16</v>
      </c>
      <c r="F1367" t="s">
        <v>17</v>
      </c>
      <c r="G1367" s="14">
        <v>65000</v>
      </c>
      <c r="H1367" s="14">
        <v>64000</v>
      </c>
      <c r="I1367" t="s">
        <v>22</v>
      </c>
      <c r="J1367" t="s">
        <v>22</v>
      </c>
      <c r="K1367" t="s">
        <v>4591</v>
      </c>
      <c r="L1367" t="s">
        <v>1672</v>
      </c>
      <c r="M1367" t="s">
        <v>19</v>
      </c>
      <c r="N1367">
        <v>2</v>
      </c>
      <c r="O1367" t="s">
        <v>35</v>
      </c>
      <c r="P1367" t="s">
        <v>21</v>
      </c>
      <c r="Q1367" t="s">
        <v>30</v>
      </c>
      <c r="R1367" t="str">
        <f>VLOOKUP($O1367,'Mapa Oficinas'!$A$7:$C$46,2,FALSE)</f>
        <v>Zona Norte (GBA)</v>
      </c>
      <c r="S1367" t="str">
        <f>VLOOKUP($O1367,'Mapa Oficinas'!$A$7:$C$46,3,FALSE)</f>
        <v>Vicente López</v>
      </c>
    </row>
    <row r="1368" spans="1:19" x14ac:dyDescent="0.2">
      <c r="A1368" s="1">
        <v>45902</v>
      </c>
      <c r="B1368">
        <v>2092025</v>
      </c>
      <c r="D1368" t="s">
        <v>4597</v>
      </c>
      <c r="E1368" t="s">
        <v>16</v>
      </c>
      <c r="F1368" t="s">
        <v>134</v>
      </c>
      <c r="G1368" s="14">
        <v>110000</v>
      </c>
      <c r="H1368" s="14">
        <v>110000</v>
      </c>
      <c r="I1368" t="s">
        <v>22</v>
      </c>
      <c r="J1368" t="s">
        <v>22</v>
      </c>
      <c r="L1368" t="s">
        <v>129</v>
      </c>
      <c r="M1368" t="s">
        <v>19</v>
      </c>
      <c r="N1368">
        <v>1</v>
      </c>
      <c r="O1368" t="s">
        <v>130</v>
      </c>
      <c r="P1368" t="s">
        <v>131</v>
      </c>
      <c r="Q1368" t="s">
        <v>30</v>
      </c>
      <c r="R1368" t="str">
        <f>VLOOKUP($O1368,'Mapa Oficinas'!$A$7:$C$46,2,FALSE)</f>
        <v>Interior - Río Negro</v>
      </c>
      <c r="S1368" t="str">
        <f>VLOOKUP($O1368,'Mapa Oficinas'!$A$7:$C$46,3,FALSE)</f>
        <v>Bariloche</v>
      </c>
    </row>
    <row r="1369" spans="1:19" x14ac:dyDescent="0.2">
      <c r="A1369" s="1">
        <v>45902</v>
      </c>
      <c r="D1369" t="s">
        <v>4595</v>
      </c>
      <c r="E1369" t="s">
        <v>16</v>
      </c>
      <c r="F1369" t="s">
        <v>38</v>
      </c>
      <c r="G1369" s="14">
        <v>112000</v>
      </c>
      <c r="H1369" s="14">
        <v>112000</v>
      </c>
      <c r="I1369" t="s">
        <v>22</v>
      </c>
      <c r="J1369" t="s">
        <v>22</v>
      </c>
      <c r="K1369" t="s">
        <v>4596</v>
      </c>
      <c r="L1369" t="s">
        <v>366</v>
      </c>
      <c r="M1369" t="s">
        <v>19</v>
      </c>
      <c r="N1369">
        <v>1</v>
      </c>
      <c r="O1369" t="s">
        <v>367</v>
      </c>
      <c r="P1369" t="s">
        <v>131</v>
      </c>
      <c r="Q1369" t="s">
        <v>30</v>
      </c>
      <c r="R1369" t="str">
        <f>VLOOKUP($O1369,'Mapa Oficinas'!$A$7:$C$46,2,FALSE)</f>
        <v>Interior - Neuquén</v>
      </c>
      <c r="S1369" t="str">
        <f>VLOOKUP($O1369,'Mapa Oficinas'!$A$7:$C$46,3,FALSE)</f>
        <v>San Martín de los Andes</v>
      </c>
    </row>
    <row r="1370" spans="1:19" x14ac:dyDescent="0.2">
      <c r="A1370" s="1">
        <v>45902</v>
      </c>
      <c r="B1370" t="s">
        <v>4592</v>
      </c>
      <c r="D1370" t="s">
        <v>4593</v>
      </c>
      <c r="E1370" t="s">
        <v>16</v>
      </c>
      <c r="F1370" t="s">
        <v>82</v>
      </c>
      <c r="G1370" s="14">
        <v>150000</v>
      </c>
      <c r="H1370" s="14">
        <v>143000</v>
      </c>
      <c r="I1370" t="s">
        <v>22</v>
      </c>
      <c r="J1370" t="s">
        <v>22</v>
      </c>
      <c r="L1370" t="s">
        <v>4594</v>
      </c>
      <c r="M1370" t="s">
        <v>97</v>
      </c>
      <c r="N1370">
        <v>2</v>
      </c>
      <c r="O1370" t="s">
        <v>40</v>
      </c>
      <c r="P1370" t="s">
        <v>44</v>
      </c>
      <c r="Q1370" t="s">
        <v>30</v>
      </c>
      <c r="R1370" t="str">
        <f>VLOOKUP($O1370,'Mapa Oficinas'!$A$7:$C$46,2,FALSE)</f>
        <v>Zona Norte (GBA)</v>
      </c>
      <c r="S1370" t="str">
        <f>VLOOKUP($O1370,'Mapa Oficinas'!$A$7:$C$46,3,FALSE)</f>
        <v>Pilar</v>
      </c>
    </row>
    <row r="1371" spans="1:19" x14ac:dyDescent="0.2">
      <c r="A1371" s="1">
        <v>45903</v>
      </c>
      <c r="B1371" t="s">
        <v>4582</v>
      </c>
      <c r="D1371" t="s">
        <v>4583</v>
      </c>
      <c r="E1371" t="s">
        <v>16</v>
      </c>
      <c r="F1371" t="s">
        <v>58</v>
      </c>
      <c r="G1371" s="14">
        <v>49900</v>
      </c>
      <c r="H1371" s="14">
        <v>45000</v>
      </c>
      <c r="I1371" t="s">
        <v>22</v>
      </c>
      <c r="J1371" t="s">
        <v>22</v>
      </c>
      <c r="K1371" t="s">
        <v>4584</v>
      </c>
      <c r="L1371" t="s">
        <v>3683</v>
      </c>
      <c r="M1371" t="s">
        <v>300</v>
      </c>
      <c r="N1371">
        <v>2</v>
      </c>
      <c r="O1371" t="s">
        <v>50</v>
      </c>
      <c r="P1371" t="s">
        <v>21</v>
      </c>
      <c r="Q1371" t="s">
        <v>30</v>
      </c>
      <c r="R1371" t="str">
        <f>VLOOKUP($O1371,'Mapa Oficinas'!$A$7:$C$46,2,FALSE)</f>
        <v>CABA</v>
      </c>
      <c r="S1371" t="str">
        <f>VLOOKUP($O1371,'Mapa Oficinas'!$A$7:$C$46,3,FALSE)</f>
        <v>Villa Urquiza</v>
      </c>
    </row>
    <row r="1372" spans="1:19" x14ac:dyDescent="0.2">
      <c r="A1372" s="1">
        <v>45903</v>
      </c>
      <c r="B1372" t="s">
        <v>4585</v>
      </c>
      <c r="D1372" t="s">
        <v>4586</v>
      </c>
      <c r="E1372" t="s">
        <v>16</v>
      </c>
      <c r="F1372" t="s">
        <v>17</v>
      </c>
      <c r="G1372" s="14">
        <v>79900</v>
      </c>
      <c r="H1372" s="14">
        <v>65625</v>
      </c>
      <c r="I1372" t="s">
        <v>22</v>
      </c>
      <c r="J1372" t="s">
        <v>22</v>
      </c>
      <c r="K1372" t="s">
        <v>4587</v>
      </c>
      <c r="L1372" t="s">
        <v>569</v>
      </c>
      <c r="M1372" t="s">
        <v>19</v>
      </c>
      <c r="N1372">
        <v>2</v>
      </c>
      <c r="O1372" t="s">
        <v>103</v>
      </c>
      <c r="P1372" t="s">
        <v>276</v>
      </c>
      <c r="Q1372" t="s">
        <v>30</v>
      </c>
      <c r="R1372" t="str">
        <f>VLOOKUP($O1372,'Mapa Oficinas'!$A$7:$C$46,2,FALSE)</f>
        <v>CABA</v>
      </c>
      <c r="S1372" t="str">
        <f>VLOOKUP($O1372,'Mapa Oficinas'!$A$7:$C$46,3,FALSE)</f>
        <v>Barrio Parque</v>
      </c>
    </row>
    <row r="1373" spans="1:19" x14ac:dyDescent="0.2">
      <c r="A1373" s="1">
        <v>45903</v>
      </c>
      <c r="B1373" t="s">
        <v>4570</v>
      </c>
      <c r="D1373" t="s">
        <v>4571</v>
      </c>
      <c r="E1373" t="s">
        <v>16</v>
      </c>
      <c r="F1373" t="s">
        <v>17</v>
      </c>
      <c r="G1373" s="14">
        <v>87500</v>
      </c>
      <c r="H1373" s="14">
        <v>87500</v>
      </c>
      <c r="I1373" t="s">
        <v>22</v>
      </c>
      <c r="J1373" t="s">
        <v>22</v>
      </c>
      <c r="K1373" t="s">
        <v>4572</v>
      </c>
      <c r="L1373" t="s">
        <v>170</v>
      </c>
      <c r="M1373" t="s">
        <v>19</v>
      </c>
      <c r="N1373">
        <v>2</v>
      </c>
      <c r="O1373" t="s">
        <v>171</v>
      </c>
      <c r="P1373" t="s">
        <v>21</v>
      </c>
      <c r="Q1373" t="s">
        <v>30</v>
      </c>
      <c r="R1373" t="str">
        <f>VLOOKUP($O1373,'Mapa Oficinas'!$A$7:$C$46,2,FALSE)</f>
        <v>Zona Sur (GBA)</v>
      </c>
      <c r="S1373" t="str">
        <f>VLOOKUP($O1373,'Mapa Oficinas'!$A$7:$C$46,3,FALSE)</f>
        <v>La Plata</v>
      </c>
    </row>
    <row r="1374" spans="1:19" x14ac:dyDescent="0.2">
      <c r="A1374" s="1">
        <v>45903</v>
      </c>
      <c r="B1374">
        <v>10509</v>
      </c>
      <c r="D1374" t="s">
        <v>4575</v>
      </c>
      <c r="E1374" t="s">
        <v>16</v>
      </c>
      <c r="F1374" t="s">
        <v>17</v>
      </c>
      <c r="G1374" s="14">
        <v>0</v>
      </c>
      <c r="H1374" s="14">
        <v>105000</v>
      </c>
      <c r="I1374" t="s">
        <v>22</v>
      </c>
      <c r="J1374" t="s">
        <v>22</v>
      </c>
      <c r="L1374" t="s">
        <v>164</v>
      </c>
      <c r="M1374" t="s">
        <v>19</v>
      </c>
      <c r="N1374">
        <v>2</v>
      </c>
      <c r="O1374" t="s">
        <v>103</v>
      </c>
      <c r="P1374" t="s">
        <v>44</v>
      </c>
      <c r="Q1374" t="s">
        <v>30</v>
      </c>
      <c r="R1374" t="str">
        <f>VLOOKUP($O1374,'Mapa Oficinas'!$A$7:$C$46,2,FALSE)</f>
        <v>CABA</v>
      </c>
      <c r="S1374" t="str">
        <f>VLOOKUP($O1374,'Mapa Oficinas'!$A$7:$C$46,3,FALSE)</f>
        <v>Barrio Parque</v>
      </c>
    </row>
    <row r="1375" spans="1:19" x14ac:dyDescent="0.2">
      <c r="A1375" s="1">
        <v>45903</v>
      </c>
      <c r="D1375" t="s">
        <v>4573</v>
      </c>
      <c r="E1375" t="s">
        <v>16</v>
      </c>
      <c r="F1375" t="s">
        <v>17</v>
      </c>
      <c r="G1375" s="14">
        <v>147000</v>
      </c>
      <c r="H1375" s="14">
        <v>147000</v>
      </c>
      <c r="I1375" t="s">
        <v>22</v>
      </c>
      <c r="J1375" t="s">
        <v>22</v>
      </c>
      <c r="K1375" t="s">
        <v>4574</v>
      </c>
      <c r="L1375" t="s">
        <v>79</v>
      </c>
      <c r="M1375" t="s">
        <v>19</v>
      </c>
      <c r="N1375">
        <v>2</v>
      </c>
      <c r="O1375" t="s">
        <v>201</v>
      </c>
      <c r="P1375" t="s">
        <v>21</v>
      </c>
      <c r="Q1375" t="s">
        <v>30</v>
      </c>
      <c r="R1375" t="str">
        <f>VLOOKUP($O1375,'Mapa Oficinas'!$A$7:$C$46,2,FALSE)</f>
        <v>CABA</v>
      </c>
      <c r="S1375" t="str">
        <f>VLOOKUP($O1375,'Mapa Oficinas'!$A$7:$C$46,3,FALSE)</f>
        <v>Recoleta</v>
      </c>
    </row>
    <row r="1376" spans="1:19" x14ac:dyDescent="0.2">
      <c r="A1376" s="1">
        <v>45903</v>
      </c>
      <c r="B1376" t="s">
        <v>4579</v>
      </c>
      <c r="D1376" t="s">
        <v>4580</v>
      </c>
      <c r="E1376" t="s">
        <v>16</v>
      </c>
      <c r="F1376" t="s">
        <v>17</v>
      </c>
      <c r="G1376" s="14">
        <v>210000</v>
      </c>
      <c r="H1376" s="14">
        <v>150000</v>
      </c>
      <c r="I1376" t="s">
        <v>22</v>
      </c>
      <c r="J1376" t="s">
        <v>22</v>
      </c>
      <c r="K1376" t="s">
        <v>4581</v>
      </c>
      <c r="L1376" t="s">
        <v>191</v>
      </c>
      <c r="M1376" t="s">
        <v>19</v>
      </c>
      <c r="N1376">
        <v>2</v>
      </c>
      <c r="O1376" t="s">
        <v>201</v>
      </c>
      <c r="P1376" t="s">
        <v>276</v>
      </c>
      <c r="Q1376" t="s">
        <v>30</v>
      </c>
      <c r="R1376" t="str">
        <f>VLOOKUP($O1376,'Mapa Oficinas'!$A$7:$C$46,2,FALSE)</f>
        <v>CABA</v>
      </c>
      <c r="S1376" t="str">
        <f>VLOOKUP($O1376,'Mapa Oficinas'!$A$7:$C$46,3,FALSE)</f>
        <v>Recoleta</v>
      </c>
    </row>
    <row r="1377" spans="1:19" x14ac:dyDescent="0.2">
      <c r="A1377" s="1">
        <v>45903</v>
      </c>
      <c r="B1377" t="s">
        <v>4576</v>
      </c>
      <c r="D1377" t="s">
        <v>4577</v>
      </c>
      <c r="E1377" t="s">
        <v>16</v>
      </c>
      <c r="F1377" t="s">
        <v>17</v>
      </c>
      <c r="G1377" s="14">
        <v>169000</v>
      </c>
      <c r="H1377" s="14">
        <v>150000</v>
      </c>
      <c r="I1377" t="s">
        <v>22</v>
      </c>
      <c r="J1377" t="s">
        <v>22</v>
      </c>
      <c r="K1377" t="s">
        <v>4578</v>
      </c>
      <c r="L1377" t="s">
        <v>258</v>
      </c>
      <c r="M1377" t="s">
        <v>28</v>
      </c>
      <c r="N1377">
        <v>2</v>
      </c>
      <c r="O1377" t="s">
        <v>29</v>
      </c>
      <c r="P1377" t="s">
        <v>276</v>
      </c>
      <c r="Q1377" t="s">
        <v>30</v>
      </c>
      <c r="R1377" t="str">
        <f>VLOOKUP($O1377,'Mapa Oficinas'!$A$7:$C$46,2,FALSE)</f>
        <v>CABA</v>
      </c>
      <c r="S1377" t="str">
        <f>VLOOKUP($O1377,'Mapa Oficinas'!$A$7:$C$46,3,FALSE)</f>
        <v>Núñez</v>
      </c>
    </row>
    <row r="1378" spans="1:19" x14ac:dyDescent="0.2">
      <c r="A1378" s="1">
        <v>45903</v>
      </c>
      <c r="B1378" t="s">
        <v>4588</v>
      </c>
      <c r="D1378" t="s">
        <v>4588</v>
      </c>
      <c r="E1378" t="s">
        <v>16</v>
      </c>
      <c r="F1378" t="s">
        <v>17</v>
      </c>
      <c r="G1378" s="14">
        <v>220000</v>
      </c>
      <c r="H1378" s="14">
        <v>220000</v>
      </c>
      <c r="I1378" t="s">
        <v>22</v>
      </c>
      <c r="J1378" t="s">
        <v>22</v>
      </c>
      <c r="L1378" t="s">
        <v>676</v>
      </c>
      <c r="M1378" t="s">
        <v>19</v>
      </c>
      <c r="N1378">
        <v>1</v>
      </c>
      <c r="O1378" t="s">
        <v>20</v>
      </c>
      <c r="P1378" t="s">
        <v>146</v>
      </c>
      <c r="Q1378" t="s">
        <v>30</v>
      </c>
      <c r="R1378" t="str">
        <f>VLOOKUP($O1378,'Mapa Oficinas'!$A$7:$C$46,2,FALSE)</f>
        <v>CABA</v>
      </c>
      <c r="S1378" t="str">
        <f>VLOOKUP($O1378,'Mapa Oficinas'!$A$7:$C$46,3,FALSE)</f>
        <v>Palermo</v>
      </c>
    </row>
    <row r="1379" spans="1:19" x14ac:dyDescent="0.2">
      <c r="A1379" s="1">
        <v>45904</v>
      </c>
      <c r="B1379" t="s">
        <v>4553</v>
      </c>
      <c r="D1379" t="s">
        <v>4553</v>
      </c>
      <c r="E1379" t="s">
        <v>16</v>
      </c>
      <c r="F1379" t="s">
        <v>58</v>
      </c>
      <c r="G1379" s="14">
        <v>48500</v>
      </c>
      <c r="H1379" s="14">
        <v>48500</v>
      </c>
      <c r="I1379" t="s">
        <v>22</v>
      </c>
      <c r="J1379" t="s">
        <v>22</v>
      </c>
      <c r="K1379" t="s">
        <v>4553</v>
      </c>
      <c r="L1379" t="s">
        <v>523</v>
      </c>
      <c r="M1379" t="s">
        <v>19</v>
      </c>
      <c r="N1379">
        <v>2</v>
      </c>
      <c r="O1379" t="s">
        <v>50</v>
      </c>
      <c r="P1379" t="s">
        <v>21</v>
      </c>
      <c r="Q1379" t="s">
        <v>30</v>
      </c>
      <c r="R1379" t="str">
        <f>VLOOKUP($O1379,'Mapa Oficinas'!$A$7:$C$46,2,FALSE)</f>
        <v>CABA</v>
      </c>
      <c r="S1379" t="str">
        <f>VLOOKUP($O1379,'Mapa Oficinas'!$A$7:$C$46,3,FALSE)</f>
        <v>Villa Urquiza</v>
      </c>
    </row>
    <row r="1380" spans="1:19" x14ac:dyDescent="0.2">
      <c r="A1380" s="1">
        <v>45904</v>
      </c>
      <c r="B1380" t="s">
        <v>4550</v>
      </c>
      <c r="D1380" t="s">
        <v>4551</v>
      </c>
      <c r="E1380" t="s">
        <v>16</v>
      </c>
      <c r="F1380" t="s">
        <v>17</v>
      </c>
      <c r="G1380" s="14">
        <v>59000</v>
      </c>
      <c r="H1380" s="14">
        <v>57000</v>
      </c>
      <c r="I1380" t="s">
        <v>22</v>
      </c>
      <c r="J1380" t="s">
        <v>22</v>
      </c>
      <c r="K1380" t="s">
        <v>4552</v>
      </c>
      <c r="L1380" t="s">
        <v>569</v>
      </c>
      <c r="M1380" t="s">
        <v>300</v>
      </c>
      <c r="N1380">
        <v>2</v>
      </c>
      <c r="O1380" t="s">
        <v>35</v>
      </c>
      <c r="P1380" t="s">
        <v>21</v>
      </c>
      <c r="Q1380" t="s">
        <v>30</v>
      </c>
      <c r="R1380" t="str">
        <f>VLOOKUP($O1380,'Mapa Oficinas'!$A$7:$C$46,2,FALSE)</f>
        <v>Zona Norte (GBA)</v>
      </c>
      <c r="S1380" t="str">
        <f>VLOOKUP($O1380,'Mapa Oficinas'!$A$7:$C$46,3,FALSE)</f>
        <v>Vicente López</v>
      </c>
    </row>
    <row r="1381" spans="1:19" x14ac:dyDescent="0.2">
      <c r="A1381" s="1">
        <v>45904</v>
      </c>
      <c r="B1381" t="s">
        <v>4557</v>
      </c>
      <c r="D1381" t="s">
        <v>4558</v>
      </c>
      <c r="E1381" t="s">
        <v>16</v>
      </c>
      <c r="F1381" t="s">
        <v>82</v>
      </c>
      <c r="G1381" s="14">
        <v>65000</v>
      </c>
      <c r="H1381" s="14">
        <v>60000</v>
      </c>
      <c r="I1381" t="s">
        <v>22</v>
      </c>
      <c r="J1381" t="s">
        <v>22</v>
      </c>
      <c r="K1381" t="s">
        <v>4559</v>
      </c>
      <c r="L1381" t="s">
        <v>4560</v>
      </c>
      <c r="M1381" t="s">
        <v>309</v>
      </c>
      <c r="N1381">
        <v>2</v>
      </c>
      <c r="O1381" t="s">
        <v>55</v>
      </c>
      <c r="P1381" t="s">
        <v>41</v>
      </c>
      <c r="Q1381" t="s">
        <v>30</v>
      </c>
      <c r="R1381" t="str">
        <f>VLOOKUP($O1381,'Mapa Oficinas'!$A$7:$C$46,2,FALSE)</f>
        <v>Interior - Santa Fe</v>
      </c>
      <c r="S1381" t="str">
        <f>VLOOKUP($O1381,'Mapa Oficinas'!$A$7:$C$46,3,FALSE)</f>
        <v>Capital Santa Fe</v>
      </c>
    </row>
    <row r="1382" spans="1:19" x14ac:dyDescent="0.2">
      <c r="A1382" s="1">
        <v>45904</v>
      </c>
      <c r="B1382">
        <v>10499</v>
      </c>
      <c r="D1382" t="s">
        <v>4561</v>
      </c>
      <c r="E1382" t="s">
        <v>16</v>
      </c>
      <c r="F1382" t="s">
        <v>17</v>
      </c>
      <c r="G1382" s="14">
        <v>0</v>
      </c>
      <c r="H1382" s="14">
        <v>70000</v>
      </c>
      <c r="I1382" t="s">
        <v>22</v>
      </c>
      <c r="J1382" t="s">
        <v>22</v>
      </c>
      <c r="L1382" t="s">
        <v>164</v>
      </c>
      <c r="M1382" t="s">
        <v>19</v>
      </c>
      <c r="N1382">
        <v>2</v>
      </c>
      <c r="O1382" t="s">
        <v>103</v>
      </c>
      <c r="P1382" t="s">
        <v>44</v>
      </c>
      <c r="Q1382" t="s">
        <v>30</v>
      </c>
      <c r="R1382" t="str">
        <f>VLOOKUP($O1382,'Mapa Oficinas'!$A$7:$C$46,2,FALSE)</f>
        <v>CABA</v>
      </c>
      <c r="S1382" t="str">
        <f>VLOOKUP($O1382,'Mapa Oficinas'!$A$7:$C$46,3,FALSE)</f>
        <v>Barrio Parque</v>
      </c>
    </row>
    <row r="1383" spans="1:19" x14ac:dyDescent="0.2">
      <c r="A1383" s="1">
        <v>45904</v>
      </c>
      <c r="B1383" t="s">
        <v>3335</v>
      </c>
      <c r="D1383" t="s">
        <v>3336</v>
      </c>
      <c r="E1383" t="s">
        <v>16</v>
      </c>
      <c r="F1383" t="s">
        <v>47</v>
      </c>
      <c r="G1383" s="14">
        <v>72000</v>
      </c>
      <c r="H1383" s="14">
        <v>70000</v>
      </c>
      <c r="I1383" t="s">
        <v>22</v>
      </c>
      <c r="J1383" t="s">
        <v>22</v>
      </c>
      <c r="K1383" t="s">
        <v>3337</v>
      </c>
      <c r="L1383" t="s">
        <v>164</v>
      </c>
      <c r="M1383" t="s">
        <v>19</v>
      </c>
      <c r="N1383">
        <v>2</v>
      </c>
      <c r="O1383" t="s">
        <v>50</v>
      </c>
      <c r="P1383" t="s">
        <v>21</v>
      </c>
      <c r="Q1383" t="s">
        <v>30</v>
      </c>
      <c r="R1383" t="str">
        <f>VLOOKUP($O1383,'Mapa Oficinas'!$A$7:$C$46,2,FALSE)</f>
        <v>CABA</v>
      </c>
      <c r="S1383" t="str">
        <f>VLOOKUP($O1383,'Mapa Oficinas'!$A$7:$C$46,3,FALSE)</f>
        <v>Villa Urquiza</v>
      </c>
    </row>
    <row r="1384" spans="1:19" x14ac:dyDescent="0.2">
      <c r="A1384" s="1">
        <v>45904</v>
      </c>
      <c r="B1384" t="s">
        <v>4567</v>
      </c>
      <c r="D1384" t="s">
        <v>4568</v>
      </c>
      <c r="E1384" t="s">
        <v>16</v>
      </c>
      <c r="F1384" t="s">
        <v>17</v>
      </c>
      <c r="G1384" s="14">
        <v>129999</v>
      </c>
      <c r="H1384" s="14">
        <v>122000</v>
      </c>
      <c r="I1384" t="s">
        <v>22</v>
      </c>
      <c r="J1384" t="s">
        <v>22</v>
      </c>
      <c r="K1384" t="s">
        <v>4569</v>
      </c>
      <c r="L1384" t="s">
        <v>442</v>
      </c>
      <c r="M1384" t="s">
        <v>19</v>
      </c>
      <c r="N1384">
        <v>2</v>
      </c>
      <c r="O1384" t="s">
        <v>98</v>
      </c>
      <c r="P1384" t="s">
        <v>21</v>
      </c>
      <c r="Q1384" t="s">
        <v>30</v>
      </c>
      <c r="R1384" t="str">
        <f>VLOOKUP($O1384,'Mapa Oficinas'!$A$7:$C$46,2,FALSE)</f>
        <v>Interior - Neuquén</v>
      </c>
      <c r="S1384" t="str">
        <f>VLOOKUP($O1384,'Mapa Oficinas'!$A$7:$C$46,3,FALSE)</f>
        <v>Villa La Angostura</v>
      </c>
    </row>
    <row r="1385" spans="1:19" x14ac:dyDescent="0.2">
      <c r="A1385" s="1">
        <v>45904</v>
      </c>
      <c r="B1385" t="s">
        <v>4562</v>
      </c>
      <c r="D1385" t="s">
        <v>4563</v>
      </c>
      <c r="E1385" t="s">
        <v>16</v>
      </c>
      <c r="F1385" t="s">
        <v>17</v>
      </c>
      <c r="G1385" s="14">
        <v>149000</v>
      </c>
      <c r="H1385" s="14">
        <v>136000</v>
      </c>
      <c r="I1385" t="s">
        <v>22</v>
      </c>
      <c r="J1385" t="s">
        <v>22</v>
      </c>
      <c r="K1385" t="s">
        <v>4564</v>
      </c>
      <c r="L1385" t="s">
        <v>318</v>
      </c>
      <c r="M1385" t="s">
        <v>72</v>
      </c>
      <c r="N1385">
        <v>2</v>
      </c>
      <c r="O1385" t="s">
        <v>103</v>
      </c>
      <c r="P1385" t="s">
        <v>21</v>
      </c>
      <c r="Q1385" t="s">
        <v>30</v>
      </c>
      <c r="R1385" t="str">
        <f>VLOOKUP($O1385,'Mapa Oficinas'!$A$7:$C$46,2,FALSE)</f>
        <v>CABA</v>
      </c>
      <c r="S1385" t="str">
        <f>VLOOKUP($O1385,'Mapa Oficinas'!$A$7:$C$46,3,FALSE)</f>
        <v>Barrio Parque</v>
      </c>
    </row>
    <row r="1386" spans="1:19" x14ac:dyDescent="0.2">
      <c r="A1386" s="1">
        <v>45904</v>
      </c>
      <c r="B1386" t="s">
        <v>4554</v>
      </c>
      <c r="D1386" t="s">
        <v>4555</v>
      </c>
      <c r="E1386" t="s">
        <v>16</v>
      </c>
      <c r="F1386" t="s">
        <v>17</v>
      </c>
      <c r="G1386" s="14">
        <v>170000</v>
      </c>
      <c r="H1386" s="14">
        <v>151000</v>
      </c>
      <c r="I1386" t="s">
        <v>22</v>
      </c>
      <c r="J1386" t="s">
        <v>22</v>
      </c>
      <c r="K1386" t="s">
        <v>4556</v>
      </c>
      <c r="L1386" t="s">
        <v>1030</v>
      </c>
      <c r="M1386" t="s">
        <v>28</v>
      </c>
      <c r="N1386">
        <v>2</v>
      </c>
      <c r="O1386" t="s">
        <v>29</v>
      </c>
      <c r="P1386" t="s">
        <v>276</v>
      </c>
      <c r="Q1386" t="s">
        <v>30</v>
      </c>
      <c r="R1386" t="str">
        <f>VLOOKUP($O1386,'Mapa Oficinas'!$A$7:$C$46,2,FALSE)</f>
        <v>CABA</v>
      </c>
      <c r="S1386" t="str">
        <f>VLOOKUP($O1386,'Mapa Oficinas'!$A$7:$C$46,3,FALSE)</f>
        <v>Núñez</v>
      </c>
    </row>
    <row r="1387" spans="1:19" x14ac:dyDescent="0.2">
      <c r="A1387" s="1">
        <v>45904</v>
      </c>
      <c r="D1387" t="s">
        <v>4565</v>
      </c>
      <c r="E1387" t="s">
        <v>16</v>
      </c>
      <c r="F1387" t="s">
        <v>17</v>
      </c>
      <c r="G1387" s="14">
        <v>172000</v>
      </c>
      <c r="H1387" s="14">
        <v>172000</v>
      </c>
      <c r="I1387" t="s">
        <v>22</v>
      </c>
      <c r="J1387" t="s">
        <v>22</v>
      </c>
      <c r="K1387" t="s">
        <v>4566</v>
      </c>
      <c r="L1387" t="s">
        <v>191</v>
      </c>
      <c r="M1387" t="s">
        <v>19</v>
      </c>
      <c r="N1387">
        <v>1</v>
      </c>
      <c r="O1387" t="s">
        <v>201</v>
      </c>
      <c r="P1387" t="s">
        <v>146</v>
      </c>
      <c r="Q1387" t="s">
        <v>30</v>
      </c>
      <c r="R1387" t="str">
        <f>VLOOKUP($O1387,'Mapa Oficinas'!$A$7:$C$46,2,FALSE)</f>
        <v>CABA</v>
      </c>
      <c r="S1387" t="str">
        <f>VLOOKUP($O1387,'Mapa Oficinas'!$A$7:$C$46,3,FALSE)</f>
        <v>Recoleta</v>
      </c>
    </row>
    <row r="1388" spans="1:19" x14ac:dyDescent="0.2">
      <c r="A1388" s="1">
        <v>45905</v>
      </c>
      <c r="B1388" t="s">
        <v>4528</v>
      </c>
      <c r="D1388" t="s">
        <v>4529</v>
      </c>
      <c r="E1388" t="s">
        <v>16</v>
      </c>
      <c r="F1388" t="s">
        <v>58</v>
      </c>
      <c r="G1388" s="14">
        <v>119900</v>
      </c>
      <c r="H1388" s="14">
        <v>73880</v>
      </c>
      <c r="I1388" t="s">
        <v>22</v>
      </c>
      <c r="J1388" t="s">
        <v>22</v>
      </c>
      <c r="K1388" t="s">
        <v>4530</v>
      </c>
      <c r="L1388" t="s">
        <v>2016</v>
      </c>
      <c r="M1388" t="s">
        <v>28</v>
      </c>
      <c r="N1388">
        <v>2</v>
      </c>
      <c r="O1388" t="s">
        <v>50</v>
      </c>
      <c r="P1388" t="s">
        <v>21</v>
      </c>
      <c r="Q1388" t="s">
        <v>30</v>
      </c>
      <c r="R1388" t="str">
        <f>VLOOKUP($O1388,'Mapa Oficinas'!$A$7:$C$46,2,FALSE)</f>
        <v>CABA</v>
      </c>
      <c r="S1388" t="str">
        <f>VLOOKUP($O1388,'Mapa Oficinas'!$A$7:$C$46,3,FALSE)</f>
        <v>Villa Urquiza</v>
      </c>
    </row>
    <row r="1389" spans="1:19" x14ac:dyDescent="0.2">
      <c r="A1389" s="1">
        <v>45905</v>
      </c>
      <c r="B1389" t="s">
        <v>4525</v>
      </c>
      <c r="D1389" t="s">
        <v>4526</v>
      </c>
      <c r="E1389" t="s">
        <v>16</v>
      </c>
      <c r="F1389" t="s">
        <v>17</v>
      </c>
      <c r="G1389" s="14">
        <v>82000</v>
      </c>
      <c r="H1389" s="14">
        <v>78000</v>
      </c>
      <c r="I1389" t="s">
        <v>22</v>
      </c>
      <c r="J1389" t="s">
        <v>22</v>
      </c>
      <c r="K1389" t="s">
        <v>4527</v>
      </c>
      <c r="L1389" t="s">
        <v>71</v>
      </c>
      <c r="M1389" t="s">
        <v>19</v>
      </c>
      <c r="N1389">
        <v>2</v>
      </c>
      <c r="O1389" t="s">
        <v>198</v>
      </c>
      <c r="P1389" t="s">
        <v>1578</v>
      </c>
      <c r="Q1389" t="s">
        <v>30</v>
      </c>
      <c r="R1389" t="str">
        <f>VLOOKUP($O1389,'Mapa Oficinas'!$A$7:$C$46,2,FALSE)</f>
        <v>CABA</v>
      </c>
      <c r="S1389" t="str">
        <f>VLOOKUP($O1389,'Mapa Oficinas'!$A$7:$C$46,3,FALSE)</f>
        <v>Caballito</v>
      </c>
    </row>
    <row r="1390" spans="1:19" x14ac:dyDescent="0.2">
      <c r="A1390" s="1">
        <v>45905</v>
      </c>
      <c r="B1390" t="s">
        <v>4541</v>
      </c>
      <c r="D1390" t="s">
        <v>4542</v>
      </c>
      <c r="E1390" t="s">
        <v>16</v>
      </c>
      <c r="F1390" t="s">
        <v>47</v>
      </c>
      <c r="G1390" s="14">
        <v>85000</v>
      </c>
      <c r="H1390" s="14">
        <v>83000</v>
      </c>
      <c r="I1390" t="s">
        <v>22</v>
      </c>
      <c r="J1390" t="s">
        <v>22</v>
      </c>
      <c r="K1390" t="s">
        <v>4543</v>
      </c>
      <c r="L1390" t="s">
        <v>205</v>
      </c>
      <c r="M1390" t="s">
        <v>72</v>
      </c>
      <c r="N1390">
        <v>2</v>
      </c>
      <c r="O1390" t="s">
        <v>252</v>
      </c>
      <c r="P1390" t="s">
        <v>276</v>
      </c>
      <c r="Q1390" t="s">
        <v>30</v>
      </c>
      <c r="R1390" t="str">
        <f>VLOOKUP($O1390,'Mapa Oficinas'!$A$7:$C$46,2,FALSE)</f>
        <v>CABA</v>
      </c>
      <c r="S1390" t="str">
        <f>VLOOKUP($O1390,'Mapa Oficinas'!$A$7:$C$46,3,FALSE)</f>
        <v>Belgrano</v>
      </c>
    </row>
    <row r="1391" spans="1:19" x14ac:dyDescent="0.2">
      <c r="A1391" s="1">
        <v>45905</v>
      </c>
      <c r="B1391" t="s">
        <v>4538</v>
      </c>
      <c r="D1391" t="s">
        <v>4539</v>
      </c>
      <c r="E1391" t="s">
        <v>16</v>
      </c>
      <c r="F1391" t="s">
        <v>38</v>
      </c>
      <c r="G1391" s="14">
        <v>85000</v>
      </c>
      <c r="H1391" s="14">
        <v>83500</v>
      </c>
      <c r="I1391" t="s">
        <v>22</v>
      </c>
      <c r="J1391" t="s">
        <v>22</v>
      </c>
      <c r="K1391" t="s">
        <v>4539</v>
      </c>
      <c r="L1391" t="s">
        <v>4540</v>
      </c>
      <c r="M1391" t="s">
        <v>19</v>
      </c>
      <c r="N1391">
        <v>2</v>
      </c>
      <c r="O1391" t="s">
        <v>40</v>
      </c>
      <c r="P1391" t="s">
        <v>44</v>
      </c>
      <c r="Q1391" t="s">
        <v>30</v>
      </c>
      <c r="R1391" t="str">
        <f>VLOOKUP($O1391,'Mapa Oficinas'!$A$7:$C$46,2,FALSE)</f>
        <v>Zona Norte (GBA)</v>
      </c>
      <c r="S1391" t="str">
        <f>VLOOKUP($O1391,'Mapa Oficinas'!$A$7:$C$46,3,FALSE)</f>
        <v>Pilar</v>
      </c>
    </row>
    <row r="1392" spans="1:19" x14ac:dyDescent="0.2">
      <c r="A1392" s="1">
        <v>45905</v>
      </c>
      <c r="B1392" t="s">
        <v>4534</v>
      </c>
      <c r="D1392" t="s">
        <v>4535</v>
      </c>
      <c r="E1392" t="s">
        <v>16</v>
      </c>
      <c r="F1392" t="s">
        <v>17</v>
      </c>
      <c r="G1392" s="14">
        <v>115000</v>
      </c>
      <c r="H1392" s="14">
        <v>110000</v>
      </c>
      <c r="I1392" t="s">
        <v>22</v>
      </c>
      <c r="J1392" t="s">
        <v>22</v>
      </c>
      <c r="K1392" t="s">
        <v>4536</v>
      </c>
      <c r="L1392" t="s">
        <v>191</v>
      </c>
      <c r="M1392" t="s">
        <v>19</v>
      </c>
      <c r="N1392">
        <v>2</v>
      </c>
      <c r="O1392" t="s">
        <v>252</v>
      </c>
      <c r="P1392" t="s">
        <v>21</v>
      </c>
      <c r="Q1392" t="s">
        <v>30</v>
      </c>
      <c r="R1392" t="str">
        <f>VLOOKUP($O1392,'Mapa Oficinas'!$A$7:$C$46,2,FALSE)</f>
        <v>CABA</v>
      </c>
      <c r="S1392" t="str">
        <f>VLOOKUP($O1392,'Mapa Oficinas'!$A$7:$C$46,3,FALSE)</f>
        <v>Belgrano</v>
      </c>
    </row>
    <row r="1393" spans="1:19" x14ac:dyDescent="0.2">
      <c r="A1393" s="1">
        <v>45905</v>
      </c>
      <c r="B1393" t="s">
        <v>4544</v>
      </c>
      <c r="D1393" t="s">
        <v>4545</v>
      </c>
      <c r="E1393" t="s">
        <v>16</v>
      </c>
      <c r="F1393" t="s">
        <v>17</v>
      </c>
      <c r="G1393" s="14">
        <v>159000</v>
      </c>
      <c r="H1393" s="14">
        <v>128750</v>
      </c>
      <c r="I1393" t="s">
        <v>22</v>
      </c>
      <c r="J1393" t="s">
        <v>22</v>
      </c>
      <c r="K1393" t="s">
        <v>4546</v>
      </c>
      <c r="L1393" t="s">
        <v>277</v>
      </c>
      <c r="M1393" t="s">
        <v>19</v>
      </c>
      <c r="N1393">
        <v>2</v>
      </c>
      <c r="O1393" t="s">
        <v>103</v>
      </c>
      <c r="P1393" t="s">
        <v>276</v>
      </c>
      <c r="Q1393" t="s">
        <v>30</v>
      </c>
      <c r="R1393" t="str">
        <f>VLOOKUP($O1393,'Mapa Oficinas'!$A$7:$C$46,2,FALSE)</f>
        <v>CABA</v>
      </c>
      <c r="S1393" t="str">
        <f>VLOOKUP($O1393,'Mapa Oficinas'!$A$7:$C$46,3,FALSE)</f>
        <v>Barrio Parque</v>
      </c>
    </row>
    <row r="1394" spans="1:19" x14ac:dyDescent="0.2">
      <c r="A1394" s="1">
        <v>45905</v>
      </c>
      <c r="B1394" t="s">
        <v>420</v>
      </c>
      <c r="D1394" t="s">
        <v>420</v>
      </c>
      <c r="E1394" t="s">
        <v>16</v>
      </c>
      <c r="F1394" t="s">
        <v>17</v>
      </c>
      <c r="G1394" s="14">
        <v>130000</v>
      </c>
      <c r="H1394" s="14">
        <v>130000</v>
      </c>
      <c r="I1394" t="s">
        <v>22</v>
      </c>
      <c r="J1394" t="s">
        <v>22</v>
      </c>
      <c r="K1394" t="s">
        <v>4537</v>
      </c>
      <c r="L1394" t="s">
        <v>217</v>
      </c>
      <c r="M1394" t="s">
        <v>19</v>
      </c>
      <c r="N1394">
        <v>1</v>
      </c>
      <c r="O1394" t="s">
        <v>252</v>
      </c>
      <c r="P1394" t="s">
        <v>146</v>
      </c>
      <c r="Q1394" t="s">
        <v>30</v>
      </c>
      <c r="R1394" t="str">
        <f>VLOOKUP($O1394,'Mapa Oficinas'!$A$7:$C$46,2,FALSE)</f>
        <v>CABA</v>
      </c>
      <c r="S1394" t="str">
        <f>VLOOKUP($O1394,'Mapa Oficinas'!$A$7:$C$46,3,FALSE)</f>
        <v>Belgrano</v>
      </c>
    </row>
    <row r="1395" spans="1:19" x14ac:dyDescent="0.2">
      <c r="A1395" s="1">
        <v>45905</v>
      </c>
      <c r="B1395" t="s">
        <v>4531</v>
      </c>
      <c r="D1395" t="s">
        <v>4532</v>
      </c>
      <c r="E1395" t="s">
        <v>16</v>
      </c>
      <c r="F1395" t="s">
        <v>17</v>
      </c>
      <c r="G1395" s="14">
        <v>290000</v>
      </c>
      <c r="H1395" s="14">
        <v>270000</v>
      </c>
      <c r="I1395" t="s">
        <v>22</v>
      </c>
      <c r="J1395" t="s">
        <v>22</v>
      </c>
      <c r="K1395" t="s">
        <v>4533</v>
      </c>
      <c r="L1395" t="s">
        <v>482</v>
      </c>
      <c r="M1395" t="s">
        <v>19</v>
      </c>
      <c r="N1395">
        <v>2</v>
      </c>
      <c r="O1395" t="s">
        <v>201</v>
      </c>
      <c r="P1395" t="s">
        <v>21</v>
      </c>
      <c r="Q1395" t="s">
        <v>30</v>
      </c>
      <c r="R1395" t="str">
        <f>VLOOKUP($O1395,'Mapa Oficinas'!$A$7:$C$46,2,FALSE)</f>
        <v>CABA</v>
      </c>
      <c r="S1395" t="str">
        <f>VLOOKUP($O1395,'Mapa Oficinas'!$A$7:$C$46,3,FALSE)</f>
        <v>Recoleta</v>
      </c>
    </row>
    <row r="1396" spans="1:19" x14ac:dyDescent="0.2">
      <c r="A1396" s="1">
        <v>45905</v>
      </c>
      <c r="B1396" t="s">
        <v>4547</v>
      </c>
      <c r="D1396" t="s">
        <v>4548</v>
      </c>
      <c r="E1396" t="s">
        <v>16</v>
      </c>
      <c r="F1396" t="s">
        <v>17</v>
      </c>
      <c r="G1396" s="14">
        <v>349000</v>
      </c>
      <c r="H1396" s="14">
        <v>347000</v>
      </c>
      <c r="I1396" t="s">
        <v>22</v>
      </c>
      <c r="J1396" t="s">
        <v>22</v>
      </c>
      <c r="K1396" t="s">
        <v>4549</v>
      </c>
      <c r="L1396" t="s">
        <v>318</v>
      </c>
      <c r="M1396" t="s">
        <v>72</v>
      </c>
      <c r="N1396">
        <v>2</v>
      </c>
      <c r="O1396" t="s">
        <v>20</v>
      </c>
      <c r="P1396" t="s">
        <v>21</v>
      </c>
      <c r="Q1396" t="s">
        <v>30</v>
      </c>
      <c r="R1396" t="str">
        <f>VLOOKUP($O1396,'Mapa Oficinas'!$A$7:$C$46,2,FALSE)</f>
        <v>CABA</v>
      </c>
      <c r="S1396" t="str">
        <f>VLOOKUP($O1396,'Mapa Oficinas'!$A$7:$C$46,3,FALSE)</f>
        <v>Palermo</v>
      </c>
    </row>
    <row r="1397" spans="1:19" x14ac:dyDescent="0.2">
      <c r="A1397" s="1">
        <v>45908</v>
      </c>
      <c r="B1397" t="s">
        <v>4507</v>
      </c>
      <c r="D1397" t="s">
        <v>4508</v>
      </c>
      <c r="E1397" t="s">
        <v>16</v>
      </c>
      <c r="F1397" t="s">
        <v>58</v>
      </c>
      <c r="G1397" s="14">
        <v>49000</v>
      </c>
      <c r="H1397" s="14">
        <v>45000</v>
      </c>
      <c r="I1397" t="s">
        <v>22</v>
      </c>
      <c r="J1397" t="s">
        <v>22</v>
      </c>
      <c r="K1397" t="s">
        <v>4509</v>
      </c>
      <c r="L1397" t="s">
        <v>4510</v>
      </c>
      <c r="M1397" t="s">
        <v>72</v>
      </c>
      <c r="N1397">
        <v>2</v>
      </c>
      <c r="O1397" t="s">
        <v>50</v>
      </c>
      <c r="P1397" t="s">
        <v>21</v>
      </c>
      <c r="Q1397" t="s">
        <v>30</v>
      </c>
      <c r="R1397" t="str">
        <f>VLOOKUP($O1397,'Mapa Oficinas'!$A$7:$C$46,2,FALSE)</f>
        <v>CABA</v>
      </c>
      <c r="S1397" t="str">
        <f>VLOOKUP($O1397,'Mapa Oficinas'!$A$7:$C$46,3,FALSE)</f>
        <v>Villa Urquiza</v>
      </c>
    </row>
    <row r="1398" spans="1:19" x14ac:dyDescent="0.2">
      <c r="A1398" s="1">
        <v>45908</v>
      </c>
      <c r="B1398" t="s">
        <v>4520</v>
      </c>
      <c r="D1398" t="s">
        <v>4521</v>
      </c>
      <c r="E1398" t="s">
        <v>16</v>
      </c>
      <c r="F1398" t="s">
        <v>134</v>
      </c>
      <c r="G1398" s="14">
        <v>123000</v>
      </c>
      <c r="H1398" s="14">
        <v>114000</v>
      </c>
      <c r="I1398" t="s">
        <v>22</v>
      </c>
      <c r="J1398" t="s">
        <v>22</v>
      </c>
      <c r="K1398" t="s">
        <v>594</v>
      </c>
      <c r="L1398" t="s">
        <v>129</v>
      </c>
      <c r="M1398" t="s">
        <v>28</v>
      </c>
      <c r="N1398">
        <v>2</v>
      </c>
      <c r="O1398" t="s">
        <v>130</v>
      </c>
      <c r="P1398" t="s">
        <v>41</v>
      </c>
      <c r="Q1398" t="s">
        <v>30</v>
      </c>
      <c r="R1398" t="str">
        <f>VLOOKUP($O1398,'Mapa Oficinas'!$A$7:$C$46,2,FALSE)</f>
        <v>Interior - Río Negro</v>
      </c>
      <c r="S1398" t="str">
        <f>VLOOKUP($O1398,'Mapa Oficinas'!$A$7:$C$46,3,FALSE)</f>
        <v>Bariloche</v>
      </c>
    </row>
    <row r="1399" spans="1:19" x14ac:dyDescent="0.2">
      <c r="A1399" s="1">
        <v>45908</v>
      </c>
      <c r="B1399" t="s">
        <v>4501</v>
      </c>
      <c r="D1399" t="s">
        <v>4502</v>
      </c>
      <c r="E1399" t="s">
        <v>16</v>
      </c>
      <c r="F1399" t="s">
        <v>17</v>
      </c>
      <c r="G1399" s="14">
        <v>149000</v>
      </c>
      <c r="H1399" s="14">
        <v>140000</v>
      </c>
      <c r="I1399" t="s">
        <v>22</v>
      </c>
      <c r="J1399" t="s">
        <v>22</v>
      </c>
      <c r="K1399" t="s">
        <v>4503</v>
      </c>
      <c r="L1399" t="s">
        <v>727</v>
      </c>
      <c r="M1399" t="s">
        <v>72</v>
      </c>
      <c r="N1399">
        <v>2</v>
      </c>
      <c r="O1399" t="s">
        <v>35</v>
      </c>
      <c r="P1399" t="s">
        <v>21</v>
      </c>
      <c r="Q1399" t="s">
        <v>30</v>
      </c>
      <c r="R1399" t="str">
        <f>VLOOKUP($O1399,'Mapa Oficinas'!$A$7:$C$46,2,FALSE)</f>
        <v>Zona Norte (GBA)</v>
      </c>
      <c r="S1399" t="str">
        <f>VLOOKUP($O1399,'Mapa Oficinas'!$A$7:$C$46,3,FALSE)</f>
        <v>Vicente López</v>
      </c>
    </row>
    <row r="1400" spans="1:19" x14ac:dyDescent="0.2">
      <c r="A1400" s="1">
        <v>45908</v>
      </c>
      <c r="B1400">
        <v>10418</v>
      </c>
      <c r="D1400" t="s">
        <v>4517</v>
      </c>
      <c r="E1400" t="s">
        <v>16</v>
      </c>
      <c r="F1400" t="s">
        <v>17</v>
      </c>
      <c r="G1400" s="14">
        <v>0</v>
      </c>
      <c r="H1400" s="14">
        <v>150000</v>
      </c>
      <c r="I1400" t="s">
        <v>22</v>
      </c>
      <c r="J1400" t="s">
        <v>22</v>
      </c>
      <c r="L1400" t="s">
        <v>277</v>
      </c>
      <c r="M1400" t="s">
        <v>19</v>
      </c>
      <c r="N1400">
        <v>1</v>
      </c>
      <c r="O1400" t="s">
        <v>103</v>
      </c>
      <c r="P1400" t="s">
        <v>146</v>
      </c>
      <c r="Q1400" t="s">
        <v>30</v>
      </c>
      <c r="R1400" t="str">
        <f>VLOOKUP($O1400,'Mapa Oficinas'!$A$7:$C$46,2,FALSE)</f>
        <v>CABA</v>
      </c>
      <c r="S1400" t="str">
        <f>VLOOKUP($O1400,'Mapa Oficinas'!$A$7:$C$46,3,FALSE)</f>
        <v>Barrio Parque</v>
      </c>
    </row>
    <row r="1401" spans="1:19" x14ac:dyDescent="0.2">
      <c r="A1401" s="1">
        <v>45908</v>
      </c>
      <c r="D1401" t="s">
        <v>4518</v>
      </c>
      <c r="E1401" t="s">
        <v>16</v>
      </c>
      <c r="F1401" t="s">
        <v>896</v>
      </c>
      <c r="G1401" s="14">
        <v>150000</v>
      </c>
      <c r="H1401" s="14">
        <v>150000</v>
      </c>
      <c r="I1401" t="s">
        <v>22</v>
      </c>
      <c r="J1401" t="s">
        <v>22</v>
      </c>
      <c r="K1401" t="s">
        <v>4519</v>
      </c>
      <c r="L1401" t="s">
        <v>442</v>
      </c>
      <c r="M1401" t="s">
        <v>300</v>
      </c>
      <c r="N1401">
        <v>1</v>
      </c>
      <c r="O1401" t="s">
        <v>98</v>
      </c>
      <c r="P1401" t="s">
        <v>131</v>
      </c>
      <c r="Q1401" t="s">
        <v>30</v>
      </c>
      <c r="R1401" t="str">
        <f>VLOOKUP($O1401,'Mapa Oficinas'!$A$7:$C$46,2,FALSE)</f>
        <v>Interior - Neuquén</v>
      </c>
      <c r="S1401" t="str">
        <f>VLOOKUP($O1401,'Mapa Oficinas'!$A$7:$C$46,3,FALSE)</f>
        <v>Villa La Angostura</v>
      </c>
    </row>
    <row r="1402" spans="1:19" x14ac:dyDescent="0.2">
      <c r="A1402" s="1">
        <v>45908</v>
      </c>
      <c r="B1402" t="s">
        <v>4504</v>
      </c>
      <c r="D1402" t="s">
        <v>4505</v>
      </c>
      <c r="E1402" t="s">
        <v>16</v>
      </c>
      <c r="F1402" t="s">
        <v>47</v>
      </c>
      <c r="G1402" s="14">
        <v>215000</v>
      </c>
      <c r="H1402" s="14">
        <v>195000</v>
      </c>
      <c r="I1402" t="s">
        <v>22</v>
      </c>
      <c r="J1402" t="s">
        <v>22</v>
      </c>
      <c r="K1402" t="s">
        <v>4506</v>
      </c>
      <c r="L1402" t="s">
        <v>330</v>
      </c>
      <c r="M1402" t="s">
        <v>19</v>
      </c>
      <c r="N1402">
        <v>2</v>
      </c>
      <c r="O1402" t="s">
        <v>156</v>
      </c>
      <c r="P1402" t="s">
        <v>276</v>
      </c>
      <c r="Q1402" t="s">
        <v>30</v>
      </c>
      <c r="R1402" t="str">
        <f>VLOOKUP($O1402,'Mapa Oficinas'!$A$7:$C$46,2,FALSE)</f>
        <v>Zona Norte (GBA)</v>
      </c>
      <c r="S1402" t="str">
        <f>VLOOKUP($O1402,'Mapa Oficinas'!$A$7:$C$46,3,FALSE)</f>
        <v>Pilar</v>
      </c>
    </row>
    <row r="1403" spans="1:19" x14ac:dyDescent="0.2">
      <c r="A1403" s="1">
        <v>45908</v>
      </c>
      <c r="B1403" t="s">
        <v>4511</v>
      </c>
      <c r="D1403" t="s">
        <v>4512</v>
      </c>
      <c r="E1403" t="s">
        <v>16</v>
      </c>
      <c r="F1403" t="s">
        <v>17</v>
      </c>
      <c r="G1403" s="14">
        <v>252000</v>
      </c>
      <c r="H1403" s="14">
        <v>327600</v>
      </c>
      <c r="I1403" t="s">
        <v>22</v>
      </c>
      <c r="J1403" t="s">
        <v>22</v>
      </c>
      <c r="K1403" t="s">
        <v>4512</v>
      </c>
      <c r="L1403" t="s">
        <v>4513</v>
      </c>
      <c r="M1403" t="s">
        <v>97</v>
      </c>
      <c r="N1403">
        <v>2</v>
      </c>
      <c r="O1403" t="s">
        <v>142</v>
      </c>
      <c r="P1403" t="s">
        <v>41</v>
      </c>
      <c r="Q1403" t="s">
        <v>30</v>
      </c>
      <c r="R1403" t="str">
        <f>VLOOKUP($O1403,'Mapa Oficinas'!$A$7:$C$46,2,FALSE)</f>
        <v>Zona Norte (GBA)</v>
      </c>
      <c r="S1403" t="str">
        <f>VLOOKUP($O1403,'Mapa Oficinas'!$A$7:$C$46,3,FALSE)</f>
        <v>Nordelta</v>
      </c>
    </row>
    <row r="1404" spans="1:19" x14ac:dyDescent="0.2">
      <c r="A1404" s="1">
        <v>45908</v>
      </c>
      <c r="D1404" t="s">
        <v>4499</v>
      </c>
      <c r="E1404" t="s">
        <v>16</v>
      </c>
      <c r="F1404" t="s">
        <v>82</v>
      </c>
      <c r="G1404" s="14">
        <v>730000</v>
      </c>
      <c r="H1404" s="14">
        <v>730000</v>
      </c>
      <c r="I1404" t="s">
        <v>22</v>
      </c>
      <c r="J1404" t="s">
        <v>22</v>
      </c>
      <c r="K1404" t="s">
        <v>4500</v>
      </c>
      <c r="L1404" t="s">
        <v>330</v>
      </c>
      <c r="M1404" t="s">
        <v>28</v>
      </c>
      <c r="N1404">
        <v>1</v>
      </c>
      <c r="O1404" t="s">
        <v>156</v>
      </c>
      <c r="P1404" t="s">
        <v>131</v>
      </c>
      <c r="Q1404" t="s">
        <v>30</v>
      </c>
      <c r="R1404" t="str">
        <f>VLOOKUP($O1404,'Mapa Oficinas'!$A$7:$C$46,2,FALSE)</f>
        <v>Zona Norte (GBA)</v>
      </c>
      <c r="S1404" t="str">
        <f>VLOOKUP($O1404,'Mapa Oficinas'!$A$7:$C$46,3,FALSE)</f>
        <v>Pilar</v>
      </c>
    </row>
    <row r="1405" spans="1:19" x14ac:dyDescent="0.2">
      <c r="A1405" s="1">
        <v>45908</v>
      </c>
      <c r="B1405" t="s">
        <v>4514</v>
      </c>
      <c r="D1405" t="s">
        <v>4515</v>
      </c>
      <c r="E1405" t="s">
        <v>16</v>
      </c>
      <c r="F1405" t="s">
        <v>82</v>
      </c>
      <c r="G1405" s="14">
        <v>1000000</v>
      </c>
      <c r="H1405" s="14">
        <v>950000</v>
      </c>
      <c r="I1405" t="s">
        <v>22</v>
      </c>
      <c r="J1405" t="s">
        <v>22</v>
      </c>
      <c r="K1405" t="s">
        <v>4516</v>
      </c>
      <c r="L1405" t="s">
        <v>205</v>
      </c>
      <c r="M1405" t="s">
        <v>97</v>
      </c>
      <c r="N1405">
        <v>2</v>
      </c>
      <c r="O1405" t="s">
        <v>252</v>
      </c>
      <c r="P1405" t="s">
        <v>276</v>
      </c>
      <c r="Q1405" t="s">
        <v>30</v>
      </c>
      <c r="R1405" t="str">
        <f>VLOOKUP($O1405,'Mapa Oficinas'!$A$7:$C$46,2,FALSE)</f>
        <v>CABA</v>
      </c>
      <c r="S1405" t="str">
        <f>VLOOKUP($O1405,'Mapa Oficinas'!$A$7:$C$46,3,FALSE)</f>
        <v>Belgrano</v>
      </c>
    </row>
    <row r="1406" spans="1:19" x14ac:dyDescent="0.2">
      <c r="A1406" s="1">
        <v>45909</v>
      </c>
      <c r="B1406" t="s">
        <v>4491</v>
      </c>
      <c r="D1406" t="s">
        <v>4492</v>
      </c>
      <c r="E1406" t="s">
        <v>16</v>
      </c>
      <c r="F1406" t="s">
        <v>17</v>
      </c>
      <c r="G1406" s="14">
        <v>59000</v>
      </c>
      <c r="H1406" s="14">
        <v>54000</v>
      </c>
      <c r="I1406" t="s">
        <v>22</v>
      </c>
      <c r="J1406" t="s">
        <v>22</v>
      </c>
      <c r="K1406" t="s">
        <v>4493</v>
      </c>
      <c r="L1406" t="s">
        <v>576</v>
      </c>
      <c r="M1406" t="s">
        <v>300</v>
      </c>
      <c r="N1406">
        <v>2</v>
      </c>
      <c r="O1406" t="s">
        <v>142</v>
      </c>
      <c r="P1406" t="s">
        <v>41</v>
      </c>
      <c r="Q1406" t="s">
        <v>30</v>
      </c>
      <c r="R1406" t="str">
        <f>VLOOKUP($O1406,'Mapa Oficinas'!$A$7:$C$46,2,FALSE)</f>
        <v>Zona Norte (GBA)</v>
      </c>
      <c r="S1406" t="str">
        <f>VLOOKUP($O1406,'Mapa Oficinas'!$A$7:$C$46,3,FALSE)</f>
        <v>Nordelta</v>
      </c>
    </row>
    <row r="1407" spans="1:19" x14ac:dyDescent="0.2">
      <c r="A1407" s="1">
        <v>45909</v>
      </c>
      <c r="B1407" t="s">
        <v>4482</v>
      </c>
      <c r="D1407" t="s">
        <v>4483</v>
      </c>
      <c r="E1407" t="s">
        <v>16</v>
      </c>
      <c r="F1407" t="s">
        <v>47</v>
      </c>
      <c r="G1407" s="14">
        <v>140000</v>
      </c>
      <c r="H1407" s="14">
        <v>140000</v>
      </c>
      <c r="I1407" t="s">
        <v>22</v>
      </c>
      <c r="J1407" t="s">
        <v>22</v>
      </c>
      <c r="K1407" t="s">
        <v>4484</v>
      </c>
      <c r="L1407" t="s">
        <v>318</v>
      </c>
      <c r="M1407" t="s">
        <v>19</v>
      </c>
      <c r="N1407">
        <v>2</v>
      </c>
      <c r="O1407" t="s">
        <v>50</v>
      </c>
      <c r="P1407" t="s">
        <v>21</v>
      </c>
      <c r="Q1407" t="s">
        <v>30</v>
      </c>
      <c r="R1407" t="str">
        <f>VLOOKUP($O1407,'Mapa Oficinas'!$A$7:$C$46,2,FALSE)</f>
        <v>CABA</v>
      </c>
      <c r="S1407" t="str">
        <f>VLOOKUP($O1407,'Mapa Oficinas'!$A$7:$C$46,3,FALSE)</f>
        <v>Villa Urquiza</v>
      </c>
    </row>
    <row r="1408" spans="1:19" x14ac:dyDescent="0.2">
      <c r="A1408" s="1">
        <v>45909</v>
      </c>
      <c r="B1408" t="s">
        <v>4494</v>
      </c>
      <c r="D1408" t="s">
        <v>4494</v>
      </c>
      <c r="E1408" t="s">
        <v>16</v>
      </c>
      <c r="F1408" t="s">
        <v>17</v>
      </c>
      <c r="G1408" s="14">
        <v>0</v>
      </c>
      <c r="H1408" s="14">
        <v>163000</v>
      </c>
      <c r="I1408" t="s">
        <v>22</v>
      </c>
      <c r="J1408" t="s">
        <v>22</v>
      </c>
      <c r="K1408" t="s">
        <v>4494</v>
      </c>
      <c r="L1408" t="s">
        <v>79</v>
      </c>
      <c r="M1408" t="s">
        <v>19</v>
      </c>
      <c r="N1408">
        <v>1</v>
      </c>
      <c r="O1408" t="s">
        <v>35</v>
      </c>
      <c r="P1408" t="s">
        <v>66</v>
      </c>
      <c r="Q1408" t="s">
        <v>30</v>
      </c>
      <c r="R1408" t="str">
        <f>VLOOKUP($O1408,'Mapa Oficinas'!$A$7:$C$46,2,FALSE)</f>
        <v>Zona Norte (GBA)</v>
      </c>
      <c r="S1408" t="str">
        <f>VLOOKUP($O1408,'Mapa Oficinas'!$A$7:$C$46,3,FALSE)</f>
        <v>Vicente López</v>
      </c>
    </row>
    <row r="1409" spans="1:19" x14ac:dyDescent="0.2">
      <c r="A1409" s="1">
        <v>45909</v>
      </c>
      <c r="B1409" t="s">
        <v>4496</v>
      </c>
      <c r="D1409" t="s">
        <v>4497</v>
      </c>
      <c r="E1409" t="s">
        <v>16</v>
      </c>
      <c r="F1409" t="s">
        <v>17</v>
      </c>
      <c r="G1409" s="14">
        <v>180000</v>
      </c>
      <c r="H1409" s="14">
        <v>175000</v>
      </c>
      <c r="I1409" t="s">
        <v>22</v>
      </c>
      <c r="J1409" t="s">
        <v>22</v>
      </c>
      <c r="K1409" t="s">
        <v>4497</v>
      </c>
      <c r="L1409" t="s">
        <v>4498</v>
      </c>
      <c r="M1409" t="s">
        <v>28</v>
      </c>
      <c r="N1409">
        <v>2</v>
      </c>
      <c r="O1409" t="s">
        <v>367</v>
      </c>
      <c r="P1409" t="s">
        <v>1578</v>
      </c>
      <c r="Q1409" t="s">
        <v>30</v>
      </c>
      <c r="R1409" t="str">
        <f>VLOOKUP($O1409,'Mapa Oficinas'!$A$7:$C$46,2,FALSE)</f>
        <v>Interior - Neuquén</v>
      </c>
      <c r="S1409" t="str">
        <f>VLOOKUP($O1409,'Mapa Oficinas'!$A$7:$C$46,3,FALSE)</f>
        <v>San Martín de los Andes</v>
      </c>
    </row>
    <row r="1410" spans="1:19" x14ac:dyDescent="0.2">
      <c r="A1410" s="1">
        <v>45909</v>
      </c>
      <c r="B1410" t="s">
        <v>4485</v>
      </c>
      <c r="D1410" t="s">
        <v>4486</v>
      </c>
      <c r="E1410" t="s">
        <v>16</v>
      </c>
      <c r="F1410" t="s">
        <v>58</v>
      </c>
      <c r="G1410" s="14">
        <v>180000</v>
      </c>
      <c r="H1410" s="14">
        <v>180000</v>
      </c>
      <c r="I1410" t="s">
        <v>22</v>
      </c>
      <c r="J1410" t="s">
        <v>22</v>
      </c>
      <c r="K1410" t="s">
        <v>4487</v>
      </c>
      <c r="L1410" t="s">
        <v>1849</v>
      </c>
      <c r="M1410" t="s">
        <v>28</v>
      </c>
      <c r="N1410">
        <v>2</v>
      </c>
      <c r="O1410" t="s">
        <v>50</v>
      </c>
      <c r="P1410" t="s">
        <v>21</v>
      </c>
      <c r="Q1410" t="s">
        <v>30</v>
      </c>
      <c r="R1410" t="str">
        <f>VLOOKUP($O1410,'Mapa Oficinas'!$A$7:$C$46,2,FALSE)</f>
        <v>CABA</v>
      </c>
      <c r="S1410" t="str">
        <f>VLOOKUP($O1410,'Mapa Oficinas'!$A$7:$C$46,3,FALSE)</f>
        <v>Villa Urquiza</v>
      </c>
    </row>
    <row r="1411" spans="1:19" x14ac:dyDescent="0.2">
      <c r="A1411" s="1">
        <v>45909</v>
      </c>
      <c r="B1411" t="s">
        <v>4495</v>
      </c>
      <c r="D1411" t="s">
        <v>4026</v>
      </c>
      <c r="E1411" t="s">
        <v>16</v>
      </c>
      <c r="F1411" t="s">
        <v>17</v>
      </c>
      <c r="G1411" s="14">
        <v>190000</v>
      </c>
      <c r="H1411" s="14">
        <v>185000</v>
      </c>
      <c r="I1411" t="s">
        <v>22</v>
      </c>
      <c r="J1411" t="s">
        <v>22</v>
      </c>
      <c r="K1411" t="s">
        <v>4026</v>
      </c>
      <c r="L1411" t="s">
        <v>4027</v>
      </c>
      <c r="M1411" t="s">
        <v>28</v>
      </c>
      <c r="N1411">
        <v>2</v>
      </c>
      <c r="O1411" t="s">
        <v>142</v>
      </c>
      <c r="P1411" t="s">
        <v>21</v>
      </c>
      <c r="Q1411" t="s">
        <v>30</v>
      </c>
      <c r="R1411" t="str">
        <f>VLOOKUP($O1411,'Mapa Oficinas'!$A$7:$C$46,2,FALSE)</f>
        <v>Zona Norte (GBA)</v>
      </c>
      <c r="S1411" t="str">
        <f>VLOOKUP($O1411,'Mapa Oficinas'!$A$7:$C$46,3,FALSE)</f>
        <v>Nordelta</v>
      </c>
    </row>
    <row r="1412" spans="1:19" x14ac:dyDescent="0.2">
      <c r="A1412" s="1">
        <v>45909</v>
      </c>
      <c r="B1412" t="s">
        <v>4488</v>
      </c>
      <c r="D1412" t="s">
        <v>4489</v>
      </c>
      <c r="E1412" t="s">
        <v>16</v>
      </c>
      <c r="F1412" t="s">
        <v>17</v>
      </c>
      <c r="G1412" s="14">
        <v>269000</v>
      </c>
      <c r="H1412" s="14">
        <v>300000</v>
      </c>
      <c r="I1412" t="s">
        <v>22</v>
      </c>
      <c r="J1412" t="s">
        <v>22</v>
      </c>
      <c r="K1412" t="s">
        <v>4490</v>
      </c>
      <c r="L1412" t="s">
        <v>521</v>
      </c>
      <c r="M1412" t="s">
        <v>28</v>
      </c>
      <c r="N1412">
        <v>2</v>
      </c>
      <c r="O1412" t="s">
        <v>142</v>
      </c>
      <c r="P1412" t="s">
        <v>21</v>
      </c>
      <c r="Q1412" t="s">
        <v>30</v>
      </c>
      <c r="R1412" t="str">
        <f>VLOOKUP($O1412,'Mapa Oficinas'!$A$7:$C$46,2,FALSE)</f>
        <v>Zona Norte (GBA)</v>
      </c>
      <c r="S1412" t="str">
        <f>VLOOKUP($O1412,'Mapa Oficinas'!$A$7:$C$46,3,FALSE)</f>
        <v>Nordelta</v>
      </c>
    </row>
    <row r="1413" spans="1:19" x14ac:dyDescent="0.2">
      <c r="A1413" s="1">
        <v>45910</v>
      </c>
      <c r="B1413" t="s">
        <v>4474</v>
      </c>
      <c r="D1413" t="s">
        <v>4475</v>
      </c>
      <c r="E1413" t="s">
        <v>16</v>
      </c>
      <c r="F1413" t="s">
        <v>17</v>
      </c>
      <c r="G1413" s="14">
        <v>60000</v>
      </c>
      <c r="H1413" s="14">
        <v>55000</v>
      </c>
      <c r="I1413" t="s">
        <v>22</v>
      </c>
      <c r="J1413" t="s">
        <v>22</v>
      </c>
      <c r="K1413" t="s">
        <v>4476</v>
      </c>
      <c r="L1413" t="s">
        <v>226</v>
      </c>
      <c r="M1413" t="s">
        <v>19</v>
      </c>
      <c r="N1413">
        <v>2</v>
      </c>
      <c r="O1413" t="s">
        <v>103</v>
      </c>
      <c r="P1413" t="s">
        <v>276</v>
      </c>
      <c r="Q1413" t="s">
        <v>30</v>
      </c>
      <c r="R1413" t="str">
        <f>VLOOKUP($O1413,'Mapa Oficinas'!$A$7:$C$46,2,FALSE)</f>
        <v>CABA</v>
      </c>
      <c r="S1413" t="str">
        <f>VLOOKUP($O1413,'Mapa Oficinas'!$A$7:$C$46,3,FALSE)</f>
        <v>Barrio Parque</v>
      </c>
    </row>
    <row r="1414" spans="1:19" x14ac:dyDescent="0.2">
      <c r="A1414" s="1">
        <v>45910</v>
      </c>
      <c r="D1414" t="s">
        <v>4477</v>
      </c>
      <c r="E1414" t="s">
        <v>16</v>
      </c>
      <c r="F1414" t="s">
        <v>82</v>
      </c>
      <c r="G1414" s="14">
        <v>66000</v>
      </c>
      <c r="H1414" s="14">
        <v>66000</v>
      </c>
      <c r="I1414" t="s">
        <v>22</v>
      </c>
      <c r="J1414" t="s">
        <v>22</v>
      </c>
      <c r="K1414" t="s">
        <v>4478</v>
      </c>
      <c r="L1414" t="s">
        <v>449</v>
      </c>
      <c r="M1414" t="s">
        <v>19</v>
      </c>
      <c r="N1414">
        <v>1</v>
      </c>
      <c r="O1414" t="s">
        <v>367</v>
      </c>
      <c r="P1414" t="s">
        <v>131</v>
      </c>
      <c r="Q1414" t="s">
        <v>30</v>
      </c>
      <c r="R1414" t="str">
        <f>VLOOKUP($O1414,'Mapa Oficinas'!$A$7:$C$46,2,FALSE)</f>
        <v>Interior - Neuquén</v>
      </c>
      <c r="S1414" t="str">
        <f>VLOOKUP($O1414,'Mapa Oficinas'!$A$7:$C$46,3,FALSE)</f>
        <v>San Martín de los Andes</v>
      </c>
    </row>
    <row r="1415" spans="1:19" x14ac:dyDescent="0.2">
      <c r="A1415" s="1">
        <v>45910</v>
      </c>
      <c r="B1415" t="s">
        <v>4461</v>
      </c>
      <c r="D1415" t="s">
        <v>4462</v>
      </c>
      <c r="E1415" t="s">
        <v>16</v>
      </c>
      <c r="F1415" t="s">
        <v>47</v>
      </c>
      <c r="G1415" s="14">
        <v>108000</v>
      </c>
      <c r="H1415" s="14">
        <v>102000</v>
      </c>
      <c r="I1415" t="s">
        <v>22</v>
      </c>
      <c r="J1415" t="s">
        <v>22</v>
      </c>
      <c r="K1415" t="s">
        <v>4463</v>
      </c>
      <c r="L1415" t="s">
        <v>191</v>
      </c>
      <c r="M1415" t="s">
        <v>19</v>
      </c>
      <c r="N1415">
        <v>2</v>
      </c>
      <c r="O1415" t="s">
        <v>50</v>
      </c>
      <c r="P1415" t="s">
        <v>21</v>
      </c>
      <c r="Q1415" t="s">
        <v>30</v>
      </c>
      <c r="R1415" t="str">
        <f>VLOOKUP($O1415,'Mapa Oficinas'!$A$7:$C$46,2,FALSE)</f>
        <v>CABA</v>
      </c>
      <c r="S1415" t="str">
        <f>VLOOKUP($O1415,'Mapa Oficinas'!$A$7:$C$46,3,FALSE)</f>
        <v>Villa Urquiza</v>
      </c>
    </row>
    <row r="1416" spans="1:19" x14ac:dyDescent="0.2">
      <c r="A1416" s="1">
        <v>45910</v>
      </c>
      <c r="B1416" t="s">
        <v>4479</v>
      </c>
      <c r="D1416" t="s">
        <v>4480</v>
      </c>
      <c r="E1416" t="s">
        <v>16</v>
      </c>
      <c r="F1416" t="s">
        <v>58</v>
      </c>
      <c r="G1416" s="14">
        <v>150000</v>
      </c>
      <c r="H1416" s="14">
        <v>130000</v>
      </c>
      <c r="I1416" t="s">
        <v>22</v>
      </c>
      <c r="J1416" t="s">
        <v>22</v>
      </c>
      <c r="K1416" t="s">
        <v>4481</v>
      </c>
      <c r="L1416" t="s">
        <v>191</v>
      </c>
      <c r="M1416" t="s">
        <v>19</v>
      </c>
      <c r="N1416">
        <v>2</v>
      </c>
      <c r="O1416" t="s">
        <v>103</v>
      </c>
      <c r="P1416" t="s">
        <v>21</v>
      </c>
      <c r="Q1416" t="s">
        <v>30</v>
      </c>
      <c r="R1416" t="str">
        <f>VLOOKUP($O1416,'Mapa Oficinas'!$A$7:$C$46,2,FALSE)</f>
        <v>CABA</v>
      </c>
      <c r="S1416" t="str">
        <f>VLOOKUP($O1416,'Mapa Oficinas'!$A$7:$C$46,3,FALSE)</f>
        <v>Barrio Parque</v>
      </c>
    </row>
    <row r="1417" spans="1:19" x14ac:dyDescent="0.2">
      <c r="A1417" s="1">
        <v>45910</v>
      </c>
      <c r="B1417" t="s">
        <v>4471</v>
      </c>
      <c r="D1417" t="s">
        <v>4472</v>
      </c>
      <c r="E1417" t="s">
        <v>16</v>
      </c>
      <c r="F1417" t="s">
        <v>17</v>
      </c>
      <c r="G1417" s="14">
        <v>298000</v>
      </c>
      <c r="H1417" s="14">
        <v>295000</v>
      </c>
      <c r="I1417" t="s">
        <v>22</v>
      </c>
      <c r="J1417" t="s">
        <v>22</v>
      </c>
      <c r="K1417" t="s">
        <v>4473</v>
      </c>
      <c r="L1417" t="s">
        <v>1017</v>
      </c>
      <c r="M1417" t="s">
        <v>19</v>
      </c>
      <c r="N1417">
        <v>2</v>
      </c>
      <c r="O1417" t="s">
        <v>20</v>
      </c>
      <c r="P1417" t="s">
        <v>276</v>
      </c>
      <c r="Q1417" t="s">
        <v>30</v>
      </c>
      <c r="R1417" t="str">
        <f>VLOOKUP($O1417,'Mapa Oficinas'!$A$7:$C$46,2,FALSE)</f>
        <v>CABA</v>
      </c>
      <c r="S1417" t="str">
        <f>VLOOKUP($O1417,'Mapa Oficinas'!$A$7:$C$46,3,FALSE)</f>
        <v>Palermo</v>
      </c>
    </row>
    <row r="1418" spans="1:19" x14ac:dyDescent="0.2">
      <c r="A1418" s="1">
        <v>45910</v>
      </c>
      <c r="B1418" t="s">
        <v>4468</v>
      </c>
      <c r="D1418" t="s">
        <v>4469</v>
      </c>
      <c r="E1418" t="s">
        <v>16</v>
      </c>
      <c r="F1418" t="s">
        <v>17</v>
      </c>
      <c r="G1418" s="14">
        <v>700000</v>
      </c>
      <c r="H1418" s="14">
        <v>682500</v>
      </c>
      <c r="I1418" t="s">
        <v>22</v>
      </c>
      <c r="J1418" t="s">
        <v>22</v>
      </c>
      <c r="K1418" t="s">
        <v>4470</v>
      </c>
      <c r="L1418" t="s">
        <v>282</v>
      </c>
      <c r="M1418" t="s">
        <v>97</v>
      </c>
      <c r="N1418">
        <v>2</v>
      </c>
      <c r="O1418" t="s">
        <v>35</v>
      </c>
      <c r="P1418" t="s">
        <v>41</v>
      </c>
      <c r="Q1418" t="s">
        <v>30</v>
      </c>
      <c r="R1418" t="str">
        <f>VLOOKUP($O1418,'Mapa Oficinas'!$A$7:$C$46,2,FALSE)</f>
        <v>Zona Norte (GBA)</v>
      </c>
      <c r="S1418" t="str">
        <f>VLOOKUP($O1418,'Mapa Oficinas'!$A$7:$C$46,3,FALSE)</f>
        <v>Vicente López</v>
      </c>
    </row>
    <row r="1419" spans="1:19" x14ac:dyDescent="0.2">
      <c r="A1419" s="1">
        <v>45911</v>
      </c>
      <c r="B1419" t="s">
        <v>4458</v>
      </c>
      <c r="D1419" t="s">
        <v>4459</v>
      </c>
      <c r="E1419" t="s">
        <v>16</v>
      </c>
      <c r="F1419" t="s">
        <v>17</v>
      </c>
      <c r="G1419" s="14">
        <v>40000</v>
      </c>
      <c r="H1419" s="14">
        <v>36000</v>
      </c>
      <c r="I1419" t="s">
        <v>22</v>
      </c>
      <c r="J1419" t="s">
        <v>22</v>
      </c>
      <c r="K1419" t="s">
        <v>4460</v>
      </c>
      <c r="L1419" t="s">
        <v>2298</v>
      </c>
      <c r="M1419" t="s">
        <v>97</v>
      </c>
      <c r="N1419">
        <v>2</v>
      </c>
      <c r="O1419" t="s">
        <v>213</v>
      </c>
      <c r="P1419" t="s">
        <v>21</v>
      </c>
      <c r="Q1419" t="s">
        <v>30</v>
      </c>
      <c r="R1419" t="str">
        <f>VLOOKUP($O1419,'Mapa Oficinas'!$A$7:$C$46,2,FALSE)</f>
        <v>Interior - Mendoza</v>
      </c>
      <c r="S1419" t="str">
        <f>VLOOKUP($O1419,'Mapa Oficinas'!$A$7:$C$46,3,FALSE)</f>
        <v>San Rafael</v>
      </c>
    </row>
    <row r="1420" spans="1:19" x14ac:dyDescent="0.2">
      <c r="A1420" s="1">
        <v>45911</v>
      </c>
      <c r="B1420" t="s">
        <v>4452</v>
      </c>
      <c r="D1420" t="s">
        <v>4453</v>
      </c>
      <c r="E1420" t="s">
        <v>16</v>
      </c>
      <c r="F1420" t="s">
        <v>53</v>
      </c>
      <c r="G1420" s="14">
        <v>80000</v>
      </c>
      <c r="H1420" s="14">
        <v>73000</v>
      </c>
      <c r="I1420" t="s">
        <v>22</v>
      </c>
      <c r="J1420" t="s">
        <v>22</v>
      </c>
      <c r="K1420" t="s">
        <v>4454</v>
      </c>
      <c r="L1420" t="s">
        <v>821</v>
      </c>
      <c r="M1420" t="s">
        <v>97</v>
      </c>
      <c r="N1420">
        <v>2</v>
      </c>
      <c r="O1420" t="s">
        <v>151</v>
      </c>
      <c r="P1420" t="s">
        <v>21</v>
      </c>
      <c r="Q1420" t="s">
        <v>30</v>
      </c>
      <c r="R1420" t="str">
        <f>VLOOKUP($O1420,'Mapa Oficinas'!$A$7:$C$46,2,FALSE)</f>
        <v>Interior - Neuquén</v>
      </c>
      <c r="S1420" t="str">
        <f>VLOOKUP($O1420,'Mapa Oficinas'!$A$7:$C$46,3,FALSE)</f>
        <v>Capital Neuquén</v>
      </c>
    </row>
    <row r="1421" spans="1:19" x14ac:dyDescent="0.2">
      <c r="A1421" s="1">
        <v>45911</v>
      </c>
      <c r="B1421" t="s">
        <v>4444</v>
      </c>
      <c r="D1421" t="s">
        <v>4445</v>
      </c>
      <c r="E1421" t="s">
        <v>16</v>
      </c>
      <c r="F1421" t="s">
        <v>17</v>
      </c>
      <c r="G1421" s="14">
        <v>94900</v>
      </c>
      <c r="H1421" s="14">
        <v>87000</v>
      </c>
      <c r="I1421" t="s">
        <v>22</v>
      </c>
      <c r="J1421" t="s">
        <v>22</v>
      </c>
      <c r="K1421" t="s">
        <v>4446</v>
      </c>
      <c r="L1421" t="s">
        <v>164</v>
      </c>
      <c r="M1421" t="s">
        <v>19</v>
      </c>
      <c r="N1421">
        <v>2</v>
      </c>
      <c r="O1421" t="s">
        <v>29</v>
      </c>
      <c r="P1421" t="s">
        <v>276</v>
      </c>
      <c r="Q1421" t="s">
        <v>30</v>
      </c>
      <c r="R1421" t="str">
        <f>VLOOKUP($O1421,'Mapa Oficinas'!$A$7:$C$46,2,FALSE)</f>
        <v>CABA</v>
      </c>
      <c r="S1421" t="str">
        <f>VLOOKUP($O1421,'Mapa Oficinas'!$A$7:$C$46,3,FALSE)</f>
        <v>Núñez</v>
      </c>
    </row>
    <row r="1422" spans="1:19" x14ac:dyDescent="0.2">
      <c r="A1422" s="1">
        <v>45911</v>
      </c>
      <c r="B1422" t="s">
        <v>4438</v>
      </c>
      <c r="D1422" t="s">
        <v>4439</v>
      </c>
      <c r="E1422" t="s">
        <v>16</v>
      </c>
      <c r="F1422" t="s">
        <v>17</v>
      </c>
      <c r="G1422" s="14">
        <v>145000</v>
      </c>
      <c r="H1422" s="14">
        <v>133000</v>
      </c>
      <c r="I1422" t="s">
        <v>22</v>
      </c>
      <c r="J1422" t="s">
        <v>22</v>
      </c>
      <c r="K1422" t="s">
        <v>4440</v>
      </c>
      <c r="L1422" t="s">
        <v>37</v>
      </c>
      <c r="M1422" t="s">
        <v>19</v>
      </c>
      <c r="N1422">
        <v>2</v>
      </c>
      <c r="O1422" t="s">
        <v>35</v>
      </c>
      <c r="P1422" t="s">
        <v>21</v>
      </c>
      <c r="Q1422" t="s">
        <v>30</v>
      </c>
      <c r="R1422" t="str">
        <f>VLOOKUP($O1422,'Mapa Oficinas'!$A$7:$C$46,2,FALSE)</f>
        <v>Zona Norte (GBA)</v>
      </c>
      <c r="S1422" t="str">
        <f>VLOOKUP($O1422,'Mapa Oficinas'!$A$7:$C$46,3,FALSE)</f>
        <v>Vicente López</v>
      </c>
    </row>
    <row r="1423" spans="1:19" x14ac:dyDescent="0.2">
      <c r="A1423" s="1">
        <v>45911</v>
      </c>
      <c r="B1423" t="s">
        <v>4447</v>
      </c>
      <c r="D1423" t="s">
        <v>4448</v>
      </c>
      <c r="E1423" t="s">
        <v>16</v>
      </c>
      <c r="F1423" t="s">
        <v>17</v>
      </c>
      <c r="G1423" s="14">
        <v>336000</v>
      </c>
      <c r="H1423" s="14">
        <v>157500</v>
      </c>
      <c r="I1423" t="s">
        <v>22</v>
      </c>
      <c r="J1423" t="s">
        <v>22</v>
      </c>
      <c r="K1423" t="s">
        <v>1641</v>
      </c>
      <c r="L1423" t="s">
        <v>1077</v>
      </c>
      <c r="M1423" t="s">
        <v>19</v>
      </c>
      <c r="N1423">
        <v>2</v>
      </c>
      <c r="O1423" t="s">
        <v>201</v>
      </c>
      <c r="P1423" t="s">
        <v>276</v>
      </c>
      <c r="Q1423" t="s">
        <v>30</v>
      </c>
      <c r="R1423" t="str">
        <f>VLOOKUP($O1423,'Mapa Oficinas'!$A$7:$C$46,2,FALSE)</f>
        <v>CABA</v>
      </c>
      <c r="S1423" t="str">
        <f>VLOOKUP($O1423,'Mapa Oficinas'!$A$7:$C$46,3,FALSE)</f>
        <v>Recoleta</v>
      </c>
    </row>
    <row r="1424" spans="1:19" x14ac:dyDescent="0.2">
      <c r="A1424" s="1">
        <v>45911</v>
      </c>
      <c r="B1424" t="s">
        <v>4441</v>
      </c>
      <c r="D1424" t="s">
        <v>4442</v>
      </c>
      <c r="E1424" t="s">
        <v>16</v>
      </c>
      <c r="F1424" t="s">
        <v>17</v>
      </c>
      <c r="G1424" s="14">
        <v>170000</v>
      </c>
      <c r="H1424" s="14">
        <v>169000</v>
      </c>
      <c r="I1424" t="s">
        <v>22</v>
      </c>
      <c r="J1424" t="s">
        <v>22</v>
      </c>
      <c r="K1424" t="s">
        <v>4443</v>
      </c>
      <c r="L1424" t="s">
        <v>470</v>
      </c>
      <c r="M1424" t="s">
        <v>19</v>
      </c>
      <c r="N1424">
        <v>2</v>
      </c>
      <c r="O1424" t="s">
        <v>201</v>
      </c>
      <c r="P1424" t="s">
        <v>276</v>
      </c>
      <c r="Q1424" t="s">
        <v>30</v>
      </c>
      <c r="R1424" t="str">
        <f>VLOOKUP($O1424,'Mapa Oficinas'!$A$7:$C$46,2,FALSE)</f>
        <v>CABA</v>
      </c>
      <c r="S1424" t="str">
        <f>VLOOKUP($O1424,'Mapa Oficinas'!$A$7:$C$46,3,FALSE)</f>
        <v>Recoleta</v>
      </c>
    </row>
    <row r="1425" spans="1:19" x14ac:dyDescent="0.2">
      <c r="A1425" s="1">
        <v>45911</v>
      </c>
      <c r="B1425" t="s">
        <v>4449</v>
      </c>
      <c r="D1425" t="s">
        <v>4450</v>
      </c>
      <c r="E1425" t="s">
        <v>16</v>
      </c>
      <c r="F1425" t="s">
        <v>82</v>
      </c>
      <c r="G1425" s="14">
        <v>330000</v>
      </c>
      <c r="H1425" s="14">
        <v>320000</v>
      </c>
      <c r="I1425" t="s">
        <v>22</v>
      </c>
      <c r="J1425" t="s">
        <v>22</v>
      </c>
      <c r="K1425" t="s">
        <v>4451</v>
      </c>
      <c r="L1425" t="s">
        <v>191</v>
      </c>
      <c r="M1425" t="s">
        <v>19</v>
      </c>
      <c r="N1425">
        <v>2</v>
      </c>
      <c r="O1425" t="s">
        <v>201</v>
      </c>
      <c r="P1425" t="s">
        <v>41</v>
      </c>
      <c r="Q1425" t="s">
        <v>30</v>
      </c>
      <c r="R1425" t="str">
        <f>VLOOKUP($O1425,'Mapa Oficinas'!$A$7:$C$46,2,FALSE)</f>
        <v>CABA</v>
      </c>
      <c r="S1425" t="str">
        <f>VLOOKUP($O1425,'Mapa Oficinas'!$A$7:$C$46,3,FALSE)</f>
        <v>Recoleta</v>
      </c>
    </row>
    <row r="1426" spans="1:19" x14ac:dyDescent="0.2">
      <c r="A1426" s="1">
        <v>45911</v>
      </c>
      <c r="B1426" t="s">
        <v>4455</v>
      </c>
      <c r="D1426" t="s">
        <v>4456</v>
      </c>
      <c r="E1426" t="s">
        <v>16</v>
      </c>
      <c r="F1426" t="s">
        <v>17</v>
      </c>
      <c r="G1426" s="14">
        <v>375000</v>
      </c>
      <c r="H1426" s="14">
        <v>350000</v>
      </c>
      <c r="I1426" t="s">
        <v>22</v>
      </c>
      <c r="J1426" t="s">
        <v>22</v>
      </c>
      <c r="K1426" t="s">
        <v>4457</v>
      </c>
      <c r="L1426" t="s">
        <v>1017</v>
      </c>
      <c r="M1426" t="s">
        <v>19</v>
      </c>
      <c r="N1426">
        <v>2</v>
      </c>
      <c r="O1426" t="s">
        <v>142</v>
      </c>
      <c r="P1426" t="s">
        <v>276</v>
      </c>
      <c r="Q1426" t="s">
        <v>30</v>
      </c>
      <c r="R1426" t="str">
        <f>VLOOKUP($O1426,'Mapa Oficinas'!$A$7:$C$46,2,FALSE)</f>
        <v>Zona Norte (GBA)</v>
      </c>
      <c r="S1426" t="str">
        <f>VLOOKUP($O1426,'Mapa Oficinas'!$A$7:$C$46,3,FALSE)</f>
        <v>Nordelta</v>
      </c>
    </row>
    <row r="1427" spans="1:19" x14ac:dyDescent="0.2">
      <c r="A1427" s="1">
        <v>45912</v>
      </c>
      <c r="B1427" t="s">
        <v>4406</v>
      </c>
      <c r="D1427" t="s">
        <v>4407</v>
      </c>
      <c r="E1427" t="s">
        <v>16</v>
      </c>
      <c r="F1427" t="s">
        <v>47</v>
      </c>
      <c r="G1427" s="14">
        <v>50500</v>
      </c>
      <c r="H1427" s="14">
        <v>55500</v>
      </c>
      <c r="I1427" t="s">
        <v>22</v>
      </c>
      <c r="J1427" t="s">
        <v>22</v>
      </c>
      <c r="K1427" t="s">
        <v>4408</v>
      </c>
      <c r="L1427" t="s">
        <v>170</v>
      </c>
      <c r="M1427" t="s">
        <v>19</v>
      </c>
      <c r="N1427">
        <v>2</v>
      </c>
      <c r="O1427" t="s">
        <v>171</v>
      </c>
      <c r="P1427" t="s">
        <v>21</v>
      </c>
      <c r="Q1427" t="s">
        <v>30</v>
      </c>
      <c r="R1427" t="str">
        <f>VLOOKUP($O1427,'Mapa Oficinas'!$A$7:$C$46,2,FALSE)</f>
        <v>Zona Sur (GBA)</v>
      </c>
      <c r="S1427" t="str">
        <f>VLOOKUP($O1427,'Mapa Oficinas'!$A$7:$C$46,3,FALSE)</f>
        <v>La Plata</v>
      </c>
    </row>
    <row r="1428" spans="1:19" x14ac:dyDescent="0.2">
      <c r="A1428" s="1">
        <v>45912</v>
      </c>
      <c r="B1428" t="s">
        <v>4428</v>
      </c>
      <c r="D1428" t="s">
        <v>4429</v>
      </c>
      <c r="E1428" t="s">
        <v>16</v>
      </c>
      <c r="F1428" t="s">
        <v>17</v>
      </c>
      <c r="G1428" s="14">
        <v>66000</v>
      </c>
      <c r="H1428" s="14">
        <v>61000</v>
      </c>
      <c r="I1428" t="s">
        <v>22</v>
      </c>
      <c r="J1428" t="s">
        <v>22</v>
      </c>
      <c r="K1428" t="s">
        <v>4430</v>
      </c>
      <c r="L1428" t="s">
        <v>4431</v>
      </c>
      <c r="M1428" t="s">
        <v>19</v>
      </c>
      <c r="N1428">
        <v>2</v>
      </c>
      <c r="O1428" t="s">
        <v>103</v>
      </c>
      <c r="P1428" t="s">
        <v>21</v>
      </c>
      <c r="Q1428" t="s">
        <v>30</v>
      </c>
      <c r="R1428" t="str">
        <f>VLOOKUP($O1428,'Mapa Oficinas'!$A$7:$C$46,2,FALSE)</f>
        <v>CABA</v>
      </c>
      <c r="S1428" t="str">
        <f>VLOOKUP($O1428,'Mapa Oficinas'!$A$7:$C$46,3,FALSE)</f>
        <v>Barrio Parque</v>
      </c>
    </row>
    <row r="1429" spans="1:19" x14ac:dyDescent="0.2">
      <c r="A1429" s="1">
        <v>45912</v>
      </c>
      <c r="B1429">
        <v>33</v>
      </c>
      <c r="D1429" t="s">
        <v>4419</v>
      </c>
      <c r="E1429" t="s">
        <v>16</v>
      </c>
      <c r="F1429" t="s">
        <v>17</v>
      </c>
      <c r="G1429" s="14">
        <v>72000</v>
      </c>
      <c r="H1429" s="14">
        <v>72000</v>
      </c>
      <c r="I1429" t="s">
        <v>22</v>
      </c>
      <c r="J1429" t="s">
        <v>22</v>
      </c>
      <c r="K1429" t="s">
        <v>4419</v>
      </c>
      <c r="L1429" t="s">
        <v>79</v>
      </c>
      <c r="M1429" t="s">
        <v>19</v>
      </c>
      <c r="N1429">
        <v>1</v>
      </c>
      <c r="O1429" t="s">
        <v>116</v>
      </c>
      <c r="P1429" t="s">
        <v>146</v>
      </c>
      <c r="Q1429" t="s">
        <v>30</v>
      </c>
      <c r="R1429" t="str">
        <f>VLOOKUP($O1429,'Mapa Oficinas'!$A$7:$C$46,2,FALSE)</f>
        <v>CABA</v>
      </c>
      <c r="S1429" t="str">
        <f>VLOOKUP($O1429,'Mapa Oficinas'!$A$7:$C$46,3,FALSE)</f>
        <v>Puerto Madero</v>
      </c>
    </row>
    <row r="1430" spans="1:19" x14ac:dyDescent="0.2">
      <c r="A1430" s="1">
        <v>45912</v>
      </c>
      <c r="B1430" t="s">
        <v>4422</v>
      </c>
      <c r="D1430" t="s">
        <v>4423</v>
      </c>
      <c r="E1430" t="s">
        <v>16</v>
      </c>
      <c r="F1430" t="s">
        <v>38</v>
      </c>
      <c r="G1430" s="14">
        <v>105000</v>
      </c>
      <c r="H1430" s="14">
        <v>80000</v>
      </c>
      <c r="I1430" t="s">
        <v>22</v>
      </c>
      <c r="J1430" t="s">
        <v>22</v>
      </c>
      <c r="K1430" t="s">
        <v>4424</v>
      </c>
      <c r="L1430" t="s">
        <v>1918</v>
      </c>
      <c r="M1430" t="s">
        <v>28</v>
      </c>
      <c r="N1430">
        <v>2</v>
      </c>
      <c r="O1430" t="s">
        <v>151</v>
      </c>
      <c r="P1430" t="s">
        <v>256</v>
      </c>
      <c r="Q1430" t="s">
        <v>30</v>
      </c>
      <c r="R1430" t="str">
        <f>VLOOKUP($O1430,'Mapa Oficinas'!$A$7:$C$46,2,FALSE)</f>
        <v>Interior - Neuquén</v>
      </c>
      <c r="S1430" t="str">
        <f>VLOOKUP($O1430,'Mapa Oficinas'!$A$7:$C$46,3,FALSE)</f>
        <v>Capital Neuquén</v>
      </c>
    </row>
    <row r="1431" spans="1:19" x14ac:dyDescent="0.2">
      <c r="A1431" s="1">
        <v>45912</v>
      </c>
      <c r="B1431" t="s">
        <v>4416</v>
      </c>
      <c r="D1431" t="s">
        <v>4417</v>
      </c>
      <c r="E1431" t="s">
        <v>16</v>
      </c>
      <c r="F1431" t="s">
        <v>47</v>
      </c>
      <c r="G1431" s="14">
        <v>101000</v>
      </c>
      <c r="H1431" s="14">
        <v>101000</v>
      </c>
      <c r="I1431" t="s">
        <v>22</v>
      </c>
      <c r="J1431" t="s">
        <v>22</v>
      </c>
      <c r="K1431" t="s">
        <v>4418</v>
      </c>
      <c r="L1431" t="s">
        <v>191</v>
      </c>
      <c r="M1431" t="s">
        <v>97</v>
      </c>
      <c r="N1431">
        <v>1</v>
      </c>
      <c r="O1431" t="s">
        <v>73</v>
      </c>
      <c r="P1431" t="s">
        <v>146</v>
      </c>
      <c r="Q1431" t="s">
        <v>30</v>
      </c>
      <c r="R1431" t="str">
        <f>VLOOKUP($O1431,'Mapa Oficinas'!$A$7:$C$46,2,FALSE)</f>
        <v>CABA</v>
      </c>
      <c r="S1431" t="str">
        <f>VLOOKUP($O1431,'Mapa Oficinas'!$A$7:$C$46,3,FALSE)</f>
        <v>Recoleta</v>
      </c>
    </row>
    <row r="1432" spans="1:19" x14ac:dyDescent="0.2">
      <c r="A1432" s="1">
        <v>45912</v>
      </c>
      <c r="B1432" t="s">
        <v>4420</v>
      </c>
      <c r="D1432" t="s">
        <v>4421</v>
      </c>
      <c r="E1432" t="s">
        <v>16</v>
      </c>
      <c r="F1432" t="s">
        <v>17</v>
      </c>
      <c r="G1432" s="14">
        <v>105000</v>
      </c>
      <c r="H1432" s="14">
        <v>105000</v>
      </c>
      <c r="I1432" t="s">
        <v>22</v>
      </c>
      <c r="J1432" t="s">
        <v>22</v>
      </c>
      <c r="K1432" t="s">
        <v>703</v>
      </c>
      <c r="L1432" t="s">
        <v>79</v>
      </c>
      <c r="M1432" t="s">
        <v>19</v>
      </c>
      <c r="N1432">
        <v>2</v>
      </c>
      <c r="O1432" t="s">
        <v>73</v>
      </c>
      <c r="P1432" t="s">
        <v>21</v>
      </c>
      <c r="Q1432" t="s">
        <v>30</v>
      </c>
      <c r="R1432" t="str">
        <f>VLOOKUP($O1432,'Mapa Oficinas'!$A$7:$C$46,2,FALSE)</f>
        <v>CABA</v>
      </c>
      <c r="S1432" t="str">
        <f>VLOOKUP($O1432,'Mapa Oficinas'!$A$7:$C$46,3,FALSE)</f>
        <v>Recoleta</v>
      </c>
    </row>
    <row r="1433" spans="1:19" x14ac:dyDescent="0.2">
      <c r="A1433" s="1">
        <v>45912</v>
      </c>
      <c r="B1433" t="s">
        <v>4425</v>
      </c>
      <c r="D1433" t="s">
        <v>4426</v>
      </c>
      <c r="E1433" t="s">
        <v>16</v>
      </c>
      <c r="F1433" t="s">
        <v>17</v>
      </c>
      <c r="G1433" s="14">
        <v>129900</v>
      </c>
      <c r="H1433" s="14">
        <v>127000</v>
      </c>
      <c r="I1433" t="s">
        <v>22</v>
      </c>
      <c r="J1433" t="s">
        <v>22</v>
      </c>
      <c r="K1433" t="s">
        <v>4427</v>
      </c>
      <c r="L1433" t="s">
        <v>102</v>
      </c>
      <c r="M1433" t="s">
        <v>19</v>
      </c>
      <c r="N1433">
        <v>2</v>
      </c>
      <c r="O1433" t="s">
        <v>103</v>
      </c>
      <c r="P1433" t="s">
        <v>21</v>
      </c>
      <c r="Q1433" t="s">
        <v>30</v>
      </c>
      <c r="R1433" t="str">
        <f>VLOOKUP($O1433,'Mapa Oficinas'!$A$7:$C$46,2,FALSE)</f>
        <v>CABA</v>
      </c>
      <c r="S1433" t="str">
        <f>VLOOKUP($O1433,'Mapa Oficinas'!$A$7:$C$46,3,FALSE)</f>
        <v>Barrio Parque</v>
      </c>
    </row>
    <row r="1434" spans="1:19" x14ac:dyDescent="0.2">
      <c r="A1434" s="1">
        <v>45912</v>
      </c>
      <c r="B1434" t="s">
        <v>4413</v>
      </c>
      <c r="D1434" t="s">
        <v>4414</v>
      </c>
      <c r="E1434" t="s">
        <v>16</v>
      </c>
      <c r="F1434" t="s">
        <v>17</v>
      </c>
      <c r="G1434" s="14">
        <v>190000</v>
      </c>
      <c r="H1434" s="14">
        <v>177000</v>
      </c>
      <c r="I1434" t="s">
        <v>22</v>
      </c>
      <c r="J1434" t="s">
        <v>22</v>
      </c>
      <c r="K1434" t="s">
        <v>4415</v>
      </c>
      <c r="L1434" t="s">
        <v>117</v>
      </c>
      <c r="M1434" t="s">
        <v>19</v>
      </c>
      <c r="N1434">
        <v>2</v>
      </c>
      <c r="O1434" t="s">
        <v>73</v>
      </c>
      <c r="P1434" t="s">
        <v>21</v>
      </c>
      <c r="Q1434" t="s">
        <v>30</v>
      </c>
      <c r="R1434" t="str">
        <f>VLOOKUP($O1434,'Mapa Oficinas'!$A$7:$C$46,2,FALSE)</f>
        <v>CABA</v>
      </c>
      <c r="S1434" t="str">
        <f>VLOOKUP($O1434,'Mapa Oficinas'!$A$7:$C$46,3,FALSE)</f>
        <v>Recoleta</v>
      </c>
    </row>
    <row r="1435" spans="1:19" x14ac:dyDescent="0.2">
      <c r="A1435" s="1">
        <v>45912</v>
      </c>
      <c r="B1435" t="s">
        <v>4432</v>
      </c>
      <c r="D1435" t="s">
        <v>4433</v>
      </c>
      <c r="E1435" t="s">
        <v>16</v>
      </c>
      <c r="F1435" t="s">
        <v>17</v>
      </c>
      <c r="G1435" s="14">
        <v>719900</v>
      </c>
      <c r="H1435" s="14">
        <v>620440</v>
      </c>
      <c r="I1435" t="s">
        <v>22</v>
      </c>
      <c r="J1435" t="s">
        <v>22</v>
      </c>
      <c r="K1435" t="s">
        <v>4434</v>
      </c>
      <c r="L1435" t="s">
        <v>318</v>
      </c>
      <c r="M1435" t="s">
        <v>19</v>
      </c>
      <c r="N1435">
        <v>2</v>
      </c>
      <c r="O1435" t="s">
        <v>103</v>
      </c>
      <c r="P1435" t="s">
        <v>276</v>
      </c>
      <c r="Q1435" t="s">
        <v>30</v>
      </c>
      <c r="R1435" t="str">
        <f>VLOOKUP($O1435,'Mapa Oficinas'!$A$7:$C$46,2,FALSE)</f>
        <v>CABA</v>
      </c>
      <c r="S1435" t="str">
        <f>VLOOKUP($O1435,'Mapa Oficinas'!$A$7:$C$46,3,FALSE)</f>
        <v>Barrio Parque</v>
      </c>
    </row>
    <row r="1436" spans="1:19" x14ac:dyDescent="0.2">
      <c r="A1436" s="1">
        <v>45913</v>
      </c>
      <c r="B1436" t="s">
        <v>4403</v>
      </c>
      <c r="D1436" t="s">
        <v>4404</v>
      </c>
      <c r="E1436" t="s">
        <v>16</v>
      </c>
      <c r="F1436" t="s">
        <v>17</v>
      </c>
      <c r="G1436" s="14">
        <v>59800</v>
      </c>
      <c r="H1436" s="14">
        <v>57000</v>
      </c>
      <c r="I1436" t="s">
        <v>22</v>
      </c>
      <c r="J1436" t="s">
        <v>22</v>
      </c>
      <c r="K1436" t="s">
        <v>4405</v>
      </c>
      <c r="L1436" t="s">
        <v>901</v>
      </c>
      <c r="M1436" t="s">
        <v>19</v>
      </c>
      <c r="N1436">
        <v>2</v>
      </c>
      <c r="O1436" t="s">
        <v>103</v>
      </c>
      <c r="P1436" t="s">
        <v>21</v>
      </c>
      <c r="Q1436" t="s">
        <v>30</v>
      </c>
      <c r="R1436" t="str">
        <f>VLOOKUP($O1436,'Mapa Oficinas'!$A$7:$C$46,2,FALSE)</f>
        <v>CABA</v>
      </c>
      <c r="S1436" t="str">
        <f>VLOOKUP($O1436,'Mapa Oficinas'!$A$7:$C$46,3,FALSE)</f>
        <v>Barrio Parque</v>
      </c>
    </row>
    <row r="1437" spans="1:19" x14ac:dyDescent="0.2">
      <c r="A1437" s="1">
        <v>45914</v>
      </c>
      <c r="B1437" t="s">
        <v>4400</v>
      </c>
      <c r="D1437" t="s">
        <v>4401</v>
      </c>
      <c r="E1437" t="s">
        <v>16</v>
      </c>
      <c r="F1437" t="s">
        <v>243</v>
      </c>
      <c r="G1437" s="14">
        <v>68000</v>
      </c>
      <c r="H1437" s="14">
        <v>66000</v>
      </c>
      <c r="I1437" t="s">
        <v>22</v>
      </c>
      <c r="J1437" t="s">
        <v>22</v>
      </c>
      <c r="K1437" t="s">
        <v>4402</v>
      </c>
      <c r="L1437" t="s">
        <v>245</v>
      </c>
      <c r="M1437" t="s">
        <v>19</v>
      </c>
      <c r="N1437">
        <v>1</v>
      </c>
      <c r="O1437" t="s">
        <v>246</v>
      </c>
      <c r="P1437" t="s">
        <v>66</v>
      </c>
      <c r="Q1437" t="s">
        <v>30</v>
      </c>
      <c r="R1437" t="str">
        <f>VLOOKUP($O1437,'Mapa Oficinas'!$A$7:$C$46,2,FALSE)</f>
        <v>Interior - Salta</v>
      </c>
      <c r="S1437" t="str">
        <f>VLOOKUP($O1437,'Mapa Oficinas'!$A$7:$C$46,3,FALSE)</f>
        <v>San Lorenzo Chico</v>
      </c>
    </row>
    <row r="1438" spans="1:19" x14ac:dyDescent="0.2">
      <c r="A1438" s="1">
        <v>45915</v>
      </c>
      <c r="B1438" t="s">
        <v>4360</v>
      </c>
      <c r="D1438" t="s">
        <v>4361</v>
      </c>
      <c r="E1438" t="s">
        <v>16</v>
      </c>
      <c r="F1438" t="s">
        <v>17</v>
      </c>
      <c r="G1438" s="14">
        <v>50000</v>
      </c>
      <c r="H1438" s="14">
        <v>50000</v>
      </c>
      <c r="I1438" t="s">
        <v>22</v>
      </c>
      <c r="J1438" t="s">
        <v>22</v>
      </c>
      <c r="K1438">
        <v>1141</v>
      </c>
      <c r="L1438" t="s">
        <v>4362</v>
      </c>
      <c r="M1438" t="s">
        <v>309</v>
      </c>
      <c r="N1438">
        <v>2</v>
      </c>
      <c r="O1438" t="s">
        <v>35</v>
      </c>
      <c r="P1438" t="s">
        <v>21</v>
      </c>
      <c r="Q1438" t="s">
        <v>30</v>
      </c>
      <c r="R1438" t="str">
        <f>VLOOKUP($O1438,'Mapa Oficinas'!$A$7:$C$46,2,FALSE)</f>
        <v>Zona Norte (GBA)</v>
      </c>
      <c r="S1438" t="str">
        <f>VLOOKUP($O1438,'Mapa Oficinas'!$A$7:$C$46,3,FALSE)</f>
        <v>Vicente López</v>
      </c>
    </row>
    <row r="1439" spans="1:19" x14ac:dyDescent="0.2">
      <c r="A1439" s="1">
        <v>45915</v>
      </c>
      <c r="B1439" t="s">
        <v>4353</v>
      </c>
      <c r="D1439" t="s">
        <v>4354</v>
      </c>
      <c r="E1439" t="s">
        <v>16</v>
      </c>
      <c r="F1439" t="s">
        <v>47</v>
      </c>
      <c r="G1439" s="14">
        <v>53000</v>
      </c>
      <c r="H1439" s="14">
        <v>51000</v>
      </c>
      <c r="I1439" t="s">
        <v>22</v>
      </c>
      <c r="J1439" t="s">
        <v>22</v>
      </c>
      <c r="K1439" t="s">
        <v>4355</v>
      </c>
      <c r="L1439" t="s">
        <v>1249</v>
      </c>
      <c r="M1439" t="s">
        <v>19</v>
      </c>
      <c r="N1439">
        <v>2</v>
      </c>
      <c r="O1439" t="s">
        <v>50</v>
      </c>
      <c r="P1439" t="s">
        <v>1578</v>
      </c>
      <c r="Q1439" t="s">
        <v>30</v>
      </c>
      <c r="R1439" t="str">
        <f>VLOOKUP($O1439,'Mapa Oficinas'!$A$7:$C$46,2,FALSE)</f>
        <v>CABA</v>
      </c>
      <c r="S1439" t="str">
        <f>VLOOKUP($O1439,'Mapa Oficinas'!$A$7:$C$46,3,FALSE)</f>
        <v>Villa Urquiza</v>
      </c>
    </row>
    <row r="1440" spans="1:19" x14ac:dyDescent="0.2">
      <c r="A1440" s="1">
        <v>45915</v>
      </c>
      <c r="B1440" t="s">
        <v>4363</v>
      </c>
      <c r="D1440" t="s">
        <v>4364</v>
      </c>
      <c r="E1440" t="s">
        <v>16</v>
      </c>
      <c r="F1440" t="s">
        <v>17</v>
      </c>
      <c r="G1440" s="14">
        <v>65000</v>
      </c>
      <c r="H1440" s="14">
        <v>55000</v>
      </c>
      <c r="I1440" t="s">
        <v>22</v>
      </c>
      <c r="J1440" t="s">
        <v>22</v>
      </c>
      <c r="K1440" t="s">
        <v>290</v>
      </c>
      <c r="L1440" t="s">
        <v>291</v>
      </c>
      <c r="M1440" t="s">
        <v>28</v>
      </c>
      <c r="N1440">
        <v>2</v>
      </c>
      <c r="O1440" t="s">
        <v>201</v>
      </c>
      <c r="P1440" t="s">
        <v>21</v>
      </c>
      <c r="Q1440" t="s">
        <v>30</v>
      </c>
      <c r="R1440" t="str">
        <f>VLOOKUP($O1440,'Mapa Oficinas'!$A$7:$C$46,2,FALSE)</f>
        <v>CABA</v>
      </c>
      <c r="S1440" t="str">
        <f>VLOOKUP($O1440,'Mapa Oficinas'!$A$7:$C$46,3,FALSE)</f>
        <v>Recoleta</v>
      </c>
    </row>
    <row r="1441" spans="1:19" x14ac:dyDescent="0.2">
      <c r="A1441" s="1">
        <v>45915</v>
      </c>
      <c r="B1441" t="s">
        <v>4377</v>
      </c>
      <c r="D1441" t="s">
        <v>4378</v>
      </c>
      <c r="E1441" t="s">
        <v>16</v>
      </c>
      <c r="F1441" t="s">
        <v>17</v>
      </c>
      <c r="G1441" s="14">
        <v>69000</v>
      </c>
      <c r="H1441" s="14">
        <v>69000</v>
      </c>
      <c r="I1441" t="s">
        <v>22</v>
      </c>
      <c r="J1441" t="s">
        <v>22</v>
      </c>
      <c r="K1441" t="s">
        <v>4379</v>
      </c>
      <c r="L1441" t="s">
        <v>1353</v>
      </c>
      <c r="M1441" t="s">
        <v>19</v>
      </c>
      <c r="N1441">
        <v>2</v>
      </c>
      <c r="O1441" t="s">
        <v>151</v>
      </c>
      <c r="P1441" t="s">
        <v>21</v>
      </c>
      <c r="Q1441" t="s">
        <v>30</v>
      </c>
      <c r="R1441" t="str">
        <f>VLOOKUP($O1441,'Mapa Oficinas'!$A$7:$C$46,2,FALSE)</f>
        <v>Interior - Neuquén</v>
      </c>
      <c r="S1441" t="str">
        <f>VLOOKUP($O1441,'Mapa Oficinas'!$A$7:$C$46,3,FALSE)</f>
        <v>Capital Neuquén</v>
      </c>
    </row>
    <row r="1442" spans="1:19" x14ac:dyDescent="0.2">
      <c r="A1442" s="1">
        <v>45915</v>
      </c>
      <c r="B1442" t="s">
        <v>3076</v>
      </c>
      <c r="D1442" t="s">
        <v>3077</v>
      </c>
      <c r="E1442" t="s">
        <v>16</v>
      </c>
      <c r="F1442" t="s">
        <v>17</v>
      </c>
      <c r="G1442" s="14">
        <v>95000</v>
      </c>
      <c r="H1442" s="14">
        <v>82500</v>
      </c>
      <c r="I1442" t="s">
        <v>22</v>
      </c>
      <c r="J1442" t="s">
        <v>22</v>
      </c>
      <c r="K1442" t="s">
        <v>3078</v>
      </c>
      <c r="L1442" t="s">
        <v>3079</v>
      </c>
      <c r="M1442" t="s">
        <v>19</v>
      </c>
      <c r="N1442">
        <v>2</v>
      </c>
      <c r="O1442" t="s">
        <v>142</v>
      </c>
      <c r="P1442" t="s">
        <v>36</v>
      </c>
      <c r="Q1442" t="s">
        <v>30</v>
      </c>
      <c r="R1442" t="str">
        <f>VLOOKUP($O1442,'Mapa Oficinas'!$A$7:$C$46,2,FALSE)</f>
        <v>Zona Norte (GBA)</v>
      </c>
      <c r="S1442" t="str">
        <f>VLOOKUP($O1442,'Mapa Oficinas'!$A$7:$C$46,3,FALSE)</f>
        <v>Nordelta</v>
      </c>
    </row>
    <row r="1443" spans="1:19" x14ac:dyDescent="0.2">
      <c r="A1443" s="1">
        <v>45915</v>
      </c>
      <c r="B1443" t="s">
        <v>4371</v>
      </c>
      <c r="D1443" t="s">
        <v>4372</v>
      </c>
      <c r="E1443" t="s">
        <v>16</v>
      </c>
      <c r="F1443" t="s">
        <v>17</v>
      </c>
      <c r="G1443" s="14">
        <v>85000</v>
      </c>
      <c r="H1443" s="14">
        <v>83000</v>
      </c>
      <c r="I1443" t="s">
        <v>22</v>
      </c>
      <c r="J1443" t="s">
        <v>22</v>
      </c>
      <c r="K1443" t="s">
        <v>4373</v>
      </c>
      <c r="L1443" t="s">
        <v>191</v>
      </c>
      <c r="M1443" t="s">
        <v>19</v>
      </c>
      <c r="N1443">
        <v>2</v>
      </c>
      <c r="O1443" t="s">
        <v>50</v>
      </c>
      <c r="P1443" t="s">
        <v>21</v>
      </c>
      <c r="Q1443" t="s">
        <v>30</v>
      </c>
      <c r="R1443" t="str">
        <f>VLOOKUP($O1443,'Mapa Oficinas'!$A$7:$C$46,2,FALSE)</f>
        <v>CABA</v>
      </c>
      <c r="S1443" t="str">
        <f>VLOOKUP($O1443,'Mapa Oficinas'!$A$7:$C$46,3,FALSE)</f>
        <v>Villa Urquiza</v>
      </c>
    </row>
    <row r="1444" spans="1:19" x14ac:dyDescent="0.2">
      <c r="A1444" s="1">
        <v>45915</v>
      </c>
      <c r="B1444" t="s">
        <v>4384</v>
      </c>
      <c r="D1444" t="s">
        <v>4385</v>
      </c>
      <c r="E1444" t="s">
        <v>16</v>
      </c>
      <c r="F1444" t="s">
        <v>17</v>
      </c>
      <c r="G1444" s="14">
        <v>89000</v>
      </c>
      <c r="H1444" s="14">
        <v>83000</v>
      </c>
      <c r="I1444" t="s">
        <v>22</v>
      </c>
      <c r="J1444" t="s">
        <v>22</v>
      </c>
      <c r="K1444" t="s">
        <v>4385</v>
      </c>
      <c r="L1444" t="s">
        <v>191</v>
      </c>
      <c r="M1444" t="s">
        <v>19</v>
      </c>
      <c r="N1444">
        <v>2</v>
      </c>
      <c r="O1444" t="s">
        <v>40</v>
      </c>
      <c r="P1444" t="s">
        <v>21</v>
      </c>
      <c r="Q1444" t="s">
        <v>30</v>
      </c>
      <c r="R1444" t="str">
        <f>VLOOKUP($O1444,'Mapa Oficinas'!$A$7:$C$46,2,FALSE)</f>
        <v>Zona Norte (GBA)</v>
      </c>
      <c r="S1444" t="str">
        <f>VLOOKUP($O1444,'Mapa Oficinas'!$A$7:$C$46,3,FALSE)</f>
        <v>Pilar</v>
      </c>
    </row>
    <row r="1445" spans="1:19" x14ac:dyDescent="0.2">
      <c r="A1445" s="1">
        <v>45915</v>
      </c>
      <c r="B1445" t="s">
        <v>61</v>
      </c>
      <c r="D1445" t="s">
        <v>62</v>
      </c>
      <c r="E1445" t="s">
        <v>16</v>
      </c>
      <c r="F1445" t="s">
        <v>134</v>
      </c>
      <c r="G1445" s="14">
        <v>105000</v>
      </c>
      <c r="H1445" s="14">
        <v>92000</v>
      </c>
      <c r="I1445" t="s">
        <v>22</v>
      </c>
      <c r="J1445" t="s">
        <v>22</v>
      </c>
      <c r="K1445" t="s">
        <v>63</v>
      </c>
      <c r="L1445" t="s">
        <v>64</v>
      </c>
      <c r="M1445" t="s">
        <v>28</v>
      </c>
      <c r="N1445">
        <v>2</v>
      </c>
      <c r="O1445" t="s">
        <v>65</v>
      </c>
      <c r="P1445" t="s">
        <v>21</v>
      </c>
      <c r="Q1445" t="s">
        <v>30</v>
      </c>
      <c r="R1445" t="str">
        <f>VLOOKUP($O1445,'Mapa Oficinas'!$A$7:$C$46,2,FALSE)</f>
        <v>Interior - Mendoza</v>
      </c>
      <c r="S1445" t="str">
        <f>VLOOKUP($O1445,'Mapa Oficinas'!$A$7:$C$46,3,FALSE)</f>
        <v>Capital Mendoza</v>
      </c>
    </row>
    <row r="1446" spans="1:19" x14ac:dyDescent="0.2">
      <c r="A1446" s="1">
        <v>45915</v>
      </c>
      <c r="B1446" t="s">
        <v>4391</v>
      </c>
      <c r="D1446" t="s">
        <v>4392</v>
      </c>
      <c r="E1446" t="s">
        <v>16</v>
      </c>
      <c r="F1446" t="s">
        <v>17</v>
      </c>
      <c r="G1446" s="14">
        <v>110000</v>
      </c>
      <c r="H1446" s="14">
        <v>110000</v>
      </c>
      <c r="I1446" t="s">
        <v>22</v>
      </c>
      <c r="J1446" t="s">
        <v>22</v>
      </c>
      <c r="K1446" t="s">
        <v>4393</v>
      </c>
      <c r="L1446" t="s">
        <v>2719</v>
      </c>
      <c r="M1446" t="s">
        <v>28</v>
      </c>
      <c r="N1446">
        <v>2</v>
      </c>
      <c r="O1446" t="s">
        <v>65</v>
      </c>
      <c r="P1446" t="s">
        <v>21</v>
      </c>
      <c r="Q1446" t="s">
        <v>30</v>
      </c>
      <c r="R1446" t="str">
        <f>VLOOKUP($O1446,'Mapa Oficinas'!$A$7:$C$46,2,FALSE)</f>
        <v>Interior - Mendoza</v>
      </c>
      <c r="S1446" t="str">
        <f>VLOOKUP($O1446,'Mapa Oficinas'!$A$7:$C$46,3,FALSE)</f>
        <v>Capital Mendoza</v>
      </c>
    </row>
    <row r="1447" spans="1:19" x14ac:dyDescent="0.2">
      <c r="A1447" s="1">
        <v>45915</v>
      </c>
      <c r="B1447" t="s">
        <v>4365</v>
      </c>
      <c r="D1447" t="s">
        <v>4366</v>
      </c>
      <c r="E1447" t="s">
        <v>16</v>
      </c>
      <c r="F1447" t="s">
        <v>17</v>
      </c>
      <c r="G1447" s="14">
        <v>120000</v>
      </c>
      <c r="H1447" s="14">
        <v>120000</v>
      </c>
      <c r="I1447" t="s">
        <v>22</v>
      </c>
      <c r="J1447" t="s">
        <v>22</v>
      </c>
      <c r="K1447" t="s">
        <v>4367</v>
      </c>
      <c r="L1447" t="s">
        <v>191</v>
      </c>
      <c r="M1447" t="s">
        <v>19</v>
      </c>
      <c r="N1447">
        <v>2</v>
      </c>
      <c r="O1447" t="s">
        <v>142</v>
      </c>
      <c r="P1447" t="s">
        <v>41</v>
      </c>
      <c r="Q1447" t="s">
        <v>30</v>
      </c>
      <c r="R1447" t="str">
        <f>VLOOKUP($O1447,'Mapa Oficinas'!$A$7:$C$46,2,FALSE)</f>
        <v>Zona Norte (GBA)</v>
      </c>
      <c r="S1447" t="str">
        <f>VLOOKUP($O1447,'Mapa Oficinas'!$A$7:$C$46,3,FALSE)</f>
        <v>Nordelta</v>
      </c>
    </row>
    <row r="1448" spans="1:19" x14ac:dyDescent="0.2">
      <c r="A1448" s="1">
        <v>45915</v>
      </c>
      <c r="B1448" t="s">
        <v>4374</v>
      </c>
      <c r="D1448" t="s">
        <v>4375</v>
      </c>
      <c r="E1448" t="s">
        <v>16</v>
      </c>
      <c r="F1448" t="s">
        <v>17</v>
      </c>
      <c r="G1448" s="14">
        <v>179000</v>
      </c>
      <c r="H1448" s="14">
        <v>124000</v>
      </c>
      <c r="I1448" t="s">
        <v>22</v>
      </c>
      <c r="J1448" t="s">
        <v>22</v>
      </c>
      <c r="K1448" t="s">
        <v>4376</v>
      </c>
      <c r="L1448" t="s">
        <v>237</v>
      </c>
      <c r="M1448" t="s">
        <v>19</v>
      </c>
      <c r="N1448">
        <v>2</v>
      </c>
      <c r="O1448" t="s">
        <v>50</v>
      </c>
      <c r="P1448" t="s">
        <v>21</v>
      </c>
      <c r="Q1448" t="s">
        <v>30</v>
      </c>
      <c r="R1448" t="str">
        <f>VLOOKUP($O1448,'Mapa Oficinas'!$A$7:$C$46,2,FALSE)</f>
        <v>CABA</v>
      </c>
      <c r="S1448" t="str">
        <f>VLOOKUP($O1448,'Mapa Oficinas'!$A$7:$C$46,3,FALSE)</f>
        <v>Villa Urquiza</v>
      </c>
    </row>
    <row r="1449" spans="1:19" x14ac:dyDescent="0.2">
      <c r="A1449" s="1">
        <v>45915</v>
      </c>
      <c r="B1449" t="s">
        <v>4380</v>
      </c>
      <c r="D1449" t="s">
        <v>4381</v>
      </c>
      <c r="E1449" t="s">
        <v>16</v>
      </c>
      <c r="F1449" t="s">
        <v>47</v>
      </c>
      <c r="G1449" s="14">
        <v>150000</v>
      </c>
      <c r="H1449" s="14">
        <v>141000</v>
      </c>
      <c r="I1449" t="s">
        <v>22</v>
      </c>
      <c r="J1449" t="s">
        <v>22</v>
      </c>
      <c r="K1449" t="s">
        <v>4382</v>
      </c>
      <c r="L1449" t="s">
        <v>4383</v>
      </c>
      <c r="M1449" t="s">
        <v>28</v>
      </c>
      <c r="N1449">
        <v>2</v>
      </c>
      <c r="O1449" t="s">
        <v>40</v>
      </c>
      <c r="P1449" t="s">
        <v>44</v>
      </c>
      <c r="Q1449" t="s">
        <v>30</v>
      </c>
      <c r="R1449" t="str">
        <f>VLOOKUP($O1449,'Mapa Oficinas'!$A$7:$C$46,2,FALSE)</f>
        <v>Zona Norte (GBA)</v>
      </c>
      <c r="S1449" t="str">
        <f>VLOOKUP($O1449,'Mapa Oficinas'!$A$7:$C$46,3,FALSE)</f>
        <v>Pilar</v>
      </c>
    </row>
    <row r="1450" spans="1:19" x14ac:dyDescent="0.2">
      <c r="A1450" s="1">
        <v>45915</v>
      </c>
      <c r="B1450" t="s">
        <v>4397</v>
      </c>
      <c r="D1450" t="s">
        <v>4398</v>
      </c>
      <c r="E1450" t="s">
        <v>16</v>
      </c>
      <c r="F1450" t="s">
        <v>47</v>
      </c>
      <c r="G1450" s="14">
        <v>145000</v>
      </c>
      <c r="H1450" s="14">
        <v>145000</v>
      </c>
      <c r="I1450" t="s">
        <v>22</v>
      </c>
      <c r="J1450" t="s">
        <v>22</v>
      </c>
      <c r="K1450" t="s">
        <v>4399</v>
      </c>
      <c r="L1450" t="s">
        <v>191</v>
      </c>
      <c r="M1450" t="s">
        <v>97</v>
      </c>
      <c r="N1450">
        <v>1</v>
      </c>
      <c r="O1450" t="s">
        <v>73</v>
      </c>
      <c r="P1450" t="s">
        <v>146</v>
      </c>
      <c r="Q1450" t="s">
        <v>30</v>
      </c>
      <c r="R1450" t="str">
        <f>VLOOKUP($O1450,'Mapa Oficinas'!$A$7:$C$46,2,FALSE)</f>
        <v>CABA</v>
      </c>
      <c r="S1450" t="str">
        <f>VLOOKUP($O1450,'Mapa Oficinas'!$A$7:$C$46,3,FALSE)</f>
        <v>Recoleta</v>
      </c>
    </row>
    <row r="1451" spans="1:19" x14ac:dyDescent="0.2">
      <c r="A1451" s="1">
        <v>45915</v>
      </c>
      <c r="B1451" t="s">
        <v>4356</v>
      </c>
      <c r="D1451" t="s">
        <v>4357</v>
      </c>
      <c r="E1451" t="s">
        <v>16</v>
      </c>
      <c r="F1451" t="s">
        <v>82</v>
      </c>
      <c r="G1451" s="14">
        <v>190000</v>
      </c>
      <c r="H1451" s="14">
        <v>183000</v>
      </c>
      <c r="I1451" t="s">
        <v>22</v>
      </c>
      <c r="J1451" t="s">
        <v>22</v>
      </c>
      <c r="K1451" t="s">
        <v>4358</v>
      </c>
      <c r="L1451" t="s">
        <v>1642</v>
      </c>
      <c r="M1451" t="s">
        <v>28</v>
      </c>
      <c r="N1451">
        <v>1</v>
      </c>
      <c r="O1451" t="s">
        <v>55</v>
      </c>
      <c r="P1451" t="s">
        <v>131</v>
      </c>
      <c r="Q1451" t="s">
        <v>30</v>
      </c>
      <c r="R1451" t="str">
        <f>VLOOKUP($O1451,'Mapa Oficinas'!$A$7:$C$46,2,FALSE)</f>
        <v>Interior - Santa Fe</v>
      </c>
      <c r="S1451" t="str">
        <f>VLOOKUP($O1451,'Mapa Oficinas'!$A$7:$C$46,3,FALSE)</f>
        <v>Capital Santa Fe</v>
      </c>
    </row>
    <row r="1452" spans="1:19" x14ac:dyDescent="0.2">
      <c r="A1452" s="1">
        <v>45915</v>
      </c>
      <c r="B1452" t="s">
        <v>4368</v>
      </c>
      <c r="D1452" t="s">
        <v>4369</v>
      </c>
      <c r="E1452" t="s">
        <v>16</v>
      </c>
      <c r="F1452" t="s">
        <v>17</v>
      </c>
      <c r="G1452" s="14">
        <v>245000</v>
      </c>
      <c r="H1452" s="14">
        <v>230000</v>
      </c>
      <c r="I1452" t="s">
        <v>22</v>
      </c>
      <c r="J1452" t="s">
        <v>22</v>
      </c>
      <c r="K1452" t="s">
        <v>4370</v>
      </c>
      <c r="L1452" t="s">
        <v>226</v>
      </c>
      <c r="M1452" t="s">
        <v>19</v>
      </c>
      <c r="N1452">
        <v>2</v>
      </c>
      <c r="O1452" t="s">
        <v>142</v>
      </c>
      <c r="P1452" t="s">
        <v>21</v>
      </c>
      <c r="Q1452" t="s">
        <v>30</v>
      </c>
      <c r="R1452" t="str">
        <f>VLOOKUP($O1452,'Mapa Oficinas'!$A$7:$C$46,2,FALSE)</f>
        <v>Zona Norte (GBA)</v>
      </c>
      <c r="S1452" t="str">
        <f>VLOOKUP($O1452,'Mapa Oficinas'!$A$7:$C$46,3,FALSE)</f>
        <v>Nordelta</v>
      </c>
    </row>
    <row r="1453" spans="1:19" x14ac:dyDescent="0.2">
      <c r="A1453" s="1">
        <v>45915</v>
      </c>
      <c r="B1453" t="s">
        <v>4386</v>
      </c>
      <c r="D1453" t="s">
        <v>4387</v>
      </c>
      <c r="E1453" t="s">
        <v>16</v>
      </c>
      <c r="F1453" t="s">
        <v>17</v>
      </c>
      <c r="G1453" s="14">
        <v>250000</v>
      </c>
      <c r="H1453" s="14">
        <v>245000</v>
      </c>
      <c r="I1453" t="s">
        <v>22</v>
      </c>
      <c r="J1453" t="s">
        <v>22</v>
      </c>
      <c r="K1453" t="s">
        <v>4388</v>
      </c>
      <c r="L1453" t="s">
        <v>4389</v>
      </c>
      <c r="M1453" t="s">
        <v>28</v>
      </c>
      <c r="N1453">
        <v>2</v>
      </c>
      <c r="O1453" t="s">
        <v>142</v>
      </c>
      <c r="P1453" t="s">
        <v>21</v>
      </c>
      <c r="Q1453" t="s">
        <v>30</v>
      </c>
      <c r="R1453" t="str">
        <f>VLOOKUP($O1453,'Mapa Oficinas'!$A$7:$C$46,2,FALSE)</f>
        <v>Zona Norte (GBA)</v>
      </c>
      <c r="S1453" t="str">
        <f>VLOOKUP($O1453,'Mapa Oficinas'!$A$7:$C$46,3,FALSE)</f>
        <v>Nordelta</v>
      </c>
    </row>
    <row r="1454" spans="1:19" x14ac:dyDescent="0.2">
      <c r="A1454" s="1">
        <v>45915</v>
      </c>
      <c r="B1454" t="s">
        <v>2758</v>
      </c>
      <c r="D1454" t="s">
        <v>2759</v>
      </c>
      <c r="E1454" t="s">
        <v>16</v>
      </c>
      <c r="F1454" t="s">
        <v>82</v>
      </c>
      <c r="G1454" s="14">
        <v>280000</v>
      </c>
      <c r="H1454" s="14">
        <v>280000</v>
      </c>
      <c r="I1454" t="s">
        <v>22</v>
      </c>
      <c r="J1454" t="s">
        <v>22</v>
      </c>
      <c r="K1454" t="s">
        <v>2760</v>
      </c>
      <c r="L1454" t="s">
        <v>2095</v>
      </c>
      <c r="M1454" t="s">
        <v>28</v>
      </c>
      <c r="N1454">
        <v>1</v>
      </c>
      <c r="O1454" t="s">
        <v>65</v>
      </c>
      <c r="P1454" t="s">
        <v>146</v>
      </c>
      <c r="Q1454" t="s">
        <v>30</v>
      </c>
      <c r="R1454" t="str">
        <f>VLOOKUP($O1454,'Mapa Oficinas'!$A$7:$C$46,2,FALSE)</f>
        <v>Interior - Mendoza</v>
      </c>
      <c r="S1454" t="str">
        <f>VLOOKUP($O1454,'Mapa Oficinas'!$A$7:$C$46,3,FALSE)</f>
        <v>Capital Mendoza</v>
      </c>
    </row>
    <row r="1455" spans="1:19" x14ac:dyDescent="0.2">
      <c r="A1455" s="1">
        <v>45916</v>
      </c>
      <c r="B1455" t="s">
        <v>4341</v>
      </c>
      <c r="D1455" t="s">
        <v>4342</v>
      </c>
      <c r="E1455" t="s">
        <v>16</v>
      </c>
      <c r="F1455" t="s">
        <v>47</v>
      </c>
      <c r="G1455" s="14">
        <v>60000</v>
      </c>
      <c r="H1455" s="14">
        <v>60000</v>
      </c>
      <c r="I1455" t="s">
        <v>22</v>
      </c>
      <c r="J1455" t="s">
        <v>22</v>
      </c>
      <c r="K1455" t="s">
        <v>4343</v>
      </c>
      <c r="L1455" t="s">
        <v>330</v>
      </c>
      <c r="M1455" t="s">
        <v>19</v>
      </c>
      <c r="N1455">
        <v>2</v>
      </c>
      <c r="O1455" t="s">
        <v>50</v>
      </c>
      <c r="P1455" t="s">
        <v>21</v>
      </c>
      <c r="Q1455" t="s">
        <v>30</v>
      </c>
      <c r="R1455" t="str">
        <f>VLOOKUP($O1455,'Mapa Oficinas'!$A$7:$C$46,2,FALSE)</f>
        <v>CABA</v>
      </c>
      <c r="S1455" t="str">
        <f>VLOOKUP($O1455,'Mapa Oficinas'!$A$7:$C$46,3,FALSE)</f>
        <v>Villa Urquiza</v>
      </c>
    </row>
    <row r="1456" spans="1:19" x14ac:dyDescent="0.2">
      <c r="A1456" s="1">
        <v>45916</v>
      </c>
      <c r="B1456" t="s">
        <v>4337</v>
      </c>
      <c r="D1456" t="s">
        <v>4338</v>
      </c>
      <c r="E1456" t="s">
        <v>16</v>
      </c>
      <c r="F1456" t="s">
        <v>53</v>
      </c>
      <c r="G1456" s="14">
        <v>100000</v>
      </c>
      <c r="H1456" s="14">
        <v>90000</v>
      </c>
      <c r="I1456" t="s">
        <v>22</v>
      </c>
      <c r="J1456" t="s">
        <v>22</v>
      </c>
      <c r="K1456" t="s">
        <v>4339</v>
      </c>
      <c r="L1456" t="s">
        <v>4340</v>
      </c>
      <c r="M1456" t="s">
        <v>28</v>
      </c>
      <c r="N1456">
        <v>2</v>
      </c>
      <c r="O1456" t="s">
        <v>246</v>
      </c>
      <c r="P1456" t="s">
        <v>21</v>
      </c>
      <c r="Q1456" t="s">
        <v>30</v>
      </c>
      <c r="R1456" t="str">
        <f>VLOOKUP($O1456,'Mapa Oficinas'!$A$7:$C$46,2,FALSE)</f>
        <v>Interior - Salta</v>
      </c>
      <c r="S1456" t="str">
        <f>VLOOKUP($O1456,'Mapa Oficinas'!$A$7:$C$46,3,FALSE)</f>
        <v>San Lorenzo Chico</v>
      </c>
    </row>
    <row r="1457" spans="1:19" x14ac:dyDescent="0.2">
      <c r="A1457" s="1">
        <v>45916</v>
      </c>
      <c r="B1457" t="s">
        <v>4345</v>
      </c>
      <c r="D1457" t="s">
        <v>4346</v>
      </c>
      <c r="E1457" t="s">
        <v>16</v>
      </c>
      <c r="F1457" t="s">
        <v>17</v>
      </c>
      <c r="G1457" s="14">
        <v>135000</v>
      </c>
      <c r="H1457" s="14">
        <v>130000</v>
      </c>
      <c r="I1457" t="s">
        <v>22</v>
      </c>
      <c r="J1457" t="s">
        <v>22</v>
      </c>
      <c r="K1457" t="s">
        <v>4347</v>
      </c>
      <c r="L1457" t="s">
        <v>4348</v>
      </c>
      <c r="M1457" t="s">
        <v>28</v>
      </c>
      <c r="N1457">
        <v>2</v>
      </c>
      <c r="O1457" t="s">
        <v>142</v>
      </c>
      <c r="P1457" t="s">
        <v>41</v>
      </c>
      <c r="Q1457" t="s">
        <v>30</v>
      </c>
      <c r="R1457" t="str">
        <f>VLOOKUP($O1457,'Mapa Oficinas'!$A$7:$C$46,2,FALSE)</f>
        <v>Zona Norte (GBA)</v>
      </c>
      <c r="S1457" t="str">
        <f>VLOOKUP($O1457,'Mapa Oficinas'!$A$7:$C$46,3,FALSE)</f>
        <v>Nordelta</v>
      </c>
    </row>
    <row r="1458" spans="1:19" x14ac:dyDescent="0.2">
      <c r="A1458" s="1">
        <v>45916</v>
      </c>
      <c r="B1458">
        <v>10506</v>
      </c>
      <c r="D1458" t="s">
        <v>4344</v>
      </c>
      <c r="E1458" t="s">
        <v>16</v>
      </c>
      <c r="F1458" t="s">
        <v>17</v>
      </c>
      <c r="G1458" s="14">
        <v>0</v>
      </c>
      <c r="H1458" s="14">
        <v>135000</v>
      </c>
      <c r="I1458" t="s">
        <v>22</v>
      </c>
      <c r="J1458" t="s">
        <v>22</v>
      </c>
      <c r="L1458" t="s">
        <v>164</v>
      </c>
      <c r="M1458" t="s">
        <v>19</v>
      </c>
      <c r="N1458">
        <v>2</v>
      </c>
      <c r="O1458" t="s">
        <v>103</v>
      </c>
      <c r="P1458" t="s">
        <v>44</v>
      </c>
      <c r="Q1458" t="s">
        <v>30</v>
      </c>
      <c r="R1458" t="str">
        <f>VLOOKUP($O1458,'Mapa Oficinas'!$A$7:$C$46,2,FALSE)</f>
        <v>CABA</v>
      </c>
      <c r="S1458" t="str">
        <f>VLOOKUP($O1458,'Mapa Oficinas'!$A$7:$C$46,3,FALSE)</f>
        <v>Barrio Parque</v>
      </c>
    </row>
    <row r="1459" spans="1:19" x14ac:dyDescent="0.2">
      <c r="A1459" s="1">
        <v>45916</v>
      </c>
      <c r="B1459" t="s">
        <v>4350</v>
      </c>
      <c r="D1459" t="s">
        <v>4351</v>
      </c>
      <c r="E1459" t="s">
        <v>16</v>
      </c>
      <c r="F1459" t="s">
        <v>82</v>
      </c>
      <c r="G1459" s="14">
        <v>285000</v>
      </c>
      <c r="H1459" s="14">
        <v>265000</v>
      </c>
      <c r="I1459" t="s">
        <v>22</v>
      </c>
      <c r="J1459" t="s">
        <v>22</v>
      </c>
      <c r="K1459" t="s">
        <v>4352</v>
      </c>
      <c r="L1459" t="s">
        <v>449</v>
      </c>
      <c r="M1459" t="s">
        <v>28</v>
      </c>
      <c r="N1459">
        <v>1</v>
      </c>
      <c r="O1459" t="s">
        <v>367</v>
      </c>
      <c r="P1459" t="s">
        <v>66</v>
      </c>
      <c r="Q1459" t="s">
        <v>30</v>
      </c>
      <c r="R1459" t="str">
        <f>VLOOKUP($O1459,'Mapa Oficinas'!$A$7:$C$46,2,FALSE)</f>
        <v>Interior - Neuquén</v>
      </c>
      <c r="S1459" t="str">
        <f>VLOOKUP($O1459,'Mapa Oficinas'!$A$7:$C$46,3,FALSE)</f>
        <v>San Martín de los Andes</v>
      </c>
    </row>
    <row r="1460" spans="1:19" x14ac:dyDescent="0.2">
      <c r="A1460" s="1">
        <v>45917</v>
      </c>
      <c r="B1460" t="s">
        <v>4331</v>
      </c>
      <c r="D1460" t="s">
        <v>4332</v>
      </c>
      <c r="E1460" t="s">
        <v>16</v>
      </c>
      <c r="F1460" t="s">
        <v>17</v>
      </c>
      <c r="G1460" s="14">
        <v>92500</v>
      </c>
      <c r="H1460" s="14">
        <v>90000</v>
      </c>
      <c r="I1460" t="s">
        <v>22</v>
      </c>
      <c r="J1460" t="s">
        <v>22</v>
      </c>
      <c r="K1460" t="s">
        <v>4333</v>
      </c>
      <c r="L1460" t="s">
        <v>1027</v>
      </c>
      <c r="M1460" t="s">
        <v>19</v>
      </c>
      <c r="N1460">
        <v>2</v>
      </c>
      <c r="O1460" t="s">
        <v>103</v>
      </c>
      <c r="P1460" t="s">
        <v>21</v>
      </c>
      <c r="Q1460" t="s">
        <v>30</v>
      </c>
      <c r="R1460" t="str">
        <f>VLOOKUP($O1460,'Mapa Oficinas'!$A$7:$C$46,2,FALSE)</f>
        <v>CABA</v>
      </c>
      <c r="S1460" t="str">
        <f>VLOOKUP($O1460,'Mapa Oficinas'!$A$7:$C$46,3,FALSE)</f>
        <v>Barrio Parque</v>
      </c>
    </row>
    <row r="1461" spans="1:19" x14ac:dyDescent="0.2">
      <c r="A1461" s="1">
        <v>45917</v>
      </c>
      <c r="B1461" t="s">
        <v>4328</v>
      </c>
      <c r="D1461" t="s">
        <v>4329</v>
      </c>
      <c r="E1461" t="s">
        <v>16</v>
      </c>
      <c r="F1461" t="s">
        <v>17</v>
      </c>
      <c r="G1461" s="14">
        <v>110000</v>
      </c>
      <c r="H1461" s="14">
        <v>95000</v>
      </c>
      <c r="I1461" t="s">
        <v>22</v>
      </c>
      <c r="J1461" t="s">
        <v>22</v>
      </c>
      <c r="K1461" t="s">
        <v>3752</v>
      </c>
      <c r="L1461" t="s">
        <v>111</v>
      </c>
      <c r="M1461" t="s">
        <v>19</v>
      </c>
      <c r="N1461">
        <v>2</v>
      </c>
      <c r="O1461" t="s">
        <v>252</v>
      </c>
      <c r="P1461" t="s">
        <v>21</v>
      </c>
      <c r="Q1461" t="s">
        <v>30</v>
      </c>
      <c r="R1461" t="str">
        <f>VLOOKUP($O1461,'Mapa Oficinas'!$A$7:$C$46,2,FALSE)</f>
        <v>CABA</v>
      </c>
      <c r="S1461" t="str">
        <f>VLOOKUP($O1461,'Mapa Oficinas'!$A$7:$C$46,3,FALSE)</f>
        <v>Belgrano</v>
      </c>
    </row>
    <row r="1462" spans="1:19" x14ac:dyDescent="0.2">
      <c r="A1462" s="1">
        <v>45917</v>
      </c>
      <c r="B1462" t="s">
        <v>4321</v>
      </c>
      <c r="D1462" t="s">
        <v>4322</v>
      </c>
      <c r="E1462" t="s">
        <v>16</v>
      </c>
      <c r="F1462" t="s">
        <v>17</v>
      </c>
      <c r="G1462" s="14">
        <v>127000</v>
      </c>
      <c r="H1462" s="14">
        <v>123000</v>
      </c>
      <c r="I1462" t="s">
        <v>22</v>
      </c>
      <c r="J1462" t="s">
        <v>22</v>
      </c>
      <c r="K1462" t="s">
        <v>4323</v>
      </c>
      <c r="L1462" t="s">
        <v>79</v>
      </c>
      <c r="M1462" t="s">
        <v>19</v>
      </c>
      <c r="N1462">
        <v>2</v>
      </c>
      <c r="O1462" t="s">
        <v>359</v>
      </c>
      <c r="P1462" t="s">
        <v>21</v>
      </c>
      <c r="Q1462" t="s">
        <v>30</v>
      </c>
      <c r="R1462" t="str">
        <f>VLOOKUP($O1462,'Mapa Oficinas'!$A$7:$C$46,2,FALSE)</f>
        <v>CABA</v>
      </c>
      <c r="S1462" t="str">
        <f>VLOOKUP($O1462,'Mapa Oficinas'!$A$7:$C$46,3,FALSE)</f>
        <v>Palermo</v>
      </c>
    </row>
    <row r="1463" spans="1:19" x14ac:dyDescent="0.2">
      <c r="A1463" s="1">
        <v>45917</v>
      </c>
      <c r="B1463" t="s">
        <v>4334</v>
      </c>
      <c r="D1463" t="s">
        <v>4335</v>
      </c>
      <c r="E1463" t="s">
        <v>16</v>
      </c>
      <c r="F1463" t="s">
        <v>17</v>
      </c>
      <c r="G1463" s="14">
        <v>159000</v>
      </c>
      <c r="H1463" s="14">
        <v>140000</v>
      </c>
      <c r="I1463" t="s">
        <v>22</v>
      </c>
      <c r="J1463" t="s">
        <v>22</v>
      </c>
      <c r="K1463" t="s">
        <v>4336</v>
      </c>
      <c r="L1463" t="s">
        <v>191</v>
      </c>
      <c r="M1463" t="s">
        <v>19</v>
      </c>
      <c r="N1463">
        <v>2</v>
      </c>
      <c r="O1463" t="s">
        <v>103</v>
      </c>
      <c r="P1463" t="s">
        <v>21</v>
      </c>
      <c r="Q1463" t="s">
        <v>30</v>
      </c>
      <c r="R1463" t="str">
        <f>VLOOKUP($O1463,'Mapa Oficinas'!$A$7:$C$46,2,FALSE)</f>
        <v>CABA</v>
      </c>
      <c r="S1463" t="str">
        <f>VLOOKUP($O1463,'Mapa Oficinas'!$A$7:$C$46,3,FALSE)</f>
        <v>Barrio Parque</v>
      </c>
    </row>
    <row r="1464" spans="1:19" x14ac:dyDescent="0.2">
      <c r="A1464" s="1">
        <v>45917</v>
      </c>
      <c r="B1464" t="s">
        <v>4324</v>
      </c>
      <c r="D1464" t="s">
        <v>4325</v>
      </c>
      <c r="E1464" t="s">
        <v>16</v>
      </c>
      <c r="F1464" t="s">
        <v>17</v>
      </c>
      <c r="G1464" s="14">
        <v>175000</v>
      </c>
      <c r="H1464" s="14">
        <v>170000</v>
      </c>
      <c r="I1464" t="s">
        <v>22</v>
      </c>
      <c r="J1464" t="s">
        <v>22</v>
      </c>
      <c r="K1464" t="s">
        <v>4326</v>
      </c>
      <c r="L1464" t="s">
        <v>4327</v>
      </c>
      <c r="M1464" t="s">
        <v>28</v>
      </c>
      <c r="N1464">
        <v>2</v>
      </c>
      <c r="O1464" t="s">
        <v>201</v>
      </c>
      <c r="P1464" t="s">
        <v>276</v>
      </c>
      <c r="Q1464" t="s">
        <v>30</v>
      </c>
      <c r="R1464" t="str">
        <f>VLOOKUP($O1464,'Mapa Oficinas'!$A$7:$C$46,2,FALSE)</f>
        <v>CABA</v>
      </c>
      <c r="S1464" t="str">
        <f>VLOOKUP($O1464,'Mapa Oficinas'!$A$7:$C$46,3,FALSE)</f>
        <v>Recoleta</v>
      </c>
    </row>
    <row r="1465" spans="1:19" x14ac:dyDescent="0.2">
      <c r="A1465" s="1">
        <v>45917</v>
      </c>
      <c r="B1465">
        <v>16512</v>
      </c>
      <c r="D1465" t="s">
        <v>4330</v>
      </c>
      <c r="E1465" t="s">
        <v>16</v>
      </c>
      <c r="F1465" t="s">
        <v>17</v>
      </c>
      <c r="G1465" s="14">
        <v>0</v>
      </c>
      <c r="H1465" s="14">
        <v>173000</v>
      </c>
      <c r="I1465" t="s">
        <v>22</v>
      </c>
      <c r="J1465" t="s">
        <v>22</v>
      </c>
      <c r="L1465" t="s">
        <v>191</v>
      </c>
      <c r="M1465" t="s">
        <v>19</v>
      </c>
      <c r="N1465">
        <v>1</v>
      </c>
      <c r="O1465" t="s">
        <v>103</v>
      </c>
      <c r="P1465" t="s">
        <v>146</v>
      </c>
      <c r="Q1465" t="s">
        <v>30</v>
      </c>
      <c r="R1465" t="str">
        <f>VLOOKUP($O1465,'Mapa Oficinas'!$A$7:$C$46,2,FALSE)</f>
        <v>CABA</v>
      </c>
      <c r="S1465" t="str">
        <f>VLOOKUP($O1465,'Mapa Oficinas'!$A$7:$C$46,3,FALSE)</f>
        <v>Barrio Parque</v>
      </c>
    </row>
    <row r="1466" spans="1:19" x14ac:dyDescent="0.2">
      <c r="A1466" s="1">
        <v>45918</v>
      </c>
      <c r="B1466" t="s">
        <v>4315</v>
      </c>
      <c r="D1466" t="s">
        <v>4316</v>
      </c>
      <c r="E1466" t="s">
        <v>16</v>
      </c>
      <c r="F1466" t="s">
        <v>134</v>
      </c>
      <c r="G1466" s="14">
        <v>40000</v>
      </c>
      <c r="H1466" s="14">
        <v>45000</v>
      </c>
      <c r="I1466" t="s">
        <v>22</v>
      </c>
      <c r="J1466" t="s">
        <v>22</v>
      </c>
      <c r="K1466" t="s">
        <v>4317</v>
      </c>
      <c r="L1466" t="s">
        <v>1454</v>
      </c>
      <c r="M1466" t="s">
        <v>97</v>
      </c>
      <c r="N1466">
        <v>2</v>
      </c>
      <c r="O1466" t="s">
        <v>130</v>
      </c>
      <c r="P1466" t="s">
        <v>21</v>
      </c>
      <c r="Q1466" t="s">
        <v>30</v>
      </c>
      <c r="R1466" t="str">
        <f>VLOOKUP($O1466,'Mapa Oficinas'!$A$7:$C$46,2,FALSE)</f>
        <v>Interior - Río Negro</v>
      </c>
      <c r="S1466" t="str">
        <f>VLOOKUP($O1466,'Mapa Oficinas'!$A$7:$C$46,3,FALSE)</f>
        <v>Bariloche</v>
      </c>
    </row>
    <row r="1467" spans="1:19" x14ac:dyDescent="0.2">
      <c r="A1467" s="1">
        <v>45918</v>
      </c>
      <c r="B1467" t="s">
        <v>4299</v>
      </c>
      <c r="D1467" t="s">
        <v>4300</v>
      </c>
      <c r="E1467" t="s">
        <v>16</v>
      </c>
      <c r="F1467" t="s">
        <v>17</v>
      </c>
      <c r="G1467" s="14">
        <v>74000</v>
      </c>
      <c r="H1467" s="14">
        <v>74000</v>
      </c>
      <c r="I1467" t="s">
        <v>22</v>
      </c>
      <c r="J1467" t="s">
        <v>22</v>
      </c>
      <c r="L1467" t="s">
        <v>199</v>
      </c>
      <c r="M1467" t="s">
        <v>19</v>
      </c>
      <c r="N1467">
        <v>1</v>
      </c>
      <c r="O1467" t="s">
        <v>359</v>
      </c>
      <c r="P1467" t="s">
        <v>146</v>
      </c>
      <c r="Q1467" t="s">
        <v>30</v>
      </c>
      <c r="R1467" t="str">
        <f>VLOOKUP($O1467,'Mapa Oficinas'!$A$7:$C$46,2,FALSE)</f>
        <v>CABA</v>
      </c>
      <c r="S1467" t="str">
        <f>VLOOKUP($O1467,'Mapa Oficinas'!$A$7:$C$46,3,FALSE)</f>
        <v>Palermo</v>
      </c>
    </row>
    <row r="1468" spans="1:19" x14ac:dyDescent="0.2">
      <c r="A1468" s="1">
        <v>45918</v>
      </c>
      <c r="B1468" t="s">
        <v>4301</v>
      </c>
      <c r="D1468" t="s">
        <v>4302</v>
      </c>
      <c r="E1468" t="s">
        <v>16</v>
      </c>
      <c r="F1468" t="s">
        <v>47</v>
      </c>
      <c r="G1468" s="14">
        <v>95000</v>
      </c>
      <c r="H1468" s="14">
        <v>90000</v>
      </c>
      <c r="I1468" t="s">
        <v>22</v>
      </c>
      <c r="J1468" t="s">
        <v>22</v>
      </c>
      <c r="K1468" t="s">
        <v>4303</v>
      </c>
      <c r="L1468" t="s">
        <v>282</v>
      </c>
      <c r="M1468" t="s">
        <v>72</v>
      </c>
      <c r="N1468">
        <v>2</v>
      </c>
      <c r="O1468" t="s">
        <v>50</v>
      </c>
      <c r="P1468" t="s">
        <v>41</v>
      </c>
      <c r="Q1468" t="s">
        <v>30</v>
      </c>
      <c r="R1468" t="str">
        <f>VLOOKUP($O1468,'Mapa Oficinas'!$A$7:$C$46,2,FALSE)</f>
        <v>CABA</v>
      </c>
      <c r="S1468" t="str">
        <f>VLOOKUP($O1468,'Mapa Oficinas'!$A$7:$C$46,3,FALSE)</f>
        <v>Villa Urquiza</v>
      </c>
    </row>
    <row r="1469" spans="1:19" x14ac:dyDescent="0.2">
      <c r="A1469" s="1">
        <v>45918</v>
      </c>
      <c r="B1469" t="s">
        <v>420</v>
      </c>
      <c r="D1469" t="s">
        <v>420</v>
      </c>
      <c r="E1469" t="s">
        <v>16</v>
      </c>
      <c r="F1469" t="s">
        <v>17</v>
      </c>
      <c r="G1469" s="14">
        <v>110000</v>
      </c>
      <c r="H1469" s="14">
        <v>110000</v>
      </c>
      <c r="I1469" t="s">
        <v>22</v>
      </c>
      <c r="J1469" t="s">
        <v>22</v>
      </c>
      <c r="K1469" t="s">
        <v>4308</v>
      </c>
      <c r="L1469" t="s">
        <v>102</v>
      </c>
      <c r="M1469" t="s">
        <v>19</v>
      </c>
      <c r="N1469">
        <v>1</v>
      </c>
      <c r="O1469" t="s">
        <v>252</v>
      </c>
      <c r="P1469" t="s">
        <v>146</v>
      </c>
      <c r="Q1469" t="s">
        <v>30</v>
      </c>
      <c r="R1469" t="str">
        <f>VLOOKUP($O1469,'Mapa Oficinas'!$A$7:$C$46,2,FALSE)</f>
        <v>CABA</v>
      </c>
      <c r="S1469" t="str">
        <f>VLOOKUP($O1469,'Mapa Oficinas'!$A$7:$C$46,3,FALSE)</f>
        <v>Belgrano</v>
      </c>
    </row>
    <row r="1470" spans="1:19" x14ac:dyDescent="0.2">
      <c r="A1470" s="1">
        <v>45918</v>
      </c>
      <c r="B1470" t="s">
        <v>4312</v>
      </c>
      <c r="D1470" t="s">
        <v>4313</v>
      </c>
      <c r="E1470" t="s">
        <v>16</v>
      </c>
      <c r="F1470" t="s">
        <v>17</v>
      </c>
      <c r="G1470" s="14">
        <v>130000</v>
      </c>
      <c r="H1470" s="14">
        <v>124000</v>
      </c>
      <c r="I1470" t="s">
        <v>22</v>
      </c>
      <c r="J1470" t="s">
        <v>22</v>
      </c>
      <c r="K1470" t="s">
        <v>4314</v>
      </c>
      <c r="L1470" t="s">
        <v>237</v>
      </c>
      <c r="M1470" t="s">
        <v>72</v>
      </c>
      <c r="N1470">
        <v>2</v>
      </c>
      <c r="O1470" t="s">
        <v>35</v>
      </c>
      <c r="P1470" t="s">
        <v>21</v>
      </c>
      <c r="Q1470" t="s">
        <v>30</v>
      </c>
      <c r="R1470" t="str">
        <f>VLOOKUP($O1470,'Mapa Oficinas'!$A$7:$C$46,2,FALSE)</f>
        <v>Zona Norte (GBA)</v>
      </c>
      <c r="S1470" t="str">
        <f>VLOOKUP($O1470,'Mapa Oficinas'!$A$7:$C$46,3,FALSE)</f>
        <v>Vicente López</v>
      </c>
    </row>
    <row r="1471" spans="1:19" x14ac:dyDescent="0.2">
      <c r="A1471" s="1">
        <v>45918</v>
      </c>
      <c r="B1471" t="s">
        <v>4309</v>
      </c>
      <c r="D1471" t="s">
        <v>4310</v>
      </c>
      <c r="E1471" t="s">
        <v>16</v>
      </c>
      <c r="F1471" t="s">
        <v>47</v>
      </c>
      <c r="G1471" s="14">
        <v>149000</v>
      </c>
      <c r="H1471" s="14">
        <v>139000</v>
      </c>
      <c r="I1471" t="s">
        <v>22</v>
      </c>
      <c r="J1471" t="s">
        <v>22</v>
      </c>
      <c r="K1471" t="s">
        <v>4311</v>
      </c>
      <c r="L1471" t="s">
        <v>77</v>
      </c>
      <c r="M1471" t="s">
        <v>72</v>
      </c>
      <c r="N1471">
        <v>2</v>
      </c>
      <c r="O1471" t="s">
        <v>252</v>
      </c>
      <c r="P1471" t="s">
        <v>21</v>
      </c>
      <c r="Q1471" t="s">
        <v>30</v>
      </c>
      <c r="R1471" t="str">
        <f>VLOOKUP($O1471,'Mapa Oficinas'!$A$7:$C$46,2,FALSE)</f>
        <v>CABA</v>
      </c>
      <c r="S1471" t="str">
        <f>VLOOKUP($O1471,'Mapa Oficinas'!$A$7:$C$46,3,FALSE)</f>
        <v>Belgrano</v>
      </c>
    </row>
    <row r="1472" spans="1:19" x14ac:dyDescent="0.2">
      <c r="A1472" s="1">
        <v>45918</v>
      </c>
      <c r="B1472" t="s">
        <v>4304</v>
      </c>
      <c r="D1472" t="s">
        <v>4305</v>
      </c>
      <c r="E1472" t="s">
        <v>16</v>
      </c>
      <c r="F1472" t="s">
        <v>17</v>
      </c>
      <c r="G1472" s="14">
        <v>236000</v>
      </c>
      <c r="H1472" s="14">
        <v>225000</v>
      </c>
      <c r="I1472" t="s">
        <v>22</v>
      </c>
      <c r="J1472" t="s">
        <v>22</v>
      </c>
      <c r="K1472" t="s">
        <v>4306</v>
      </c>
      <c r="L1472" t="s">
        <v>4307</v>
      </c>
      <c r="M1472" t="s">
        <v>28</v>
      </c>
      <c r="N1472">
        <v>2</v>
      </c>
      <c r="O1472" t="s">
        <v>103</v>
      </c>
      <c r="P1472" t="s">
        <v>44</v>
      </c>
      <c r="Q1472" t="s">
        <v>30</v>
      </c>
      <c r="R1472" t="str">
        <f>VLOOKUP($O1472,'Mapa Oficinas'!$A$7:$C$46,2,FALSE)</f>
        <v>CABA</v>
      </c>
      <c r="S1472" t="str">
        <f>VLOOKUP($O1472,'Mapa Oficinas'!$A$7:$C$46,3,FALSE)</f>
        <v>Barrio Parque</v>
      </c>
    </row>
    <row r="1473" spans="1:19" x14ac:dyDescent="0.2">
      <c r="A1473" s="1">
        <v>45918</v>
      </c>
      <c r="B1473" t="s">
        <v>4318</v>
      </c>
      <c r="D1473" t="s">
        <v>4319</v>
      </c>
      <c r="E1473" t="s">
        <v>16</v>
      </c>
      <c r="F1473" t="s">
        <v>17</v>
      </c>
      <c r="G1473" s="14">
        <v>440000</v>
      </c>
      <c r="H1473" s="14">
        <v>380000</v>
      </c>
      <c r="I1473" t="s">
        <v>22</v>
      </c>
      <c r="J1473" t="s">
        <v>22</v>
      </c>
      <c r="K1473" t="s">
        <v>4320</v>
      </c>
      <c r="L1473" t="s">
        <v>856</v>
      </c>
      <c r="M1473" t="s">
        <v>72</v>
      </c>
      <c r="N1473">
        <v>2</v>
      </c>
      <c r="O1473" t="s">
        <v>20</v>
      </c>
      <c r="P1473" t="s">
        <v>21</v>
      </c>
      <c r="Q1473" t="s">
        <v>30</v>
      </c>
      <c r="R1473" t="str">
        <f>VLOOKUP($O1473,'Mapa Oficinas'!$A$7:$C$46,2,FALSE)</f>
        <v>CABA</v>
      </c>
      <c r="S1473" t="str">
        <f>VLOOKUP($O1473,'Mapa Oficinas'!$A$7:$C$46,3,FALSE)</f>
        <v>Palermo</v>
      </c>
    </row>
    <row r="1474" spans="1:19" x14ac:dyDescent="0.2">
      <c r="A1474" s="1">
        <v>45919</v>
      </c>
      <c r="B1474" t="s">
        <v>4279</v>
      </c>
      <c r="D1474" t="s">
        <v>4280</v>
      </c>
      <c r="E1474" t="s">
        <v>16</v>
      </c>
      <c r="F1474" t="s">
        <v>58</v>
      </c>
      <c r="G1474" s="14">
        <v>81500</v>
      </c>
      <c r="H1474" s="14">
        <v>41766</v>
      </c>
      <c r="I1474" t="s">
        <v>22</v>
      </c>
      <c r="J1474" t="s">
        <v>22</v>
      </c>
      <c r="K1474" t="s">
        <v>4281</v>
      </c>
      <c r="L1474" t="s">
        <v>308</v>
      </c>
      <c r="M1474" t="s">
        <v>28</v>
      </c>
      <c r="N1474">
        <v>1</v>
      </c>
      <c r="O1474" t="s">
        <v>171</v>
      </c>
      <c r="P1474" t="s">
        <v>146</v>
      </c>
      <c r="Q1474" t="s">
        <v>30</v>
      </c>
      <c r="R1474" t="str">
        <f>VLOOKUP($O1474,'Mapa Oficinas'!$A$7:$C$46,2,FALSE)</f>
        <v>Zona Sur (GBA)</v>
      </c>
      <c r="S1474" t="str">
        <f>VLOOKUP($O1474,'Mapa Oficinas'!$A$7:$C$46,3,FALSE)</f>
        <v>La Plata</v>
      </c>
    </row>
    <row r="1475" spans="1:19" x14ac:dyDescent="0.2">
      <c r="A1475" s="1">
        <v>45919</v>
      </c>
      <c r="B1475" t="s">
        <v>4295</v>
      </c>
      <c r="D1475" t="s">
        <v>4296</v>
      </c>
      <c r="E1475" t="s">
        <v>16</v>
      </c>
      <c r="F1475" t="s">
        <v>17</v>
      </c>
      <c r="G1475" s="14">
        <v>55000</v>
      </c>
      <c r="H1475" s="14">
        <v>55000</v>
      </c>
      <c r="I1475" t="s">
        <v>22</v>
      </c>
      <c r="J1475" t="s">
        <v>22</v>
      </c>
      <c r="K1475" t="s">
        <v>4297</v>
      </c>
      <c r="L1475" t="s">
        <v>4298</v>
      </c>
      <c r="M1475" t="s">
        <v>28</v>
      </c>
      <c r="N1475">
        <v>2</v>
      </c>
      <c r="O1475" t="s">
        <v>227</v>
      </c>
      <c r="P1475" t="s">
        <v>21</v>
      </c>
      <c r="Q1475" t="s">
        <v>30</v>
      </c>
      <c r="R1475" t="str">
        <f>VLOOKUP($O1475,'Mapa Oficinas'!$A$7:$C$46,2,FALSE)</f>
        <v>Zona Oeste (GBA)</v>
      </c>
      <c r="S1475" t="str">
        <f>VLOOKUP($O1475,'Mapa Oficinas'!$A$7:$C$46,3,FALSE)</f>
        <v>Parque Leloir</v>
      </c>
    </row>
    <row r="1476" spans="1:19" x14ac:dyDescent="0.2">
      <c r="A1476" s="1">
        <v>45919</v>
      </c>
      <c r="B1476" t="s">
        <v>4288</v>
      </c>
      <c r="D1476" t="s">
        <v>4289</v>
      </c>
      <c r="E1476" t="s">
        <v>16</v>
      </c>
      <c r="F1476" t="s">
        <v>17</v>
      </c>
      <c r="G1476" s="14">
        <v>63900</v>
      </c>
      <c r="H1476" s="14">
        <v>60000</v>
      </c>
      <c r="I1476" t="s">
        <v>22</v>
      </c>
      <c r="J1476" t="s">
        <v>22</v>
      </c>
      <c r="K1476" t="s">
        <v>4290</v>
      </c>
      <c r="L1476" t="s">
        <v>4291</v>
      </c>
      <c r="M1476" t="s">
        <v>72</v>
      </c>
      <c r="N1476">
        <v>2</v>
      </c>
      <c r="O1476" t="s">
        <v>103</v>
      </c>
      <c r="P1476" t="s">
        <v>276</v>
      </c>
      <c r="Q1476" t="s">
        <v>30</v>
      </c>
      <c r="R1476" t="str">
        <f>VLOOKUP($O1476,'Mapa Oficinas'!$A$7:$C$46,2,FALSE)</f>
        <v>CABA</v>
      </c>
      <c r="S1476" t="str">
        <f>VLOOKUP($O1476,'Mapa Oficinas'!$A$7:$C$46,3,FALSE)</f>
        <v>Barrio Parque</v>
      </c>
    </row>
    <row r="1477" spans="1:19" x14ac:dyDescent="0.2">
      <c r="A1477" s="1">
        <v>45919</v>
      </c>
      <c r="B1477" t="s">
        <v>4284</v>
      </c>
      <c r="D1477" t="s">
        <v>4285</v>
      </c>
      <c r="E1477" t="s">
        <v>16</v>
      </c>
      <c r="F1477" t="s">
        <v>17</v>
      </c>
      <c r="G1477" s="14">
        <v>90000</v>
      </c>
      <c r="H1477" s="14">
        <v>90000</v>
      </c>
      <c r="I1477" t="s">
        <v>22</v>
      </c>
      <c r="J1477" t="s">
        <v>22</v>
      </c>
      <c r="K1477" t="s">
        <v>4286</v>
      </c>
      <c r="L1477" t="s">
        <v>4287</v>
      </c>
      <c r="M1477" t="s">
        <v>19</v>
      </c>
      <c r="N1477">
        <v>1</v>
      </c>
      <c r="O1477" t="s">
        <v>35</v>
      </c>
      <c r="P1477" t="s">
        <v>66</v>
      </c>
      <c r="Q1477" t="s">
        <v>30</v>
      </c>
      <c r="R1477" t="str">
        <f>VLOOKUP($O1477,'Mapa Oficinas'!$A$7:$C$46,2,FALSE)</f>
        <v>Zona Norte (GBA)</v>
      </c>
      <c r="S1477" t="str">
        <f>VLOOKUP($O1477,'Mapa Oficinas'!$A$7:$C$46,3,FALSE)</f>
        <v>Vicente López</v>
      </c>
    </row>
    <row r="1478" spans="1:19" x14ac:dyDescent="0.2">
      <c r="A1478" s="1">
        <v>45919</v>
      </c>
      <c r="B1478" t="s">
        <v>4292</v>
      </c>
      <c r="D1478" t="s">
        <v>4293</v>
      </c>
      <c r="E1478" t="s">
        <v>16</v>
      </c>
      <c r="F1478" t="s">
        <v>38</v>
      </c>
      <c r="G1478" s="14">
        <v>122000</v>
      </c>
      <c r="H1478" s="14">
        <v>117000</v>
      </c>
      <c r="I1478" t="s">
        <v>22</v>
      </c>
      <c r="J1478" t="s">
        <v>22</v>
      </c>
      <c r="K1478" t="s">
        <v>4294</v>
      </c>
      <c r="L1478" t="s">
        <v>260</v>
      </c>
      <c r="M1478" t="s">
        <v>28</v>
      </c>
      <c r="N1478">
        <v>2</v>
      </c>
      <c r="O1478" t="s">
        <v>98</v>
      </c>
      <c r="P1478" t="s">
        <v>41</v>
      </c>
      <c r="Q1478" t="s">
        <v>30</v>
      </c>
      <c r="R1478" t="str">
        <f>VLOOKUP($O1478,'Mapa Oficinas'!$A$7:$C$46,2,FALSE)</f>
        <v>Interior - Neuquén</v>
      </c>
      <c r="S1478" t="str">
        <f>VLOOKUP($O1478,'Mapa Oficinas'!$A$7:$C$46,3,FALSE)</f>
        <v>Villa La Angostura</v>
      </c>
    </row>
    <row r="1479" spans="1:19" x14ac:dyDescent="0.2">
      <c r="A1479" s="1">
        <v>45919</v>
      </c>
      <c r="B1479" t="s">
        <v>4282</v>
      </c>
      <c r="D1479" t="s">
        <v>1908</v>
      </c>
      <c r="E1479" t="s">
        <v>16</v>
      </c>
      <c r="F1479" t="s">
        <v>38</v>
      </c>
      <c r="G1479" s="14">
        <v>1700000</v>
      </c>
      <c r="H1479" s="14">
        <v>230000</v>
      </c>
      <c r="I1479" t="s">
        <v>22</v>
      </c>
      <c r="J1479" t="s">
        <v>18</v>
      </c>
      <c r="K1479" t="s">
        <v>4283</v>
      </c>
      <c r="L1479" t="s">
        <v>1638</v>
      </c>
      <c r="M1479" t="s">
        <v>13</v>
      </c>
      <c r="N1479">
        <v>2</v>
      </c>
      <c r="O1479" t="s">
        <v>55</v>
      </c>
      <c r="P1479" t="s">
        <v>41</v>
      </c>
      <c r="Q1479" t="s">
        <v>30</v>
      </c>
      <c r="R1479" t="str">
        <f>VLOOKUP($O1479,'Mapa Oficinas'!$A$7:$C$46,2,FALSE)</f>
        <v>Interior - Santa Fe</v>
      </c>
      <c r="S1479" t="str">
        <f>VLOOKUP($O1479,'Mapa Oficinas'!$A$7:$C$46,3,FALSE)</f>
        <v>Capital Santa Fe</v>
      </c>
    </row>
    <row r="1480" spans="1:19" x14ac:dyDescent="0.2">
      <c r="A1480" s="1">
        <v>45921</v>
      </c>
      <c r="B1480" t="s">
        <v>4275</v>
      </c>
      <c r="D1480" t="s">
        <v>4276</v>
      </c>
      <c r="E1480" t="s">
        <v>16</v>
      </c>
      <c r="F1480" t="s">
        <v>17</v>
      </c>
      <c r="G1480" s="14">
        <v>145000</v>
      </c>
      <c r="H1480" s="14">
        <v>145000</v>
      </c>
      <c r="I1480" t="s">
        <v>22</v>
      </c>
      <c r="J1480" t="s">
        <v>22</v>
      </c>
      <c r="K1480" t="s">
        <v>4277</v>
      </c>
      <c r="L1480" t="s">
        <v>1679</v>
      </c>
      <c r="M1480" t="s">
        <v>19</v>
      </c>
      <c r="N1480">
        <v>1</v>
      </c>
      <c r="O1480" t="s">
        <v>142</v>
      </c>
      <c r="P1480" t="s">
        <v>146</v>
      </c>
      <c r="Q1480" t="s">
        <v>30</v>
      </c>
      <c r="R1480" t="str">
        <f>VLOOKUP($O1480,'Mapa Oficinas'!$A$7:$C$46,2,FALSE)</f>
        <v>Zona Norte (GBA)</v>
      </c>
      <c r="S1480" t="str">
        <f>VLOOKUP($O1480,'Mapa Oficinas'!$A$7:$C$46,3,FALSE)</f>
        <v>Nordelta</v>
      </c>
    </row>
    <row r="1481" spans="1:19" x14ac:dyDescent="0.2">
      <c r="A1481" s="1">
        <v>45922</v>
      </c>
      <c r="B1481" t="s">
        <v>4253</v>
      </c>
      <c r="D1481" t="s">
        <v>4254</v>
      </c>
      <c r="E1481" t="s">
        <v>16</v>
      </c>
      <c r="F1481" t="s">
        <v>17</v>
      </c>
      <c r="G1481" s="14">
        <v>44880</v>
      </c>
      <c r="H1481" s="14">
        <v>47550</v>
      </c>
      <c r="I1481" t="s">
        <v>22</v>
      </c>
      <c r="J1481" t="s">
        <v>22</v>
      </c>
      <c r="K1481" t="s">
        <v>4255</v>
      </c>
      <c r="L1481" t="s">
        <v>4256</v>
      </c>
      <c r="M1481" t="s">
        <v>97</v>
      </c>
      <c r="N1481">
        <v>2</v>
      </c>
      <c r="O1481" t="s">
        <v>142</v>
      </c>
      <c r="P1481" t="s">
        <v>41</v>
      </c>
      <c r="Q1481" t="s">
        <v>30</v>
      </c>
      <c r="R1481" t="str">
        <f>VLOOKUP($O1481,'Mapa Oficinas'!$A$7:$C$46,2,FALSE)</f>
        <v>Zona Norte (GBA)</v>
      </c>
      <c r="S1481" t="str">
        <f>VLOOKUP($O1481,'Mapa Oficinas'!$A$7:$C$46,3,FALSE)</f>
        <v>Nordelta</v>
      </c>
    </row>
    <row r="1482" spans="1:19" x14ac:dyDescent="0.2">
      <c r="A1482" s="1">
        <v>45922</v>
      </c>
      <c r="B1482" t="s">
        <v>4247</v>
      </c>
      <c r="D1482" t="s">
        <v>4248</v>
      </c>
      <c r="E1482" t="s">
        <v>16</v>
      </c>
      <c r="F1482" t="s">
        <v>47</v>
      </c>
      <c r="G1482" s="14">
        <v>69000</v>
      </c>
      <c r="H1482" s="14">
        <v>65000</v>
      </c>
      <c r="I1482" t="s">
        <v>22</v>
      </c>
      <c r="J1482" t="s">
        <v>22</v>
      </c>
      <c r="K1482" t="s">
        <v>4249</v>
      </c>
      <c r="L1482" t="s">
        <v>205</v>
      </c>
      <c r="M1482" t="s">
        <v>19</v>
      </c>
      <c r="N1482">
        <v>2</v>
      </c>
      <c r="O1482" t="s">
        <v>50</v>
      </c>
      <c r="P1482" t="s">
        <v>21</v>
      </c>
      <c r="Q1482" t="s">
        <v>30</v>
      </c>
      <c r="R1482" t="str">
        <f>VLOOKUP($O1482,'Mapa Oficinas'!$A$7:$C$46,2,FALSE)</f>
        <v>CABA</v>
      </c>
      <c r="S1482" t="str">
        <f>VLOOKUP($O1482,'Mapa Oficinas'!$A$7:$C$46,3,FALSE)</f>
        <v>Villa Urquiza</v>
      </c>
    </row>
    <row r="1483" spans="1:19" x14ac:dyDescent="0.2">
      <c r="A1483" s="1">
        <v>45922</v>
      </c>
      <c r="B1483" t="s">
        <v>4263</v>
      </c>
      <c r="D1483" t="s">
        <v>4264</v>
      </c>
      <c r="E1483" t="s">
        <v>16</v>
      </c>
      <c r="F1483" t="s">
        <v>17</v>
      </c>
      <c r="G1483" s="14">
        <v>93000</v>
      </c>
      <c r="H1483" s="14">
        <v>88000</v>
      </c>
      <c r="I1483" t="s">
        <v>22</v>
      </c>
      <c r="J1483" t="s">
        <v>22</v>
      </c>
      <c r="K1483" t="s">
        <v>4265</v>
      </c>
      <c r="L1483" t="s">
        <v>1353</v>
      </c>
      <c r="M1483" t="s">
        <v>19</v>
      </c>
      <c r="N1483">
        <v>1</v>
      </c>
      <c r="O1483" t="s">
        <v>151</v>
      </c>
      <c r="P1483" t="s">
        <v>66</v>
      </c>
      <c r="Q1483" t="s">
        <v>30</v>
      </c>
      <c r="R1483" t="str">
        <f>VLOOKUP($O1483,'Mapa Oficinas'!$A$7:$C$46,2,FALSE)</f>
        <v>Interior - Neuquén</v>
      </c>
      <c r="S1483" t="str">
        <f>VLOOKUP($O1483,'Mapa Oficinas'!$A$7:$C$46,3,FALSE)</f>
        <v>Capital Neuquén</v>
      </c>
    </row>
    <row r="1484" spans="1:19" x14ac:dyDescent="0.2">
      <c r="A1484" s="1">
        <v>45922</v>
      </c>
      <c r="B1484" t="s">
        <v>4266</v>
      </c>
      <c r="D1484" t="s">
        <v>4266</v>
      </c>
      <c r="E1484" t="s">
        <v>16</v>
      </c>
      <c r="F1484" t="s">
        <v>47</v>
      </c>
      <c r="G1484" s="14">
        <v>89000</v>
      </c>
      <c r="H1484" s="14">
        <v>89000</v>
      </c>
      <c r="I1484" t="s">
        <v>22</v>
      </c>
      <c r="J1484" t="s">
        <v>22</v>
      </c>
      <c r="K1484" t="s">
        <v>4267</v>
      </c>
      <c r="L1484" t="s">
        <v>933</v>
      </c>
      <c r="M1484" t="s">
        <v>19</v>
      </c>
      <c r="N1484">
        <v>2</v>
      </c>
      <c r="O1484" t="s">
        <v>142</v>
      </c>
      <c r="P1484" t="s">
        <v>21</v>
      </c>
      <c r="Q1484" t="s">
        <v>30</v>
      </c>
      <c r="R1484" t="str">
        <f>VLOOKUP($O1484,'Mapa Oficinas'!$A$7:$C$46,2,FALSE)</f>
        <v>Zona Norte (GBA)</v>
      </c>
      <c r="S1484" t="str">
        <f>VLOOKUP($O1484,'Mapa Oficinas'!$A$7:$C$46,3,FALSE)</f>
        <v>Nordelta</v>
      </c>
    </row>
    <row r="1485" spans="1:19" x14ac:dyDescent="0.2">
      <c r="A1485" s="1">
        <v>45922</v>
      </c>
      <c r="B1485" t="s">
        <v>4250</v>
      </c>
      <c r="D1485" t="s">
        <v>4251</v>
      </c>
      <c r="E1485" t="s">
        <v>16</v>
      </c>
      <c r="F1485" t="s">
        <v>47</v>
      </c>
      <c r="G1485" s="14">
        <v>175000</v>
      </c>
      <c r="H1485" s="14">
        <v>169000</v>
      </c>
      <c r="I1485" t="s">
        <v>22</v>
      </c>
      <c r="J1485" t="s">
        <v>22</v>
      </c>
      <c r="K1485" t="s">
        <v>4252</v>
      </c>
      <c r="L1485" t="s">
        <v>438</v>
      </c>
      <c r="M1485" t="s">
        <v>19</v>
      </c>
      <c r="N1485">
        <v>2</v>
      </c>
      <c r="O1485" t="s">
        <v>50</v>
      </c>
      <c r="P1485" t="s">
        <v>41</v>
      </c>
      <c r="Q1485" t="s">
        <v>30</v>
      </c>
      <c r="R1485" t="str">
        <f>VLOOKUP($O1485,'Mapa Oficinas'!$A$7:$C$46,2,FALSE)</f>
        <v>CABA</v>
      </c>
      <c r="S1485" t="str">
        <f>VLOOKUP($O1485,'Mapa Oficinas'!$A$7:$C$46,3,FALSE)</f>
        <v>Villa Urquiza</v>
      </c>
    </row>
    <row r="1486" spans="1:19" x14ac:dyDescent="0.2">
      <c r="A1486" s="1">
        <v>45922</v>
      </c>
      <c r="B1486" t="s">
        <v>4268</v>
      </c>
      <c r="D1486" t="s">
        <v>4269</v>
      </c>
      <c r="E1486" t="s">
        <v>16</v>
      </c>
      <c r="F1486" t="s">
        <v>17</v>
      </c>
      <c r="G1486" s="14">
        <v>279000</v>
      </c>
      <c r="H1486" s="14">
        <v>204000</v>
      </c>
      <c r="I1486" t="s">
        <v>22</v>
      </c>
      <c r="J1486" t="s">
        <v>22</v>
      </c>
      <c r="K1486" t="s">
        <v>4270</v>
      </c>
      <c r="L1486" t="s">
        <v>556</v>
      </c>
      <c r="M1486" t="s">
        <v>28</v>
      </c>
      <c r="N1486">
        <v>1</v>
      </c>
      <c r="O1486" t="s">
        <v>142</v>
      </c>
      <c r="P1486" t="s">
        <v>146</v>
      </c>
      <c r="Q1486" t="s">
        <v>30</v>
      </c>
      <c r="R1486" t="str">
        <f>VLOOKUP($O1486,'Mapa Oficinas'!$A$7:$C$46,2,FALSE)</f>
        <v>Zona Norte (GBA)</v>
      </c>
      <c r="S1486" t="str">
        <f>VLOOKUP($O1486,'Mapa Oficinas'!$A$7:$C$46,3,FALSE)</f>
        <v>Nordelta</v>
      </c>
    </row>
    <row r="1487" spans="1:19" x14ac:dyDescent="0.2">
      <c r="A1487" s="1">
        <v>45922</v>
      </c>
      <c r="B1487" t="s">
        <v>4273</v>
      </c>
      <c r="D1487" t="s">
        <v>4274</v>
      </c>
      <c r="E1487" t="s">
        <v>16</v>
      </c>
      <c r="F1487" t="s">
        <v>134</v>
      </c>
      <c r="G1487" s="14">
        <v>215000</v>
      </c>
      <c r="H1487" s="14">
        <v>212000</v>
      </c>
      <c r="I1487" t="s">
        <v>22</v>
      </c>
      <c r="J1487" t="s">
        <v>22</v>
      </c>
      <c r="K1487" t="s">
        <v>594</v>
      </c>
      <c r="L1487" t="s">
        <v>129</v>
      </c>
      <c r="M1487" t="s">
        <v>19</v>
      </c>
      <c r="N1487">
        <v>1</v>
      </c>
      <c r="O1487" t="s">
        <v>130</v>
      </c>
      <c r="P1487" t="s">
        <v>66</v>
      </c>
      <c r="Q1487" t="s">
        <v>30</v>
      </c>
      <c r="R1487" t="str">
        <f>VLOOKUP($O1487,'Mapa Oficinas'!$A$7:$C$46,2,FALSE)</f>
        <v>Interior - Río Negro</v>
      </c>
      <c r="S1487" t="str">
        <f>VLOOKUP($O1487,'Mapa Oficinas'!$A$7:$C$46,3,FALSE)</f>
        <v>Bariloche</v>
      </c>
    </row>
    <row r="1488" spans="1:19" x14ac:dyDescent="0.2">
      <c r="A1488" s="1">
        <v>45922</v>
      </c>
      <c r="B1488" t="s">
        <v>4271</v>
      </c>
      <c r="D1488" t="s">
        <v>4272</v>
      </c>
      <c r="E1488" t="s">
        <v>16</v>
      </c>
      <c r="F1488" t="s">
        <v>17</v>
      </c>
      <c r="G1488" s="14">
        <v>237000</v>
      </c>
      <c r="H1488" s="14">
        <v>237000</v>
      </c>
      <c r="I1488" t="s">
        <v>22</v>
      </c>
      <c r="J1488" t="s">
        <v>22</v>
      </c>
      <c r="L1488" t="s">
        <v>676</v>
      </c>
      <c r="M1488" t="s">
        <v>19</v>
      </c>
      <c r="N1488">
        <v>1</v>
      </c>
      <c r="O1488" t="s">
        <v>20</v>
      </c>
      <c r="P1488" t="s">
        <v>146</v>
      </c>
      <c r="Q1488" t="s">
        <v>30</v>
      </c>
      <c r="R1488" t="str">
        <f>VLOOKUP($O1488,'Mapa Oficinas'!$A$7:$C$46,2,FALSE)</f>
        <v>CABA</v>
      </c>
      <c r="S1488" t="str">
        <f>VLOOKUP($O1488,'Mapa Oficinas'!$A$7:$C$46,3,FALSE)</f>
        <v>Palermo</v>
      </c>
    </row>
    <row r="1489" spans="1:19" x14ac:dyDescent="0.2">
      <c r="A1489" s="1">
        <v>45922</v>
      </c>
      <c r="B1489" t="s">
        <v>4257</v>
      </c>
      <c r="D1489" t="s">
        <v>4258</v>
      </c>
      <c r="E1489" t="s">
        <v>16</v>
      </c>
      <c r="F1489" t="s">
        <v>17</v>
      </c>
      <c r="G1489" s="14">
        <v>265000</v>
      </c>
      <c r="H1489" s="14">
        <v>240000</v>
      </c>
      <c r="I1489" t="s">
        <v>22</v>
      </c>
      <c r="J1489" t="s">
        <v>22</v>
      </c>
      <c r="K1489" t="s">
        <v>4259</v>
      </c>
      <c r="L1489" t="s">
        <v>191</v>
      </c>
      <c r="M1489" t="s">
        <v>19</v>
      </c>
      <c r="N1489">
        <v>2</v>
      </c>
      <c r="O1489" t="s">
        <v>201</v>
      </c>
      <c r="P1489" t="s">
        <v>21</v>
      </c>
      <c r="Q1489" t="s">
        <v>30</v>
      </c>
      <c r="R1489" t="str">
        <f>VLOOKUP($O1489,'Mapa Oficinas'!$A$7:$C$46,2,FALSE)</f>
        <v>CABA</v>
      </c>
      <c r="S1489" t="str">
        <f>VLOOKUP($O1489,'Mapa Oficinas'!$A$7:$C$46,3,FALSE)</f>
        <v>Recoleta</v>
      </c>
    </row>
    <row r="1490" spans="1:19" x14ac:dyDescent="0.2">
      <c r="A1490" s="1">
        <v>45922</v>
      </c>
      <c r="B1490" t="s">
        <v>4260</v>
      </c>
      <c r="D1490" t="s">
        <v>4261</v>
      </c>
      <c r="E1490" t="s">
        <v>16</v>
      </c>
      <c r="F1490" t="s">
        <v>17</v>
      </c>
      <c r="G1490" s="14">
        <v>320000</v>
      </c>
      <c r="H1490" s="14">
        <v>300000</v>
      </c>
      <c r="I1490" t="s">
        <v>22</v>
      </c>
      <c r="J1490" t="s">
        <v>22</v>
      </c>
      <c r="K1490" t="s">
        <v>4262</v>
      </c>
      <c r="L1490" t="s">
        <v>191</v>
      </c>
      <c r="M1490" t="s">
        <v>19</v>
      </c>
      <c r="N1490">
        <v>2</v>
      </c>
      <c r="O1490" t="s">
        <v>201</v>
      </c>
      <c r="P1490" t="s">
        <v>21</v>
      </c>
      <c r="Q1490" t="s">
        <v>30</v>
      </c>
      <c r="R1490" t="str">
        <f>VLOOKUP($O1490,'Mapa Oficinas'!$A$7:$C$46,2,FALSE)</f>
        <v>CABA</v>
      </c>
      <c r="S1490" t="str">
        <f>VLOOKUP($O1490,'Mapa Oficinas'!$A$7:$C$46,3,FALSE)</f>
        <v>Recoleta</v>
      </c>
    </row>
    <row r="1491" spans="1:19" x14ac:dyDescent="0.2">
      <c r="A1491" s="1">
        <v>45923</v>
      </c>
      <c r="B1491" t="s">
        <v>4221</v>
      </c>
      <c r="D1491" t="s">
        <v>4222</v>
      </c>
      <c r="E1491" t="s">
        <v>16</v>
      </c>
      <c r="F1491" t="s">
        <v>47</v>
      </c>
      <c r="G1491" s="14">
        <v>49990</v>
      </c>
      <c r="H1491" s="14">
        <v>41000</v>
      </c>
      <c r="I1491" t="s">
        <v>22</v>
      </c>
      <c r="J1491" t="s">
        <v>22</v>
      </c>
      <c r="K1491" t="s">
        <v>4223</v>
      </c>
      <c r="L1491" t="s">
        <v>1995</v>
      </c>
      <c r="M1491" t="s">
        <v>72</v>
      </c>
      <c r="N1491">
        <v>2</v>
      </c>
      <c r="O1491" t="s">
        <v>50</v>
      </c>
      <c r="P1491" t="s">
        <v>21</v>
      </c>
      <c r="Q1491" t="s">
        <v>30</v>
      </c>
      <c r="R1491" t="str">
        <f>VLOOKUP($O1491,'Mapa Oficinas'!$A$7:$C$46,2,FALSE)</f>
        <v>CABA</v>
      </c>
      <c r="S1491" t="str">
        <f>VLOOKUP($O1491,'Mapa Oficinas'!$A$7:$C$46,3,FALSE)</f>
        <v>Villa Urquiza</v>
      </c>
    </row>
    <row r="1492" spans="1:19" x14ac:dyDescent="0.2">
      <c r="A1492" s="1">
        <v>45923</v>
      </c>
      <c r="B1492" t="s">
        <v>4238</v>
      </c>
      <c r="D1492" t="s">
        <v>4239</v>
      </c>
      <c r="E1492" t="s">
        <v>16</v>
      </c>
      <c r="F1492" t="s">
        <v>17</v>
      </c>
      <c r="G1492" s="14">
        <v>74000</v>
      </c>
      <c r="H1492" s="14">
        <v>70000</v>
      </c>
      <c r="I1492" t="s">
        <v>22</v>
      </c>
      <c r="J1492" t="s">
        <v>22</v>
      </c>
      <c r="K1492" t="s">
        <v>4240</v>
      </c>
      <c r="L1492" t="s">
        <v>318</v>
      </c>
      <c r="M1492" t="s">
        <v>19</v>
      </c>
      <c r="N1492">
        <v>2</v>
      </c>
      <c r="O1492" t="s">
        <v>156</v>
      </c>
      <c r="P1492" t="s">
        <v>44</v>
      </c>
      <c r="Q1492" t="s">
        <v>30</v>
      </c>
      <c r="R1492" t="str">
        <f>VLOOKUP($O1492,'Mapa Oficinas'!$A$7:$C$46,2,FALSE)</f>
        <v>Zona Norte (GBA)</v>
      </c>
      <c r="S1492" t="str">
        <f>VLOOKUP($O1492,'Mapa Oficinas'!$A$7:$C$46,3,FALSE)</f>
        <v>Pilar</v>
      </c>
    </row>
    <row r="1493" spans="1:19" x14ac:dyDescent="0.2">
      <c r="A1493" s="1">
        <v>45923</v>
      </c>
      <c r="B1493" t="s">
        <v>4219</v>
      </c>
      <c r="D1493" t="s">
        <v>4220</v>
      </c>
      <c r="E1493" t="s">
        <v>16</v>
      </c>
      <c r="F1493" t="s">
        <v>47</v>
      </c>
      <c r="G1493" s="14">
        <v>71500</v>
      </c>
      <c r="H1493" s="14">
        <v>71500</v>
      </c>
      <c r="I1493" t="s">
        <v>22</v>
      </c>
      <c r="J1493" t="s">
        <v>22</v>
      </c>
      <c r="L1493" t="s">
        <v>358</v>
      </c>
      <c r="M1493" t="s">
        <v>97</v>
      </c>
      <c r="N1493">
        <v>2</v>
      </c>
      <c r="O1493" t="s">
        <v>359</v>
      </c>
      <c r="P1493" t="s">
        <v>21</v>
      </c>
      <c r="Q1493" t="s">
        <v>30</v>
      </c>
      <c r="R1493" t="str">
        <f>VLOOKUP($O1493,'Mapa Oficinas'!$A$7:$C$46,2,FALSE)</f>
        <v>CABA</v>
      </c>
      <c r="S1493" t="str">
        <f>VLOOKUP($O1493,'Mapa Oficinas'!$A$7:$C$46,3,FALSE)</f>
        <v>Palermo</v>
      </c>
    </row>
    <row r="1494" spans="1:19" x14ac:dyDescent="0.2">
      <c r="A1494" s="1">
        <v>45923</v>
      </c>
      <c r="B1494" t="s">
        <v>4230</v>
      </c>
      <c r="D1494" t="s">
        <v>4231</v>
      </c>
      <c r="E1494" t="s">
        <v>16</v>
      </c>
      <c r="F1494" t="s">
        <v>17</v>
      </c>
      <c r="G1494" s="14">
        <v>103500</v>
      </c>
      <c r="H1494" s="14">
        <v>103500</v>
      </c>
      <c r="I1494" t="s">
        <v>22</v>
      </c>
      <c r="J1494" t="s">
        <v>22</v>
      </c>
      <c r="K1494" t="s">
        <v>4232</v>
      </c>
      <c r="M1494" t="s">
        <v>19</v>
      </c>
      <c r="N1494">
        <v>1</v>
      </c>
      <c r="O1494" t="s">
        <v>171</v>
      </c>
      <c r="P1494" t="s">
        <v>146</v>
      </c>
      <c r="Q1494" t="s">
        <v>30</v>
      </c>
      <c r="R1494" t="str">
        <f>VLOOKUP($O1494,'Mapa Oficinas'!$A$7:$C$46,2,FALSE)</f>
        <v>Zona Sur (GBA)</v>
      </c>
      <c r="S1494" t="str">
        <f>VLOOKUP($O1494,'Mapa Oficinas'!$A$7:$C$46,3,FALSE)</f>
        <v>La Plata</v>
      </c>
    </row>
    <row r="1495" spans="1:19" x14ac:dyDescent="0.2">
      <c r="A1495" s="1">
        <v>45923</v>
      </c>
      <c r="B1495" t="s">
        <v>4241</v>
      </c>
      <c r="D1495" t="s">
        <v>4242</v>
      </c>
      <c r="E1495" t="s">
        <v>16</v>
      </c>
      <c r="F1495" t="s">
        <v>17</v>
      </c>
      <c r="G1495" s="14">
        <v>110000</v>
      </c>
      <c r="H1495" s="14">
        <v>110000</v>
      </c>
      <c r="I1495" t="s">
        <v>22</v>
      </c>
      <c r="J1495" t="s">
        <v>22</v>
      </c>
      <c r="K1495" t="s">
        <v>4243</v>
      </c>
      <c r="L1495" t="s">
        <v>330</v>
      </c>
      <c r="M1495" t="s">
        <v>19</v>
      </c>
      <c r="N1495">
        <v>1</v>
      </c>
      <c r="O1495" t="s">
        <v>156</v>
      </c>
      <c r="P1495" t="s">
        <v>131</v>
      </c>
      <c r="Q1495" t="s">
        <v>30</v>
      </c>
      <c r="R1495" t="str">
        <f>VLOOKUP($O1495,'Mapa Oficinas'!$A$7:$C$46,2,FALSE)</f>
        <v>Zona Norte (GBA)</v>
      </c>
      <c r="S1495" t="str">
        <f>VLOOKUP($O1495,'Mapa Oficinas'!$A$7:$C$46,3,FALSE)</f>
        <v>Pilar</v>
      </c>
    </row>
    <row r="1496" spans="1:19" x14ac:dyDescent="0.2">
      <c r="A1496" s="1">
        <v>45923</v>
      </c>
      <c r="B1496" t="s">
        <v>4227</v>
      </c>
      <c r="D1496" t="s">
        <v>4228</v>
      </c>
      <c r="E1496" t="s">
        <v>16</v>
      </c>
      <c r="F1496" t="s">
        <v>17</v>
      </c>
      <c r="G1496" s="14">
        <v>123000</v>
      </c>
      <c r="H1496" s="14">
        <v>116000</v>
      </c>
      <c r="I1496" t="s">
        <v>22</v>
      </c>
      <c r="J1496" t="s">
        <v>22</v>
      </c>
      <c r="K1496" t="s">
        <v>4229</v>
      </c>
      <c r="L1496" t="s">
        <v>1064</v>
      </c>
      <c r="M1496" t="s">
        <v>19</v>
      </c>
      <c r="N1496">
        <v>2</v>
      </c>
      <c r="O1496" t="s">
        <v>35</v>
      </c>
      <c r="P1496" t="s">
        <v>21</v>
      </c>
      <c r="Q1496" t="s">
        <v>30</v>
      </c>
      <c r="R1496" t="str">
        <f>VLOOKUP($O1496,'Mapa Oficinas'!$A$7:$C$46,2,FALSE)</f>
        <v>Zona Norte (GBA)</v>
      </c>
      <c r="S1496" t="str">
        <f>VLOOKUP($O1496,'Mapa Oficinas'!$A$7:$C$46,3,FALSE)</f>
        <v>Vicente López</v>
      </c>
    </row>
    <row r="1497" spans="1:19" x14ac:dyDescent="0.2">
      <c r="A1497" s="1">
        <v>45923</v>
      </c>
      <c r="B1497" t="s">
        <v>4233</v>
      </c>
      <c r="D1497" t="s">
        <v>4234</v>
      </c>
      <c r="E1497" t="s">
        <v>16</v>
      </c>
      <c r="F1497" t="s">
        <v>17</v>
      </c>
      <c r="G1497" s="14">
        <v>219000</v>
      </c>
      <c r="H1497" s="14">
        <v>145000</v>
      </c>
      <c r="I1497" t="s">
        <v>22</v>
      </c>
      <c r="J1497" t="s">
        <v>22</v>
      </c>
      <c r="K1497" t="s">
        <v>4235</v>
      </c>
      <c r="L1497" t="s">
        <v>27</v>
      </c>
      <c r="M1497" t="s">
        <v>28</v>
      </c>
      <c r="N1497">
        <v>2</v>
      </c>
      <c r="O1497" t="s">
        <v>142</v>
      </c>
      <c r="P1497" t="s">
        <v>21</v>
      </c>
      <c r="Q1497" t="s">
        <v>30</v>
      </c>
      <c r="R1497" t="str">
        <f>VLOOKUP($O1497,'Mapa Oficinas'!$A$7:$C$46,2,FALSE)</f>
        <v>Zona Norte (GBA)</v>
      </c>
      <c r="S1497" t="str">
        <f>VLOOKUP($O1497,'Mapa Oficinas'!$A$7:$C$46,3,FALSE)</f>
        <v>Nordelta</v>
      </c>
    </row>
    <row r="1498" spans="1:19" x14ac:dyDescent="0.2">
      <c r="A1498" s="1">
        <v>45923</v>
      </c>
      <c r="B1498" t="s">
        <v>4224</v>
      </c>
      <c r="D1498" t="s">
        <v>4225</v>
      </c>
      <c r="E1498" t="s">
        <v>16</v>
      </c>
      <c r="F1498" t="s">
        <v>17</v>
      </c>
      <c r="G1498" s="14">
        <v>180000</v>
      </c>
      <c r="H1498" s="14">
        <v>165000</v>
      </c>
      <c r="I1498" t="s">
        <v>22</v>
      </c>
      <c r="J1498" t="s">
        <v>22</v>
      </c>
      <c r="K1498" t="s">
        <v>4226</v>
      </c>
      <c r="L1498" t="s">
        <v>141</v>
      </c>
      <c r="M1498" t="s">
        <v>19</v>
      </c>
      <c r="N1498">
        <v>2</v>
      </c>
      <c r="O1498" t="s">
        <v>142</v>
      </c>
      <c r="P1498" t="s">
        <v>276</v>
      </c>
      <c r="Q1498" t="s">
        <v>30</v>
      </c>
      <c r="R1498" t="str">
        <f>VLOOKUP($O1498,'Mapa Oficinas'!$A$7:$C$46,2,FALSE)</f>
        <v>Zona Norte (GBA)</v>
      </c>
      <c r="S1498" t="str">
        <f>VLOOKUP($O1498,'Mapa Oficinas'!$A$7:$C$46,3,FALSE)</f>
        <v>Nordelta</v>
      </c>
    </row>
    <row r="1499" spans="1:19" x14ac:dyDescent="0.2">
      <c r="A1499" s="1">
        <v>45923</v>
      </c>
      <c r="B1499" t="s">
        <v>4236</v>
      </c>
      <c r="D1499" t="s">
        <v>4237</v>
      </c>
      <c r="E1499" t="s">
        <v>16</v>
      </c>
      <c r="F1499" t="s">
        <v>17</v>
      </c>
      <c r="G1499" s="14">
        <v>410000</v>
      </c>
      <c r="H1499" s="14">
        <v>395000</v>
      </c>
      <c r="I1499" t="s">
        <v>22</v>
      </c>
      <c r="J1499" t="s">
        <v>22</v>
      </c>
      <c r="K1499" t="s">
        <v>4237</v>
      </c>
      <c r="L1499" t="s">
        <v>1866</v>
      </c>
      <c r="M1499" t="s">
        <v>97</v>
      </c>
      <c r="N1499">
        <v>1</v>
      </c>
      <c r="O1499" t="s">
        <v>142</v>
      </c>
      <c r="P1499" t="s">
        <v>146</v>
      </c>
      <c r="Q1499" t="s">
        <v>30</v>
      </c>
      <c r="R1499" t="str">
        <f>VLOOKUP($O1499,'Mapa Oficinas'!$A$7:$C$46,2,FALSE)</f>
        <v>Zona Norte (GBA)</v>
      </c>
      <c r="S1499" t="str">
        <f>VLOOKUP($O1499,'Mapa Oficinas'!$A$7:$C$46,3,FALSE)</f>
        <v>Nordelta</v>
      </c>
    </row>
    <row r="1500" spans="1:19" x14ac:dyDescent="0.2">
      <c r="A1500" s="1">
        <v>45924</v>
      </c>
      <c r="B1500" t="s">
        <v>4193</v>
      </c>
      <c r="D1500" t="s">
        <v>4194</v>
      </c>
      <c r="E1500" t="s">
        <v>16</v>
      </c>
      <c r="F1500" t="s">
        <v>47</v>
      </c>
      <c r="G1500" s="14">
        <v>49000</v>
      </c>
      <c r="H1500" s="14">
        <v>49000</v>
      </c>
      <c r="I1500" t="s">
        <v>22</v>
      </c>
      <c r="J1500" t="s">
        <v>22</v>
      </c>
      <c r="L1500" t="s">
        <v>358</v>
      </c>
      <c r="M1500" t="s">
        <v>97</v>
      </c>
      <c r="N1500">
        <v>2</v>
      </c>
      <c r="O1500" t="s">
        <v>359</v>
      </c>
      <c r="P1500" t="s">
        <v>21</v>
      </c>
      <c r="Q1500" t="s">
        <v>30</v>
      </c>
      <c r="R1500" t="str">
        <f>VLOOKUP($O1500,'Mapa Oficinas'!$A$7:$C$46,2,FALSE)</f>
        <v>CABA</v>
      </c>
      <c r="S1500" t="str">
        <f>VLOOKUP($O1500,'Mapa Oficinas'!$A$7:$C$46,3,FALSE)</f>
        <v>Palermo</v>
      </c>
    </row>
    <row r="1501" spans="1:19" x14ac:dyDescent="0.2">
      <c r="A1501" s="1">
        <v>45924</v>
      </c>
      <c r="B1501" t="s">
        <v>4205</v>
      </c>
      <c r="D1501" t="s">
        <v>4206</v>
      </c>
      <c r="E1501" t="s">
        <v>16</v>
      </c>
      <c r="F1501" t="s">
        <v>17</v>
      </c>
      <c r="G1501" s="14">
        <v>90000</v>
      </c>
      <c r="H1501" s="14">
        <v>86500</v>
      </c>
      <c r="I1501" t="s">
        <v>22</v>
      </c>
      <c r="J1501" t="s">
        <v>22</v>
      </c>
      <c r="K1501" t="s">
        <v>4207</v>
      </c>
      <c r="L1501" t="s">
        <v>1672</v>
      </c>
      <c r="M1501" t="s">
        <v>19</v>
      </c>
      <c r="N1501">
        <v>2</v>
      </c>
      <c r="O1501" t="s">
        <v>198</v>
      </c>
      <c r="P1501" t="s">
        <v>21</v>
      </c>
      <c r="Q1501" t="s">
        <v>30</v>
      </c>
      <c r="R1501" t="str">
        <f>VLOOKUP($O1501,'Mapa Oficinas'!$A$7:$C$46,2,FALSE)</f>
        <v>CABA</v>
      </c>
      <c r="S1501" t="str">
        <f>VLOOKUP($O1501,'Mapa Oficinas'!$A$7:$C$46,3,FALSE)</f>
        <v>Caballito</v>
      </c>
    </row>
    <row r="1502" spans="1:19" x14ac:dyDescent="0.2">
      <c r="A1502" s="1">
        <v>45924</v>
      </c>
      <c r="B1502" t="s">
        <v>4189</v>
      </c>
      <c r="D1502" t="s">
        <v>4190</v>
      </c>
      <c r="E1502" t="s">
        <v>16</v>
      </c>
      <c r="F1502" t="s">
        <v>17</v>
      </c>
      <c r="G1502" s="14">
        <v>99000</v>
      </c>
      <c r="H1502" s="14">
        <v>99000</v>
      </c>
      <c r="I1502" t="s">
        <v>22</v>
      </c>
      <c r="J1502" t="s">
        <v>22</v>
      </c>
      <c r="K1502" t="s">
        <v>4191</v>
      </c>
      <c r="L1502" t="s">
        <v>4192</v>
      </c>
      <c r="M1502" t="s">
        <v>28</v>
      </c>
      <c r="N1502">
        <v>2</v>
      </c>
      <c r="O1502" t="s">
        <v>198</v>
      </c>
      <c r="P1502" t="s">
        <v>1578</v>
      </c>
      <c r="Q1502" t="s">
        <v>30</v>
      </c>
      <c r="R1502" t="str">
        <f>VLOOKUP($O1502,'Mapa Oficinas'!$A$7:$C$46,2,FALSE)</f>
        <v>CABA</v>
      </c>
      <c r="S1502" t="str">
        <f>VLOOKUP($O1502,'Mapa Oficinas'!$A$7:$C$46,3,FALSE)</f>
        <v>Caballito</v>
      </c>
    </row>
    <row r="1503" spans="1:19" x14ac:dyDescent="0.2">
      <c r="A1503" s="1">
        <v>45924</v>
      </c>
      <c r="D1503" t="s">
        <v>4201</v>
      </c>
      <c r="E1503" t="s">
        <v>16</v>
      </c>
      <c r="F1503" t="s">
        <v>17</v>
      </c>
      <c r="G1503" s="14">
        <v>105000</v>
      </c>
      <c r="H1503" s="14">
        <v>105000</v>
      </c>
      <c r="I1503" t="s">
        <v>22</v>
      </c>
      <c r="J1503" t="s">
        <v>22</v>
      </c>
      <c r="K1503" t="s">
        <v>4202</v>
      </c>
      <c r="L1503" t="s">
        <v>2016</v>
      </c>
      <c r="M1503" t="s">
        <v>19</v>
      </c>
      <c r="N1503">
        <v>1</v>
      </c>
      <c r="O1503" t="s">
        <v>201</v>
      </c>
      <c r="P1503" t="s">
        <v>146</v>
      </c>
      <c r="Q1503" t="s">
        <v>30</v>
      </c>
      <c r="R1503" t="str">
        <f>VLOOKUP($O1503,'Mapa Oficinas'!$A$7:$C$46,2,FALSE)</f>
        <v>CABA</v>
      </c>
      <c r="S1503" t="str">
        <f>VLOOKUP($O1503,'Mapa Oficinas'!$A$7:$C$46,3,FALSE)</f>
        <v>Recoleta</v>
      </c>
    </row>
    <row r="1504" spans="1:19" x14ac:dyDescent="0.2">
      <c r="A1504" s="1">
        <v>45924</v>
      </c>
      <c r="B1504" t="s">
        <v>4198</v>
      </c>
      <c r="D1504" t="s">
        <v>4199</v>
      </c>
      <c r="E1504" t="s">
        <v>16</v>
      </c>
      <c r="F1504" t="s">
        <v>17</v>
      </c>
      <c r="G1504" s="14">
        <v>120000</v>
      </c>
      <c r="H1504" s="14">
        <v>116000</v>
      </c>
      <c r="I1504" t="s">
        <v>22</v>
      </c>
      <c r="J1504" t="s">
        <v>22</v>
      </c>
      <c r="K1504" t="s">
        <v>4200</v>
      </c>
      <c r="L1504" t="s">
        <v>2016</v>
      </c>
      <c r="M1504" t="s">
        <v>28</v>
      </c>
      <c r="N1504">
        <v>2</v>
      </c>
      <c r="O1504" t="s">
        <v>201</v>
      </c>
      <c r="P1504" t="s">
        <v>21</v>
      </c>
      <c r="Q1504" t="s">
        <v>30</v>
      </c>
      <c r="R1504" t="str">
        <f>VLOOKUP($O1504,'Mapa Oficinas'!$A$7:$C$46,2,FALSE)</f>
        <v>CABA</v>
      </c>
      <c r="S1504" t="str">
        <f>VLOOKUP($O1504,'Mapa Oficinas'!$A$7:$C$46,3,FALSE)</f>
        <v>Recoleta</v>
      </c>
    </row>
    <row r="1505" spans="1:19" x14ac:dyDescent="0.2">
      <c r="A1505" s="1">
        <v>45924</v>
      </c>
      <c r="B1505" t="s">
        <v>4213</v>
      </c>
      <c r="D1505" t="s">
        <v>4214</v>
      </c>
      <c r="E1505" t="s">
        <v>16</v>
      </c>
      <c r="F1505" t="s">
        <v>17</v>
      </c>
      <c r="G1505" s="14">
        <v>169000</v>
      </c>
      <c r="H1505" s="14">
        <v>165000</v>
      </c>
      <c r="I1505" t="s">
        <v>22</v>
      </c>
      <c r="J1505" t="s">
        <v>22</v>
      </c>
      <c r="K1505" t="s">
        <v>4215</v>
      </c>
      <c r="L1505" t="s">
        <v>318</v>
      </c>
      <c r="M1505" t="s">
        <v>19</v>
      </c>
      <c r="N1505">
        <v>2</v>
      </c>
      <c r="O1505" t="s">
        <v>20</v>
      </c>
      <c r="P1505" t="s">
        <v>21</v>
      </c>
      <c r="Q1505" t="s">
        <v>30</v>
      </c>
      <c r="R1505" t="str">
        <f>VLOOKUP($O1505,'Mapa Oficinas'!$A$7:$C$46,2,FALSE)</f>
        <v>CABA</v>
      </c>
      <c r="S1505" t="str">
        <f>VLOOKUP($O1505,'Mapa Oficinas'!$A$7:$C$46,3,FALSE)</f>
        <v>Palermo</v>
      </c>
    </row>
    <row r="1506" spans="1:19" x14ac:dyDescent="0.2">
      <c r="A1506" s="1">
        <v>45924</v>
      </c>
      <c r="B1506" t="s">
        <v>1652</v>
      </c>
      <c r="D1506" t="s">
        <v>4208</v>
      </c>
      <c r="E1506" t="s">
        <v>16</v>
      </c>
      <c r="F1506" t="s">
        <v>38</v>
      </c>
      <c r="G1506" s="14">
        <v>210000</v>
      </c>
      <c r="H1506" s="14">
        <v>203000</v>
      </c>
      <c r="I1506" t="s">
        <v>22</v>
      </c>
      <c r="J1506" t="s">
        <v>22</v>
      </c>
      <c r="K1506" t="s">
        <v>1654</v>
      </c>
      <c r="L1506" t="s">
        <v>1655</v>
      </c>
      <c r="M1506" t="s">
        <v>97</v>
      </c>
      <c r="N1506">
        <v>2</v>
      </c>
      <c r="O1506" t="s">
        <v>40</v>
      </c>
      <c r="P1506" t="s">
        <v>44</v>
      </c>
      <c r="Q1506" t="s">
        <v>30</v>
      </c>
      <c r="R1506" t="str">
        <f>VLOOKUP($O1506,'Mapa Oficinas'!$A$7:$C$46,2,FALSE)</f>
        <v>Zona Norte (GBA)</v>
      </c>
      <c r="S1506" t="str">
        <f>VLOOKUP($O1506,'Mapa Oficinas'!$A$7:$C$46,3,FALSE)</f>
        <v>Pilar</v>
      </c>
    </row>
    <row r="1507" spans="1:19" x14ac:dyDescent="0.2">
      <c r="A1507" s="1">
        <v>45924</v>
      </c>
      <c r="B1507" t="s">
        <v>4216</v>
      </c>
      <c r="D1507" t="s">
        <v>4217</v>
      </c>
      <c r="E1507" t="s">
        <v>16</v>
      </c>
      <c r="F1507" t="s">
        <v>17</v>
      </c>
      <c r="G1507" s="14">
        <v>255000</v>
      </c>
      <c r="H1507" s="14">
        <v>245000</v>
      </c>
      <c r="I1507" t="s">
        <v>22</v>
      </c>
      <c r="J1507" t="s">
        <v>22</v>
      </c>
      <c r="K1507" t="s">
        <v>4218</v>
      </c>
      <c r="L1507" t="s">
        <v>79</v>
      </c>
      <c r="M1507" t="s">
        <v>19</v>
      </c>
      <c r="N1507">
        <v>2</v>
      </c>
      <c r="O1507" t="s">
        <v>103</v>
      </c>
      <c r="P1507" t="s">
        <v>21</v>
      </c>
      <c r="Q1507" t="s">
        <v>30</v>
      </c>
      <c r="R1507" t="str">
        <f>VLOOKUP($O1507,'Mapa Oficinas'!$A$7:$C$46,2,FALSE)</f>
        <v>CABA</v>
      </c>
      <c r="S1507" t="str">
        <f>VLOOKUP($O1507,'Mapa Oficinas'!$A$7:$C$46,3,FALSE)</f>
        <v>Barrio Parque</v>
      </c>
    </row>
    <row r="1508" spans="1:19" x14ac:dyDescent="0.2">
      <c r="A1508" s="1">
        <v>45924</v>
      </c>
      <c r="B1508" t="s">
        <v>4203</v>
      </c>
      <c r="D1508" t="s">
        <v>4204</v>
      </c>
      <c r="E1508" t="s">
        <v>16</v>
      </c>
      <c r="F1508" t="s">
        <v>17</v>
      </c>
      <c r="G1508" s="14">
        <v>288000</v>
      </c>
      <c r="H1508" s="14">
        <v>278000</v>
      </c>
      <c r="I1508" t="s">
        <v>22</v>
      </c>
      <c r="J1508" t="s">
        <v>22</v>
      </c>
      <c r="K1508" t="s">
        <v>4204</v>
      </c>
      <c r="L1508" t="s">
        <v>478</v>
      </c>
      <c r="M1508" t="s">
        <v>28</v>
      </c>
      <c r="N1508">
        <v>1</v>
      </c>
      <c r="O1508" t="s">
        <v>142</v>
      </c>
      <c r="P1508" t="s">
        <v>146</v>
      </c>
      <c r="Q1508" t="s">
        <v>30</v>
      </c>
      <c r="R1508" t="str">
        <f>VLOOKUP($O1508,'Mapa Oficinas'!$A$7:$C$46,2,FALSE)</f>
        <v>Zona Norte (GBA)</v>
      </c>
      <c r="S1508" t="str">
        <f>VLOOKUP($O1508,'Mapa Oficinas'!$A$7:$C$46,3,FALSE)</f>
        <v>Nordelta</v>
      </c>
    </row>
    <row r="1509" spans="1:19" x14ac:dyDescent="0.2">
      <c r="A1509" s="1">
        <v>45924</v>
      </c>
      <c r="B1509" t="s">
        <v>4209</v>
      </c>
      <c r="D1509" t="s">
        <v>4210</v>
      </c>
      <c r="E1509" t="s">
        <v>16</v>
      </c>
      <c r="F1509" t="s">
        <v>82</v>
      </c>
      <c r="G1509" s="14">
        <v>590000</v>
      </c>
      <c r="H1509" s="14">
        <v>525000</v>
      </c>
      <c r="I1509" t="s">
        <v>22</v>
      </c>
      <c r="J1509" t="s">
        <v>22</v>
      </c>
      <c r="K1509" t="s">
        <v>4211</v>
      </c>
      <c r="L1509" t="s">
        <v>4212</v>
      </c>
      <c r="M1509" t="s">
        <v>97</v>
      </c>
      <c r="N1509">
        <v>1</v>
      </c>
      <c r="O1509" t="s">
        <v>98</v>
      </c>
      <c r="P1509" t="s">
        <v>66</v>
      </c>
      <c r="Q1509" t="s">
        <v>30</v>
      </c>
      <c r="R1509" t="str">
        <f>VLOOKUP($O1509,'Mapa Oficinas'!$A$7:$C$46,2,FALSE)</f>
        <v>Interior - Neuquén</v>
      </c>
      <c r="S1509" t="str">
        <f>VLOOKUP($O1509,'Mapa Oficinas'!$A$7:$C$46,3,FALSE)</f>
        <v>Villa La Angostura</v>
      </c>
    </row>
    <row r="1510" spans="1:19" x14ac:dyDescent="0.2">
      <c r="A1510" s="1">
        <v>45925</v>
      </c>
      <c r="B1510" t="s">
        <v>4152</v>
      </c>
      <c r="D1510" t="s">
        <v>4153</v>
      </c>
      <c r="E1510" t="s">
        <v>16</v>
      </c>
      <c r="F1510" t="s">
        <v>17</v>
      </c>
      <c r="G1510" s="14">
        <v>42000</v>
      </c>
      <c r="H1510" s="14">
        <v>42000</v>
      </c>
      <c r="I1510" t="s">
        <v>22</v>
      </c>
      <c r="J1510" t="s">
        <v>22</v>
      </c>
      <c r="K1510" t="s">
        <v>4154</v>
      </c>
      <c r="L1510" t="s">
        <v>170</v>
      </c>
      <c r="M1510" t="s">
        <v>19</v>
      </c>
      <c r="N1510">
        <v>2</v>
      </c>
      <c r="O1510" t="s">
        <v>171</v>
      </c>
      <c r="P1510" t="s">
        <v>21</v>
      </c>
      <c r="Q1510" t="s">
        <v>30</v>
      </c>
      <c r="R1510" t="str">
        <f>VLOOKUP($O1510,'Mapa Oficinas'!$A$7:$C$46,2,FALSE)</f>
        <v>Zona Sur (GBA)</v>
      </c>
      <c r="S1510" t="str">
        <f>VLOOKUP($O1510,'Mapa Oficinas'!$A$7:$C$46,3,FALSE)</f>
        <v>La Plata</v>
      </c>
    </row>
    <row r="1511" spans="1:19" x14ac:dyDescent="0.2">
      <c r="A1511" s="1">
        <v>45925</v>
      </c>
      <c r="B1511" t="s">
        <v>4158</v>
      </c>
      <c r="D1511" t="s">
        <v>4159</v>
      </c>
      <c r="E1511" t="s">
        <v>16</v>
      </c>
      <c r="F1511" t="s">
        <v>47</v>
      </c>
      <c r="G1511" s="14">
        <v>52000</v>
      </c>
      <c r="H1511" s="14">
        <v>49000</v>
      </c>
      <c r="I1511" t="s">
        <v>22</v>
      </c>
      <c r="J1511" t="s">
        <v>22</v>
      </c>
      <c r="K1511" t="s">
        <v>4160</v>
      </c>
      <c r="L1511" t="s">
        <v>2939</v>
      </c>
      <c r="M1511" t="s">
        <v>19</v>
      </c>
      <c r="N1511">
        <v>2</v>
      </c>
      <c r="O1511" t="s">
        <v>50</v>
      </c>
      <c r="P1511" t="s">
        <v>21</v>
      </c>
      <c r="Q1511" t="s">
        <v>30</v>
      </c>
      <c r="R1511" t="str">
        <f>VLOOKUP($O1511,'Mapa Oficinas'!$A$7:$C$46,2,FALSE)</f>
        <v>CABA</v>
      </c>
      <c r="S1511" t="str">
        <f>VLOOKUP($O1511,'Mapa Oficinas'!$A$7:$C$46,3,FALSE)</f>
        <v>Villa Urquiza</v>
      </c>
    </row>
    <row r="1512" spans="1:19" x14ac:dyDescent="0.2">
      <c r="A1512" s="1">
        <v>45925</v>
      </c>
      <c r="B1512" t="s">
        <v>4150</v>
      </c>
      <c r="D1512" t="s">
        <v>4151</v>
      </c>
      <c r="E1512" t="s">
        <v>16</v>
      </c>
      <c r="F1512" t="s">
        <v>47</v>
      </c>
      <c r="G1512" s="14">
        <v>55000</v>
      </c>
      <c r="H1512" s="14">
        <v>50000</v>
      </c>
      <c r="I1512" t="s">
        <v>22</v>
      </c>
      <c r="J1512" t="s">
        <v>22</v>
      </c>
      <c r="K1512" t="s">
        <v>4151</v>
      </c>
      <c r="L1512" t="s">
        <v>170</v>
      </c>
      <c r="M1512" t="s">
        <v>19</v>
      </c>
      <c r="N1512">
        <v>2</v>
      </c>
      <c r="O1512" t="s">
        <v>171</v>
      </c>
      <c r="P1512" t="s">
        <v>21</v>
      </c>
      <c r="Q1512" t="s">
        <v>30</v>
      </c>
      <c r="R1512" t="str">
        <f>VLOOKUP($O1512,'Mapa Oficinas'!$A$7:$C$46,2,FALSE)</f>
        <v>Zona Sur (GBA)</v>
      </c>
      <c r="S1512" t="str">
        <f>VLOOKUP($O1512,'Mapa Oficinas'!$A$7:$C$46,3,FALSE)</f>
        <v>La Plata</v>
      </c>
    </row>
    <row r="1513" spans="1:19" x14ac:dyDescent="0.2">
      <c r="A1513" s="1">
        <v>45925</v>
      </c>
      <c r="B1513" t="s">
        <v>4186</v>
      </c>
      <c r="D1513" t="s">
        <v>4187</v>
      </c>
      <c r="E1513" t="s">
        <v>16</v>
      </c>
      <c r="F1513" t="s">
        <v>82</v>
      </c>
      <c r="G1513" s="14">
        <v>68000</v>
      </c>
      <c r="H1513" s="14">
        <v>60000</v>
      </c>
      <c r="I1513" t="s">
        <v>22</v>
      </c>
      <c r="J1513" t="s">
        <v>22</v>
      </c>
      <c r="K1513" t="s">
        <v>4188</v>
      </c>
      <c r="L1513" t="s">
        <v>54</v>
      </c>
      <c r="M1513" t="s">
        <v>28</v>
      </c>
      <c r="N1513">
        <v>1</v>
      </c>
      <c r="O1513" t="s">
        <v>55</v>
      </c>
      <c r="P1513" t="s">
        <v>66</v>
      </c>
      <c r="Q1513" t="s">
        <v>30</v>
      </c>
      <c r="R1513" t="str">
        <f>VLOOKUP($O1513,'Mapa Oficinas'!$A$7:$C$46,2,FALSE)</f>
        <v>Interior - Santa Fe</v>
      </c>
      <c r="S1513" t="str">
        <f>VLOOKUP($O1513,'Mapa Oficinas'!$A$7:$C$46,3,FALSE)</f>
        <v>Capital Santa Fe</v>
      </c>
    </row>
    <row r="1514" spans="1:19" x14ac:dyDescent="0.2">
      <c r="A1514" s="1">
        <v>45925</v>
      </c>
      <c r="B1514" t="s">
        <v>4172</v>
      </c>
      <c r="D1514" t="s">
        <v>4173</v>
      </c>
      <c r="E1514" t="s">
        <v>16</v>
      </c>
      <c r="F1514" t="s">
        <v>82</v>
      </c>
      <c r="G1514" s="14">
        <v>83000</v>
      </c>
      <c r="H1514" s="14">
        <v>83000</v>
      </c>
      <c r="I1514" t="s">
        <v>22</v>
      </c>
      <c r="J1514" t="s">
        <v>22</v>
      </c>
      <c r="K1514" t="s">
        <v>4174</v>
      </c>
      <c r="L1514" t="s">
        <v>821</v>
      </c>
      <c r="M1514" t="s">
        <v>19</v>
      </c>
      <c r="N1514">
        <v>1</v>
      </c>
      <c r="O1514" t="s">
        <v>151</v>
      </c>
      <c r="P1514" t="s">
        <v>66</v>
      </c>
      <c r="Q1514" t="s">
        <v>30</v>
      </c>
      <c r="R1514" t="str">
        <f>VLOOKUP($O1514,'Mapa Oficinas'!$A$7:$C$46,2,FALSE)</f>
        <v>Interior - Neuquén</v>
      </c>
      <c r="S1514" t="str">
        <f>VLOOKUP($O1514,'Mapa Oficinas'!$A$7:$C$46,3,FALSE)</f>
        <v>Capital Neuquén</v>
      </c>
    </row>
    <row r="1515" spans="1:19" x14ac:dyDescent="0.2">
      <c r="A1515" s="1">
        <v>45925</v>
      </c>
      <c r="B1515" t="s">
        <v>4172</v>
      </c>
      <c r="D1515" t="s">
        <v>4173</v>
      </c>
      <c r="E1515" t="s">
        <v>16</v>
      </c>
      <c r="F1515" t="s">
        <v>38</v>
      </c>
      <c r="G1515" s="14">
        <v>83000</v>
      </c>
      <c r="H1515" s="14">
        <v>83000</v>
      </c>
      <c r="I1515" t="s">
        <v>22</v>
      </c>
      <c r="J1515" t="s">
        <v>22</v>
      </c>
      <c r="K1515" t="s">
        <v>4174</v>
      </c>
      <c r="L1515" t="s">
        <v>821</v>
      </c>
      <c r="M1515" t="s">
        <v>19</v>
      </c>
      <c r="N1515">
        <v>2</v>
      </c>
      <c r="O1515" t="s">
        <v>367</v>
      </c>
      <c r="P1515" t="s">
        <v>44</v>
      </c>
      <c r="Q1515" t="s">
        <v>30</v>
      </c>
      <c r="R1515" t="str">
        <f>VLOOKUP($O1515,'Mapa Oficinas'!$A$7:$C$46,2,FALSE)</f>
        <v>Interior - Neuquén</v>
      </c>
      <c r="S1515" t="str">
        <f>VLOOKUP($O1515,'Mapa Oficinas'!$A$7:$C$46,3,FALSE)</f>
        <v>San Martín de los Andes</v>
      </c>
    </row>
    <row r="1516" spans="1:19" x14ac:dyDescent="0.2">
      <c r="A1516" s="1">
        <v>45925</v>
      </c>
      <c r="B1516" t="s">
        <v>4161</v>
      </c>
      <c r="D1516" t="s">
        <v>4162</v>
      </c>
      <c r="E1516" t="s">
        <v>16</v>
      </c>
      <c r="F1516" t="s">
        <v>58</v>
      </c>
      <c r="G1516" s="14">
        <v>99900</v>
      </c>
      <c r="H1516" s="14">
        <v>92000</v>
      </c>
      <c r="I1516" t="s">
        <v>22</v>
      </c>
      <c r="J1516" t="s">
        <v>22</v>
      </c>
      <c r="K1516" t="s">
        <v>4163</v>
      </c>
      <c r="L1516" t="s">
        <v>470</v>
      </c>
      <c r="M1516" t="s">
        <v>72</v>
      </c>
      <c r="N1516">
        <v>2</v>
      </c>
      <c r="O1516" t="s">
        <v>50</v>
      </c>
      <c r="P1516" t="s">
        <v>21</v>
      </c>
      <c r="Q1516" t="s">
        <v>30</v>
      </c>
      <c r="R1516" t="str">
        <f>VLOOKUP($O1516,'Mapa Oficinas'!$A$7:$C$46,2,FALSE)</f>
        <v>CABA</v>
      </c>
      <c r="S1516" t="str">
        <f>VLOOKUP($O1516,'Mapa Oficinas'!$A$7:$C$46,3,FALSE)</f>
        <v>Villa Urquiza</v>
      </c>
    </row>
    <row r="1517" spans="1:19" x14ac:dyDescent="0.2">
      <c r="A1517" s="1">
        <v>45925</v>
      </c>
      <c r="B1517" t="s">
        <v>2535</v>
      </c>
      <c r="D1517" t="s">
        <v>2536</v>
      </c>
      <c r="E1517" t="s">
        <v>16</v>
      </c>
      <c r="F1517" t="s">
        <v>17</v>
      </c>
      <c r="G1517" s="14">
        <v>115000</v>
      </c>
      <c r="H1517" s="14">
        <v>100000</v>
      </c>
      <c r="I1517" t="s">
        <v>22</v>
      </c>
      <c r="J1517" t="s">
        <v>22</v>
      </c>
      <c r="K1517" t="s">
        <v>2537</v>
      </c>
      <c r="L1517" t="s">
        <v>2434</v>
      </c>
      <c r="M1517" t="s">
        <v>19</v>
      </c>
      <c r="N1517">
        <v>2</v>
      </c>
      <c r="O1517" t="s">
        <v>142</v>
      </c>
      <c r="P1517" t="s">
        <v>41</v>
      </c>
      <c r="Q1517" t="s">
        <v>30</v>
      </c>
      <c r="R1517" t="str">
        <f>VLOOKUP($O1517,'Mapa Oficinas'!$A$7:$C$46,2,FALSE)</f>
        <v>Zona Norte (GBA)</v>
      </c>
      <c r="S1517" t="str">
        <f>VLOOKUP($O1517,'Mapa Oficinas'!$A$7:$C$46,3,FALSE)</f>
        <v>Nordelta</v>
      </c>
    </row>
    <row r="1518" spans="1:19" x14ac:dyDescent="0.2">
      <c r="A1518" s="1">
        <v>45925</v>
      </c>
      <c r="B1518" t="s">
        <v>4155</v>
      </c>
      <c r="D1518" t="s">
        <v>4156</v>
      </c>
      <c r="E1518" t="s">
        <v>16</v>
      </c>
      <c r="F1518" t="s">
        <v>17</v>
      </c>
      <c r="G1518" s="14">
        <v>121500</v>
      </c>
      <c r="H1518" s="14">
        <v>118500</v>
      </c>
      <c r="I1518" t="s">
        <v>22</v>
      </c>
      <c r="J1518" t="s">
        <v>22</v>
      </c>
      <c r="K1518" t="s">
        <v>4157</v>
      </c>
      <c r="L1518" t="s">
        <v>318</v>
      </c>
      <c r="M1518" t="s">
        <v>19</v>
      </c>
      <c r="N1518">
        <v>2</v>
      </c>
      <c r="O1518" t="s">
        <v>227</v>
      </c>
      <c r="P1518" t="s">
        <v>21</v>
      </c>
      <c r="Q1518" t="s">
        <v>30</v>
      </c>
      <c r="R1518" t="str">
        <f>VLOOKUP($O1518,'Mapa Oficinas'!$A$7:$C$46,2,FALSE)</f>
        <v>Zona Oeste (GBA)</v>
      </c>
      <c r="S1518" t="str">
        <f>VLOOKUP($O1518,'Mapa Oficinas'!$A$7:$C$46,3,FALSE)</f>
        <v>Parque Leloir</v>
      </c>
    </row>
    <row r="1519" spans="1:19" x14ac:dyDescent="0.2">
      <c r="A1519" s="1">
        <v>45925</v>
      </c>
      <c r="B1519" t="s">
        <v>4178</v>
      </c>
      <c r="D1519" t="s">
        <v>4179</v>
      </c>
      <c r="E1519" t="s">
        <v>16</v>
      </c>
      <c r="F1519" t="s">
        <v>17</v>
      </c>
      <c r="G1519" s="14">
        <v>130000</v>
      </c>
      <c r="H1519" s="14">
        <v>129000</v>
      </c>
      <c r="I1519" t="s">
        <v>22</v>
      </c>
      <c r="J1519" t="s">
        <v>22</v>
      </c>
      <c r="K1519" t="s">
        <v>3746</v>
      </c>
      <c r="L1519" t="s">
        <v>79</v>
      </c>
      <c r="M1519" t="s">
        <v>19</v>
      </c>
      <c r="N1519">
        <v>2</v>
      </c>
      <c r="O1519" t="s">
        <v>103</v>
      </c>
      <c r="P1519" t="s">
        <v>1578</v>
      </c>
      <c r="Q1519" t="s">
        <v>30</v>
      </c>
      <c r="R1519" t="str">
        <f>VLOOKUP($O1519,'Mapa Oficinas'!$A$7:$C$46,2,FALSE)</f>
        <v>CABA</v>
      </c>
      <c r="S1519" t="str">
        <f>VLOOKUP($O1519,'Mapa Oficinas'!$A$7:$C$46,3,FALSE)</f>
        <v>Barrio Parque</v>
      </c>
    </row>
    <row r="1520" spans="1:19" x14ac:dyDescent="0.2">
      <c r="A1520" s="1">
        <v>45925</v>
      </c>
      <c r="B1520" t="s">
        <v>4180</v>
      </c>
      <c r="D1520" t="s">
        <v>4181</v>
      </c>
      <c r="E1520" t="s">
        <v>16</v>
      </c>
      <c r="F1520" t="s">
        <v>17</v>
      </c>
      <c r="G1520" s="14">
        <v>181700</v>
      </c>
      <c r="H1520" s="14">
        <v>179000</v>
      </c>
      <c r="I1520" t="s">
        <v>22</v>
      </c>
      <c r="J1520" t="s">
        <v>22</v>
      </c>
      <c r="K1520" t="s">
        <v>4182</v>
      </c>
      <c r="L1520" t="s">
        <v>856</v>
      </c>
      <c r="M1520" t="s">
        <v>19</v>
      </c>
      <c r="N1520">
        <v>2</v>
      </c>
      <c r="O1520" t="s">
        <v>547</v>
      </c>
      <c r="P1520" t="s">
        <v>21</v>
      </c>
      <c r="Q1520" t="s">
        <v>30</v>
      </c>
      <c r="R1520" t="str">
        <f>VLOOKUP($O1520,'Mapa Oficinas'!$A$7:$C$46,2,FALSE)</f>
        <v>CABA</v>
      </c>
      <c r="S1520" t="str">
        <f>VLOOKUP($O1520,'Mapa Oficinas'!$A$7:$C$46,3,FALSE)</f>
        <v>Núñez</v>
      </c>
    </row>
    <row r="1521" spans="1:19" x14ac:dyDescent="0.2">
      <c r="A1521" s="1">
        <v>45925</v>
      </c>
      <c r="B1521" t="s">
        <v>4167</v>
      </c>
      <c r="D1521" t="s">
        <v>4168</v>
      </c>
      <c r="E1521" t="s">
        <v>16</v>
      </c>
      <c r="F1521" t="s">
        <v>17</v>
      </c>
      <c r="G1521" s="14">
        <v>280000</v>
      </c>
      <c r="H1521" s="14">
        <v>191000</v>
      </c>
      <c r="I1521" t="s">
        <v>22</v>
      </c>
      <c r="J1521" t="s">
        <v>22</v>
      </c>
      <c r="L1521" t="s">
        <v>604</v>
      </c>
      <c r="M1521" t="s">
        <v>97</v>
      </c>
      <c r="N1521">
        <v>2</v>
      </c>
      <c r="O1521" t="s">
        <v>142</v>
      </c>
      <c r="P1521" t="s">
        <v>41</v>
      </c>
      <c r="Q1521" t="s">
        <v>30</v>
      </c>
      <c r="R1521" t="str">
        <f>VLOOKUP($O1521,'Mapa Oficinas'!$A$7:$C$46,2,FALSE)</f>
        <v>Zona Norte (GBA)</v>
      </c>
      <c r="S1521" t="str">
        <f>VLOOKUP($O1521,'Mapa Oficinas'!$A$7:$C$46,3,FALSE)</f>
        <v>Nordelta</v>
      </c>
    </row>
    <row r="1522" spans="1:19" x14ac:dyDescent="0.2">
      <c r="A1522" s="1">
        <v>45925</v>
      </c>
      <c r="B1522" t="s">
        <v>4164</v>
      </c>
      <c r="D1522" t="s">
        <v>4165</v>
      </c>
      <c r="E1522" t="s">
        <v>16</v>
      </c>
      <c r="F1522" t="s">
        <v>82</v>
      </c>
      <c r="G1522" s="14">
        <v>189000</v>
      </c>
      <c r="H1522" s="14">
        <v>290000</v>
      </c>
      <c r="I1522" t="s">
        <v>22</v>
      </c>
      <c r="J1522" t="s">
        <v>22</v>
      </c>
      <c r="K1522" t="s">
        <v>4166</v>
      </c>
      <c r="L1522" t="s">
        <v>258</v>
      </c>
      <c r="M1522" t="s">
        <v>28</v>
      </c>
      <c r="N1522">
        <v>2</v>
      </c>
      <c r="O1522" t="s">
        <v>29</v>
      </c>
      <c r="P1522" t="s">
        <v>276</v>
      </c>
      <c r="Q1522" t="s">
        <v>30</v>
      </c>
      <c r="R1522" t="str">
        <f>VLOOKUP($O1522,'Mapa Oficinas'!$A$7:$C$46,2,FALSE)</f>
        <v>CABA</v>
      </c>
      <c r="S1522" t="str">
        <f>VLOOKUP($O1522,'Mapa Oficinas'!$A$7:$C$46,3,FALSE)</f>
        <v>Núñez</v>
      </c>
    </row>
    <row r="1523" spans="1:19" x14ac:dyDescent="0.2">
      <c r="A1523" s="1">
        <v>45925</v>
      </c>
      <c r="B1523" t="s">
        <v>4175</v>
      </c>
      <c r="D1523" t="s">
        <v>4176</v>
      </c>
      <c r="E1523" t="s">
        <v>16</v>
      </c>
      <c r="F1523" t="s">
        <v>17</v>
      </c>
      <c r="G1523" s="14">
        <v>315000</v>
      </c>
      <c r="H1523" s="14">
        <v>302500</v>
      </c>
      <c r="I1523" t="s">
        <v>22</v>
      </c>
      <c r="J1523" t="s">
        <v>22</v>
      </c>
      <c r="K1523" t="s">
        <v>4177</v>
      </c>
      <c r="L1523" t="s">
        <v>503</v>
      </c>
      <c r="M1523" t="s">
        <v>19</v>
      </c>
      <c r="N1523">
        <v>2</v>
      </c>
      <c r="O1523" t="s">
        <v>103</v>
      </c>
      <c r="P1523" t="s">
        <v>276</v>
      </c>
      <c r="Q1523" t="s">
        <v>30</v>
      </c>
      <c r="R1523" t="str">
        <f>VLOOKUP($O1523,'Mapa Oficinas'!$A$7:$C$46,2,FALSE)</f>
        <v>CABA</v>
      </c>
      <c r="S1523" t="str">
        <f>VLOOKUP($O1523,'Mapa Oficinas'!$A$7:$C$46,3,FALSE)</f>
        <v>Barrio Parque</v>
      </c>
    </row>
    <row r="1524" spans="1:19" x14ac:dyDescent="0.2">
      <c r="A1524" s="1">
        <v>45925</v>
      </c>
      <c r="D1524" t="s">
        <v>4183</v>
      </c>
      <c r="E1524" t="s">
        <v>16</v>
      </c>
      <c r="F1524" t="s">
        <v>896</v>
      </c>
      <c r="G1524" s="14">
        <v>1250000</v>
      </c>
      <c r="H1524" s="14">
        <v>1250000</v>
      </c>
      <c r="I1524" t="s">
        <v>22</v>
      </c>
      <c r="J1524" t="s">
        <v>22</v>
      </c>
      <c r="K1524" t="s">
        <v>4184</v>
      </c>
      <c r="L1524" t="s">
        <v>442</v>
      </c>
      <c r="M1524" t="s">
        <v>97</v>
      </c>
      <c r="N1524">
        <v>2</v>
      </c>
      <c r="O1524" t="s">
        <v>98</v>
      </c>
      <c r="P1524" t="s">
        <v>21</v>
      </c>
      <c r="Q1524" t="s">
        <v>30</v>
      </c>
      <c r="R1524" t="str">
        <f>VLOOKUP($O1524,'Mapa Oficinas'!$A$7:$C$46,2,FALSE)</f>
        <v>Interior - Neuquén</v>
      </c>
      <c r="S1524" t="str">
        <f>VLOOKUP($O1524,'Mapa Oficinas'!$A$7:$C$46,3,FALSE)</f>
        <v>Villa La Angostura</v>
      </c>
    </row>
    <row r="1525" spans="1:19" x14ac:dyDescent="0.2">
      <c r="A1525" s="1">
        <v>45925</v>
      </c>
      <c r="D1525" t="s">
        <v>4183</v>
      </c>
      <c r="E1525" t="s">
        <v>16</v>
      </c>
      <c r="F1525" t="s">
        <v>896</v>
      </c>
      <c r="G1525" s="14">
        <v>1250000</v>
      </c>
      <c r="H1525" s="14">
        <v>1250000</v>
      </c>
      <c r="I1525" t="s">
        <v>22</v>
      </c>
      <c r="J1525" t="s">
        <v>22</v>
      </c>
      <c r="K1525" t="s">
        <v>4185</v>
      </c>
      <c r="L1525" t="s">
        <v>442</v>
      </c>
      <c r="M1525" t="s">
        <v>97</v>
      </c>
      <c r="N1525">
        <v>2</v>
      </c>
      <c r="O1525" t="s">
        <v>98</v>
      </c>
      <c r="P1525" t="s">
        <v>21</v>
      </c>
      <c r="Q1525" t="s">
        <v>30</v>
      </c>
      <c r="R1525" t="str">
        <f>VLOOKUP($O1525,'Mapa Oficinas'!$A$7:$C$46,2,FALSE)</f>
        <v>Interior - Neuquén</v>
      </c>
      <c r="S1525" t="str">
        <f>VLOOKUP($O1525,'Mapa Oficinas'!$A$7:$C$46,3,FALSE)</f>
        <v>Villa La Angostura</v>
      </c>
    </row>
    <row r="1526" spans="1:19" x14ac:dyDescent="0.2">
      <c r="A1526" s="1">
        <v>45926</v>
      </c>
      <c r="B1526" t="s">
        <v>4136</v>
      </c>
      <c r="D1526" t="s">
        <v>4137</v>
      </c>
      <c r="E1526" t="s">
        <v>16</v>
      </c>
      <c r="F1526" t="s">
        <v>82</v>
      </c>
      <c r="G1526" s="14">
        <v>65000</v>
      </c>
      <c r="H1526" s="14">
        <v>62000</v>
      </c>
      <c r="I1526" t="s">
        <v>22</v>
      </c>
      <c r="J1526" t="s">
        <v>22</v>
      </c>
      <c r="K1526" t="s">
        <v>4138</v>
      </c>
      <c r="L1526" t="s">
        <v>3393</v>
      </c>
      <c r="M1526" t="s">
        <v>28</v>
      </c>
      <c r="N1526">
        <v>2</v>
      </c>
      <c r="O1526" t="s">
        <v>85</v>
      </c>
      <c r="P1526" t="s">
        <v>41</v>
      </c>
      <c r="Q1526" t="s">
        <v>30</v>
      </c>
      <c r="R1526" t="str">
        <f>VLOOKUP($O1526,'Mapa Oficinas'!$A$7:$C$46,2,FALSE)</f>
        <v>Interior - Jujuy</v>
      </c>
      <c r="S1526" t="str">
        <f>VLOOKUP($O1526,'Mapa Oficinas'!$A$7:$C$46,3,FALSE)</f>
        <v>Capital Jujuy</v>
      </c>
    </row>
    <row r="1527" spans="1:19" x14ac:dyDescent="0.2">
      <c r="A1527" s="1">
        <v>45926</v>
      </c>
      <c r="B1527" t="s">
        <v>4133</v>
      </c>
      <c r="D1527" t="s">
        <v>4134</v>
      </c>
      <c r="E1527" t="s">
        <v>16</v>
      </c>
      <c r="F1527" t="s">
        <v>82</v>
      </c>
      <c r="G1527" s="14">
        <v>78000</v>
      </c>
      <c r="H1527" s="14">
        <v>76000</v>
      </c>
      <c r="I1527" t="s">
        <v>22</v>
      </c>
      <c r="J1527" t="s">
        <v>22</v>
      </c>
      <c r="K1527" t="s">
        <v>4135</v>
      </c>
      <c r="L1527" t="s">
        <v>54</v>
      </c>
      <c r="M1527" t="s">
        <v>19</v>
      </c>
      <c r="N1527">
        <v>1</v>
      </c>
      <c r="O1527" t="s">
        <v>55</v>
      </c>
      <c r="P1527" t="s">
        <v>131</v>
      </c>
      <c r="Q1527" t="s">
        <v>30</v>
      </c>
      <c r="R1527" t="str">
        <f>VLOOKUP($O1527,'Mapa Oficinas'!$A$7:$C$46,2,FALSE)</f>
        <v>Interior - Santa Fe</v>
      </c>
      <c r="S1527" t="str">
        <f>VLOOKUP($O1527,'Mapa Oficinas'!$A$7:$C$46,3,FALSE)</f>
        <v>Capital Santa Fe</v>
      </c>
    </row>
    <row r="1528" spans="1:19" x14ac:dyDescent="0.2">
      <c r="A1528" s="1">
        <v>45926</v>
      </c>
      <c r="B1528" t="s">
        <v>3702</v>
      </c>
      <c r="D1528" t="s">
        <v>3703</v>
      </c>
      <c r="E1528" t="s">
        <v>16</v>
      </c>
      <c r="F1528" t="s">
        <v>1708</v>
      </c>
      <c r="G1528" s="14">
        <v>78000</v>
      </c>
      <c r="H1528" s="14">
        <v>78000</v>
      </c>
      <c r="I1528" t="s">
        <v>22</v>
      </c>
      <c r="J1528" t="s">
        <v>22</v>
      </c>
      <c r="K1528" t="s">
        <v>3704</v>
      </c>
      <c r="L1528" t="s">
        <v>3705</v>
      </c>
      <c r="M1528" t="s">
        <v>28</v>
      </c>
      <c r="N1528">
        <v>2</v>
      </c>
      <c r="O1528" t="s">
        <v>151</v>
      </c>
      <c r="P1528" t="s">
        <v>21</v>
      </c>
      <c r="Q1528" t="s">
        <v>30</v>
      </c>
      <c r="R1528" t="str">
        <f>VLOOKUP($O1528,'Mapa Oficinas'!$A$7:$C$46,2,FALSE)</f>
        <v>Interior - Neuquén</v>
      </c>
      <c r="S1528" t="str">
        <f>VLOOKUP($O1528,'Mapa Oficinas'!$A$7:$C$46,3,FALSE)</f>
        <v>Capital Neuquén</v>
      </c>
    </row>
    <row r="1529" spans="1:19" x14ac:dyDescent="0.2">
      <c r="A1529" s="1">
        <v>45926</v>
      </c>
      <c r="B1529" t="s">
        <v>4142</v>
      </c>
      <c r="D1529" t="s">
        <v>4143</v>
      </c>
      <c r="E1529" t="s">
        <v>16</v>
      </c>
      <c r="F1529" t="s">
        <v>17</v>
      </c>
      <c r="G1529" s="14">
        <v>103000</v>
      </c>
      <c r="H1529" s="14">
        <v>93000</v>
      </c>
      <c r="I1529" t="s">
        <v>22</v>
      </c>
      <c r="J1529" t="s">
        <v>22</v>
      </c>
      <c r="K1529" t="s">
        <v>4144</v>
      </c>
      <c r="L1529" t="s">
        <v>111</v>
      </c>
      <c r="M1529" t="s">
        <v>19</v>
      </c>
      <c r="N1529">
        <v>2</v>
      </c>
      <c r="O1529" t="s">
        <v>103</v>
      </c>
      <c r="P1529" t="s">
        <v>276</v>
      </c>
      <c r="Q1529" t="s">
        <v>30</v>
      </c>
      <c r="R1529" t="str">
        <f>VLOOKUP($O1529,'Mapa Oficinas'!$A$7:$C$46,2,FALSE)</f>
        <v>CABA</v>
      </c>
      <c r="S1529" t="str">
        <f>VLOOKUP($O1529,'Mapa Oficinas'!$A$7:$C$46,3,FALSE)</f>
        <v>Barrio Parque</v>
      </c>
    </row>
    <row r="1530" spans="1:19" x14ac:dyDescent="0.2">
      <c r="A1530" s="1">
        <v>45926</v>
      </c>
      <c r="B1530" t="s">
        <v>4147</v>
      </c>
      <c r="D1530" t="s">
        <v>4148</v>
      </c>
      <c r="E1530" t="s">
        <v>16</v>
      </c>
      <c r="F1530" t="s">
        <v>17</v>
      </c>
      <c r="G1530" s="14">
        <v>110000</v>
      </c>
      <c r="H1530" s="14">
        <v>105000</v>
      </c>
      <c r="I1530" t="s">
        <v>22</v>
      </c>
      <c r="J1530" t="s">
        <v>22</v>
      </c>
      <c r="K1530" t="s">
        <v>4149</v>
      </c>
      <c r="L1530" t="s">
        <v>1064</v>
      </c>
      <c r="M1530" t="s">
        <v>19</v>
      </c>
      <c r="N1530">
        <v>2</v>
      </c>
      <c r="O1530" t="s">
        <v>103</v>
      </c>
      <c r="P1530" t="s">
        <v>276</v>
      </c>
      <c r="Q1530" t="s">
        <v>30</v>
      </c>
      <c r="R1530" t="str">
        <f>VLOOKUP($O1530,'Mapa Oficinas'!$A$7:$C$46,2,FALSE)</f>
        <v>CABA</v>
      </c>
      <c r="S1530" t="str">
        <f>VLOOKUP($O1530,'Mapa Oficinas'!$A$7:$C$46,3,FALSE)</f>
        <v>Barrio Parque</v>
      </c>
    </row>
    <row r="1531" spans="1:19" x14ac:dyDescent="0.2">
      <c r="A1531" s="1">
        <v>45926</v>
      </c>
      <c r="B1531" t="s">
        <v>4145</v>
      </c>
      <c r="D1531" t="s">
        <v>4146</v>
      </c>
      <c r="E1531" t="s">
        <v>16</v>
      </c>
      <c r="F1531" t="s">
        <v>17</v>
      </c>
      <c r="G1531" s="14">
        <v>140000</v>
      </c>
      <c r="H1531" s="14">
        <v>140000</v>
      </c>
      <c r="I1531" t="s">
        <v>22</v>
      </c>
      <c r="J1531" t="s">
        <v>22</v>
      </c>
      <c r="L1531" t="s">
        <v>1064</v>
      </c>
      <c r="M1531" t="s">
        <v>19</v>
      </c>
      <c r="N1531">
        <v>2</v>
      </c>
      <c r="O1531" t="s">
        <v>20</v>
      </c>
      <c r="P1531" t="s">
        <v>41</v>
      </c>
      <c r="Q1531" t="s">
        <v>30</v>
      </c>
      <c r="R1531" t="str">
        <f>VLOOKUP($O1531,'Mapa Oficinas'!$A$7:$C$46,2,FALSE)</f>
        <v>CABA</v>
      </c>
      <c r="S1531" t="str">
        <f>VLOOKUP($O1531,'Mapa Oficinas'!$A$7:$C$46,3,FALSE)</f>
        <v>Palermo</v>
      </c>
    </row>
    <row r="1532" spans="1:19" x14ac:dyDescent="0.2">
      <c r="A1532" s="1">
        <v>45926</v>
      </c>
      <c r="B1532" t="s">
        <v>4130</v>
      </c>
      <c r="D1532" t="s">
        <v>4131</v>
      </c>
      <c r="E1532" t="s">
        <v>16</v>
      </c>
      <c r="F1532" t="s">
        <v>17</v>
      </c>
      <c r="G1532" s="14">
        <v>525000</v>
      </c>
      <c r="H1532" s="14">
        <v>460000</v>
      </c>
      <c r="I1532" t="s">
        <v>22</v>
      </c>
      <c r="J1532" t="s">
        <v>22</v>
      </c>
      <c r="K1532" t="s">
        <v>4132</v>
      </c>
      <c r="L1532" t="s">
        <v>1608</v>
      </c>
      <c r="M1532" t="s">
        <v>28</v>
      </c>
      <c r="N1532">
        <v>2</v>
      </c>
      <c r="O1532" t="s">
        <v>103</v>
      </c>
      <c r="P1532" t="s">
        <v>21</v>
      </c>
      <c r="Q1532" t="s">
        <v>30</v>
      </c>
      <c r="R1532" t="str">
        <f>VLOOKUP($O1532,'Mapa Oficinas'!$A$7:$C$46,2,FALSE)</f>
        <v>CABA</v>
      </c>
      <c r="S1532" t="str">
        <f>VLOOKUP($O1532,'Mapa Oficinas'!$A$7:$C$46,3,FALSE)</f>
        <v>Barrio Parque</v>
      </c>
    </row>
    <row r="1533" spans="1:19" x14ac:dyDescent="0.2">
      <c r="A1533" s="1">
        <v>45927</v>
      </c>
      <c r="D1533" t="s">
        <v>4124</v>
      </c>
      <c r="E1533" t="s">
        <v>16</v>
      </c>
      <c r="F1533" t="s">
        <v>896</v>
      </c>
      <c r="G1533" s="14">
        <v>120000</v>
      </c>
      <c r="H1533" s="14">
        <v>120000</v>
      </c>
      <c r="I1533" t="s">
        <v>22</v>
      </c>
      <c r="J1533" t="s">
        <v>22</v>
      </c>
      <c r="K1533" t="s">
        <v>4125</v>
      </c>
      <c r="L1533" t="s">
        <v>366</v>
      </c>
      <c r="M1533" t="s">
        <v>19</v>
      </c>
      <c r="N1533">
        <v>1</v>
      </c>
      <c r="O1533" t="s">
        <v>367</v>
      </c>
      <c r="P1533" t="s">
        <v>131</v>
      </c>
      <c r="Q1533" t="s">
        <v>30</v>
      </c>
      <c r="R1533" t="str">
        <f>VLOOKUP($O1533,'Mapa Oficinas'!$A$7:$C$46,2,FALSE)</f>
        <v>Interior - Neuquén</v>
      </c>
      <c r="S1533" t="str">
        <f>VLOOKUP($O1533,'Mapa Oficinas'!$A$7:$C$46,3,FALSE)</f>
        <v>San Martín de los Andes</v>
      </c>
    </row>
    <row r="1534" spans="1:19" x14ac:dyDescent="0.2">
      <c r="A1534" s="1">
        <v>45928</v>
      </c>
      <c r="B1534" t="s">
        <v>4121</v>
      </c>
      <c r="D1534" t="s">
        <v>4122</v>
      </c>
      <c r="E1534" t="s">
        <v>16</v>
      </c>
      <c r="F1534" t="s">
        <v>17</v>
      </c>
      <c r="G1534" s="14">
        <v>195000</v>
      </c>
      <c r="H1534" s="14">
        <v>190000</v>
      </c>
      <c r="I1534" t="s">
        <v>22</v>
      </c>
      <c r="J1534" t="s">
        <v>22</v>
      </c>
      <c r="K1534" t="s">
        <v>4123</v>
      </c>
      <c r="L1534" t="s">
        <v>2518</v>
      </c>
      <c r="M1534" t="s">
        <v>28</v>
      </c>
      <c r="N1534">
        <v>2</v>
      </c>
      <c r="O1534" t="s">
        <v>142</v>
      </c>
      <c r="P1534" t="s">
        <v>41</v>
      </c>
      <c r="Q1534" t="s">
        <v>30</v>
      </c>
      <c r="R1534" t="str">
        <f>VLOOKUP($O1534,'Mapa Oficinas'!$A$7:$C$46,2,FALSE)</f>
        <v>Zona Norte (GBA)</v>
      </c>
      <c r="S1534" t="str">
        <f>VLOOKUP($O1534,'Mapa Oficinas'!$A$7:$C$46,3,FALSE)</f>
        <v>Nordelta</v>
      </c>
    </row>
    <row r="1535" spans="1:19" x14ac:dyDescent="0.2">
      <c r="A1535" s="1">
        <v>45929</v>
      </c>
      <c r="B1535" t="s">
        <v>4119</v>
      </c>
      <c r="D1535" t="s">
        <v>1298</v>
      </c>
      <c r="E1535" t="s">
        <v>16</v>
      </c>
      <c r="F1535" t="s">
        <v>17</v>
      </c>
      <c r="G1535" s="14">
        <v>145000</v>
      </c>
      <c r="H1535" s="14">
        <v>143000</v>
      </c>
      <c r="I1535" t="s">
        <v>22</v>
      </c>
      <c r="J1535" t="s">
        <v>22</v>
      </c>
      <c r="K1535" t="s">
        <v>4120</v>
      </c>
      <c r="L1535" t="s">
        <v>189</v>
      </c>
      <c r="M1535" t="s">
        <v>19</v>
      </c>
      <c r="N1535">
        <v>1</v>
      </c>
      <c r="O1535" t="s">
        <v>151</v>
      </c>
      <c r="P1535" t="s">
        <v>66</v>
      </c>
      <c r="Q1535" t="s">
        <v>30</v>
      </c>
      <c r="R1535" t="str">
        <f>VLOOKUP($O1535,'Mapa Oficinas'!$A$7:$C$46,2,FALSE)</f>
        <v>Interior - Neuquén</v>
      </c>
      <c r="S1535" t="str">
        <f>VLOOKUP($O1535,'Mapa Oficinas'!$A$7:$C$46,3,FALSE)</f>
        <v>Capital Neuquén</v>
      </c>
    </row>
    <row r="1536" spans="1:19" x14ac:dyDescent="0.2">
      <c r="A1536" s="1">
        <v>45929</v>
      </c>
      <c r="B1536" t="s">
        <v>4108</v>
      </c>
      <c r="D1536" t="s">
        <v>4109</v>
      </c>
      <c r="E1536" t="s">
        <v>16</v>
      </c>
      <c r="F1536" t="s">
        <v>896</v>
      </c>
      <c r="G1536" s="14">
        <v>165000</v>
      </c>
      <c r="H1536" s="14">
        <v>160000</v>
      </c>
      <c r="I1536" t="s">
        <v>22</v>
      </c>
      <c r="J1536" t="s">
        <v>22</v>
      </c>
      <c r="K1536" t="s">
        <v>4110</v>
      </c>
      <c r="L1536" t="s">
        <v>1931</v>
      </c>
      <c r="M1536" t="s">
        <v>19</v>
      </c>
      <c r="N1536">
        <v>2</v>
      </c>
      <c r="O1536" t="s">
        <v>98</v>
      </c>
      <c r="P1536" t="s">
        <v>41</v>
      </c>
      <c r="Q1536" t="s">
        <v>30</v>
      </c>
      <c r="R1536" t="str">
        <f>VLOOKUP($O1536,'Mapa Oficinas'!$A$7:$C$46,2,FALSE)</f>
        <v>Interior - Neuquén</v>
      </c>
      <c r="S1536" t="str">
        <f>VLOOKUP($O1536,'Mapa Oficinas'!$A$7:$C$46,3,FALSE)</f>
        <v>Villa La Angostura</v>
      </c>
    </row>
    <row r="1537" spans="1:19" x14ac:dyDescent="0.2">
      <c r="A1537" s="1">
        <v>45929</v>
      </c>
      <c r="B1537" t="s">
        <v>4111</v>
      </c>
      <c r="D1537" t="s">
        <v>4112</v>
      </c>
      <c r="E1537" t="s">
        <v>16</v>
      </c>
      <c r="F1537" t="s">
        <v>17</v>
      </c>
      <c r="G1537" s="14">
        <v>340000</v>
      </c>
      <c r="H1537" s="14">
        <v>300000</v>
      </c>
      <c r="I1537" t="s">
        <v>22</v>
      </c>
      <c r="J1537" t="s">
        <v>22</v>
      </c>
      <c r="K1537" t="s">
        <v>4113</v>
      </c>
      <c r="L1537" t="s">
        <v>4114</v>
      </c>
      <c r="M1537" t="s">
        <v>19</v>
      </c>
      <c r="N1537">
        <v>2</v>
      </c>
      <c r="O1537" t="s">
        <v>151</v>
      </c>
      <c r="P1537" t="s">
        <v>21</v>
      </c>
      <c r="Q1537" t="s">
        <v>30</v>
      </c>
      <c r="R1537" t="str">
        <f>VLOOKUP($O1537,'Mapa Oficinas'!$A$7:$C$46,2,FALSE)</f>
        <v>Interior - Neuquén</v>
      </c>
      <c r="S1537" t="str">
        <f>VLOOKUP($O1537,'Mapa Oficinas'!$A$7:$C$46,3,FALSE)</f>
        <v>Capital Neuquén</v>
      </c>
    </row>
    <row r="1538" spans="1:19" x14ac:dyDescent="0.2">
      <c r="A1538" s="1">
        <v>45930</v>
      </c>
      <c r="B1538" t="s">
        <v>3720</v>
      </c>
      <c r="D1538" t="s">
        <v>3720</v>
      </c>
      <c r="E1538" t="s">
        <v>16</v>
      </c>
      <c r="F1538" t="s">
        <v>17</v>
      </c>
      <c r="G1538" s="14">
        <v>45000</v>
      </c>
      <c r="H1538" s="14">
        <v>45000</v>
      </c>
      <c r="I1538" t="s">
        <v>22</v>
      </c>
      <c r="J1538" t="s">
        <v>22</v>
      </c>
      <c r="K1538" t="s">
        <v>3720</v>
      </c>
      <c r="L1538" t="s">
        <v>523</v>
      </c>
      <c r="M1538" t="s">
        <v>72</v>
      </c>
      <c r="N1538">
        <v>2</v>
      </c>
      <c r="O1538" t="s">
        <v>50</v>
      </c>
      <c r="P1538" t="s">
        <v>21</v>
      </c>
      <c r="Q1538" t="s">
        <v>30</v>
      </c>
      <c r="R1538" t="str">
        <f>VLOOKUP($O1538,'Mapa Oficinas'!$A$7:$C$46,2,FALSE)</f>
        <v>CABA</v>
      </c>
      <c r="S1538" t="str">
        <f>VLOOKUP($O1538,'Mapa Oficinas'!$A$7:$C$46,3,FALSE)</f>
        <v>Villa Urquiza</v>
      </c>
    </row>
    <row r="1539" spans="1:19" x14ac:dyDescent="0.2">
      <c r="A1539" s="1">
        <v>45930</v>
      </c>
      <c r="B1539" t="s">
        <v>4057</v>
      </c>
      <c r="D1539" t="s">
        <v>4058</v>
      </c>
      <c r="E1539" t="s">
        <v>16</v>
      </c>
      <c r="F1539" t="s">
        <v>134</v>
      </c>
      <c r="G1539" s="14">
        <v>52000</v>
      </c>
      <c r="H1539" s="14">
        <v>47000</v>
      </c>
      <c r="I1539" t="s">
        <v>22</v>
      </c>
      <c r="J1539" t="s">
        <v>22</v>
      </c>
      <c r="K1539" t="s">
        <v>4059</v>
      </c>
      <c r="L1539" t="s">
        <v>4060</v>
      </c>
      <c r="M1539" t="s">
        <v>28</v>
      </c>
      <c r="N1539">
        <v>2</v>
      </c>
      <c r="O1539" t="s">
        <v>55</v>
      </c>
      <c r="P1539" t="s">
        <v>21</v>
      </c>
      <c r="Q1539" t="s">
        <v>30</v>
      </c>
      <c r="R1539" t="str">
        <f>VLOOKUP($O1539,'Mapa Oficinas'!$A$7:$C$46,2,FALSE)</f>
        <v>Interior - Santa Fe</v>
      </c>
      <c r="S1539" t="str">
        <f>VLOOKUP($O1539,'Mapa Oficinas'!$A$7:$C$46,3,FALSE)</f>
        <v>Capital Santa Fe</v>
      </c>
    </row>
    <row r="1540" spans="1:19" x14ac:dyDescent="0.2">
      <c r="A1540" s="1">
        <v>45930</v>
      </c>
      <c r="B1540">
        <v>30092025</v>
      </c>
      <c r="D1540" t="s">
        <v>4073</v>
      </c>
      <c r="E1540" t="s">
        <v>16</v>
      </c>
      <c r="F1540" t="s">
        <v>184</v>
      </c>
      <c r="G1540" s="14">
        <v>51000</v>
      </c>
      <c r="H1540" s="14">
        <v>51000</v>
      </c>
      <c r="I1540" t="s">
        <v>22</v>
      </c>
      <c r="J1540" t="s">
        <v>22</v>
      </c>
      <c r="L1540" t="s">
        <v>1249</v>
      </c>
      <c r="M1540" t="s">
        <v>19</v>
      </c>
      <c r="N1540">
        <v>2</v>
      </c>
      <c r="O1540" t="s">
        <v>130</v>
      </c>
      <c r="P1540" t="s">
        <v>256</v>
      </c>
      <c r="Q1540" t="s">
        <v>30</v>
      </c>
      <c r="R1540" t="str">
        <f>VLOOKUP($O1540,'Mapa Oficinas'!$A$7:$C$46,2,FALSE)</f>
        <v>Interior - Río Negro</v>
      </c>
      <c r="S1540" t="str">
        <f>VLOOKUP($O1540,'Mapa Oficinas'!$A$7:$C$46,3,FALSE)</f>
        <v>Bariloche</v>
      </c>
    </row>
    <row r="1541" spans="1:19" x14ac:dyDescent="0.2">
      <c r="A1541" s="1">
        <v>45930</v>
      </c>
      <c r="B1541" t="s">
        <v>4093</v>
      </c>
      <c r="D1541" t="s">
        <v>4094</v>
      </c>
      <c r="E1541" t="s">
        <v>16</v>
      </c>
      <c r="F1541" t="s">
        <v>17</v>
      </c>
      <c r="G1541" s="14">
        <v>75000</v>
      </c>
      <c r="H1541" s="14">
        <v>70000</v>
      </c>
      <c r="I1541" t="s">
        <v>22</v>
      </c>
      <c r="J1541" t="s">
        <v>22</v>
      </c>
      <c r="K1541" t="s">
        <v>4095</v>
      </c>
      <c r="L1541" t="s">
        <v>4096</v>
      </c>
      <c r="M1541" t="s">
        <v>72</v>
      </c>
      <c r="N1541">
        <v>2</v>
      </c>
      <c r="O1541" t="s">
        <v>103</v>
      </c>
      <c r="P1541" t="s">
        <v>21</v>
      </c>
      <c r="Q1541" t="s">
        <v>30</v>
      </c>
      <c r="R1541" t="str">
        <f>VLOOKUP($O1541,'Mapa Oficinas'!$A$7:$C$46,2,FALSE)</f>
        <v>CABA</v>
      </c>
      <c r="S1541" t="str">
        <f>VLOOKUP($O1541,'Mapa Oficinas'!$A$7:$C$46,3,FALSE)</f>
        <v>Barrio Parque</v>
      </c>
    </row>
    <row r="1542" spans="1:19" x14ac:dyDescent="0.2">
      <c r="A1542" s="1">
        <v>45930</v>
      </c>
      <c r="B1542" t="s">
        <v>4090</v>
      </c>
      <c r="D1542" t="s">
        <v>4091</v>
      </c>
      <c r="E1542" t="s">
        <v>16</v>
      </c>
      <c r="F1542" t="s">
        <v>17</v>
      </c>
      <c r="G1542" s="14">
        <v>87000</v>
      </c>
      <c r="H1542" s="14">
        <v>85000</v>
      </c>
      <c r="I1542" t="s">
        <v>22</v>
      </c>
      <c r="J1542" t="s">
        <v>22</v>
      </c>
      <c r="K1542" t="s">
        <v>4092</v>
      </c>
      <c r="L1542" t="s">
        <v>205</v>
      </c>
      <c r="M1542" t="s">
        <v>19</v>
      </c>
      <c r="N1542">
        <v>2</v>
      </c>
      <c r="O1542" t="s">
        <v>103</v>
      </c>
      <c r="P1542" t="s">
        <v>21</v>
      </c>
      <c r="Q1542" t="s">
        <v>30</v>
      </c>
      <c r="R1542" t="str">
        <f>VLOOKUP($O1542,'Mapa Oficinas'!$A$7:$C$46,2,FALSE)</f>
        <v>CABA</v>
      </c>
      <c r="S1542" t="str">
        <f>VLOOKUP($O1542,'Mapa Oficinas'!$A$7:$C$46,3,FALSE)</f>
        <v>Barrio Parque</v>
      </c>
    </row>
    <row r="1543" spans="1:19" x14ac:dyDescent="0.2">
      <c r="A1543" s="1">
        <v>45930</v>
      </c>
      <c r="B1543" t="s">
        <v>4074</v>
      </c>
      <c r="D1543" t="s">
        <v>4075</v>
      </c>
      <c r="E1543" t="s">
        <v>16</v>
      </c>
      <c r="F1543" t="s">
        <v>17</v>
      </c>
      <c r="G1543" s="14">
        <v>98000</v>
      </c>
      <c r="H1543" s="14">
        <v>92000</v>
      </c>
      <c r="I1543" t="s">
        <v>22</v>
      </c>
      <c r="J1543" t="s">
        <v>22</v>
      </c>
      <c r="K1543" t="s">
        <v>4076</v>
      </c>
      <c r="L1543" t="s">
        <v>1368</v>
      </c>
      <c r="M1543" t="s">
        <v>72</v>
      </c>
      <c r="N1543">
        <v>2</v>
      </c>
      <c r="O1543" t="s">
        <v>35</v>
      </c>
      <c r="P1543" t="s">
        <v>21</v>
      </c>
      <c r="Q1543" t="s">
        <v>30</v>
      </c>
      <c r="R1543" t="str">
        <f>VLOOKUP($O1543,'Mapa Oficinas'!$A$7:$C$46,2,FALSE)</f>
        <v>Zona Norte (GBA)</v>
      </c>
      <c r="S1543" t="str">
        <f>VLOOKUP($O1543,'Mapa Oficinas'!$A$7:$C$46,3,FALSE)</f>
        <v>Vicente López</v>
      </c>
    </row>
    <row r="1544" spans="1:19" x14ac:dyDescent="0.2">
      <c r="A1544" s="1">
        <v>45930</v>
      </c>
      <c r="B1544" t="s">
        <v>4100</v>
      </c>
      <c r="D1544" t="s">
        <v>4101</v>
      </c>
      <c r="E1544" t="s">
        <v>16</v>
      </c>
      <c r="F1544" t="s">
        <v>17</v>
      </c>
      <c r="G1544" s="14">
        <v>105000</v>
      </c>
      <c r="H1544" s="14">
        <v>100000</v>
      </c>
      <c r="I1544" t="s">
        <v>22</v>
      </c>
      <c r="J1544" t="s">
        <v>22</v>
      </c>
      <c r="K1544" t="s">
        <v>4102</v>
      </c>
      <c r="L1544" t="s">
        <v>503</v>
      </c>
      <c r="M1544" t="s">
        <v>19</v>
      </c>
      <c r="N1544">
        <v>2</v>
      </c>
      <c r="O1544" t="s">
        <v>20</v>
      </c>
      <c r="P1544" t="s">
        <v>21</v>
      </c>
      <c r="Q1544" t="s">
        <v>30</v>
      </c>
      <c r="R1544" t="str">
        <f>VLOOKUP($O1544,'Mapa Oficinas'!$A$7:$C$46,2,FALSE)</f>
        <v>CABA</v>
      </c>
      <c r="S1544" t="str">
        <f>VLOOKUP($O1544,'Mapa Oficinas'!$A$7:$C$46,3,FALSE)</f>
        <v>Palermo</v>
      </c>
    </row>
    <row r="1545" spans="1:19" x14ac:dyDescent="0.2">
      <c r="A1545" s="1">
        <v>45930</v>
      </c>
      <c r="B1545" t="s">
        <v>4079</v>
      </c>
      <c r="D1545" t="s">
        <v>4080</v>
      </c>
      <c r="E1545" t="s">
        <v>16</v>
      </c>
      <c r="F1545" t="s">
        <v>127</v>
      </c>
      <c r="G1545" s="14">
        <v>99000</v>
      </c>
      <c r="H1545" s="14">
        <v>106000</v>
      </c>
      <c r="I1545" t="s">
        <v>22</v>
      </c>
      <c r="J1545" t="s">
        <v>22</v>
      </c>
      <c r="K1545" t="s">
        <v>4081</v>
      </c>
      <c r="L1545" t="s">
        <v>136</v>
      </c>
      <c r="M1545" t="s">
        <v>19</v>
      </c>
      <c r="N1545">
        <v>1</v>
      </c>
      <c r="O1545" t="s">
        <v>130</v>
      </c>
      <c r="P1545" t="s">
        <v>66</v>
      </c>
      <c r="Q1545" t="s">
        <v>30</v>
      </c>
      <c r="R1545" t="str">
        <f>VLOOKUP($O1545,'Mapa Oficinas'!$A$7:$C$46,2,FALSE)</f>
        <v>Interior - Río Negro</v>
      </c>
      <c r="S1545" t="str">
        <f>VLOOKUP($O1545,'Mapa Oficinas'!$A$7:$C$46,3,FALSE)</f>
        <v>Bariloche</v>
      </c>
    </row>
    <row r="1546" spans="1:19" x14ac:dyDescent="0.2">
      <c r="A1546" s="1">
        <v>45930</v>
      </c>
      <c r="B1546" t="s">
        <v>4077</v>
      </c>
      <c r="D1546" t="s">
        <v>4078</v>
      </c>
      <c r="E1546" t="s">
        <v>16</v>
      </c>
      <c r="F1546" t="s">
        <v>134</v>
      </c>
      <c r="G1546" s="14">
        <v>117000</v>
      </c>
      <c r="H1546" s="14">
        <v>110000</v>
      </c>
      <c r="I1546" t="s">
        <v>22</v>
      </c>
      <c r="J1546" t="s">
        <v>22</v>
      </c>
      <c r="K1546" t="s">
        <v>306</v>
      </c>
      <c r="L1546" t="s">
        <v>307</v>
      </c>
      <c r="M1546" t="s">
        <v>72</v>
      </c>
      <c r="N1546">
        <v>1</v>
      </c>
      <c r="O1546" t="s">
        <v>130</v>
      </c>
      <c r="P1546" t="s">
        <v>131</v>
      </c>
      <c r="Q1546" t="s">
        <v>30</v>
      </c>
      <c r="R1546" t="str">
        <f>VLOOKUP($O1546,'Mapa Oficinas'!$A$7:$C$46,2,FALSE)</f>
        <v>Interior - Río Negro</v>
      </c>
      <c r="S1546" t="str">
        <f>VLOOKUP($O1546,'Mapa Oficinas'!$A$7:$C$46,3,FALSE)</f>
        <v>Bariloche</v>
      </c>
    </row>
    <row r="1547" spans="1:19" x14ac:dyDescent="0.2">
      <c r="A1547" s="1">
        <v>45930</v>
      </c>
      <c r="B1547" t="s">
        <v>4082</v>
      </c>
      <c r="D1547" t="s">
        <v>4083</v>
      </c>
      <c r="E1547" t="s">
        <v>16</v>
      </c>
      <c r="F1547" t="s">
        <v>17</v>
      </c>
      <c r="G1547" s="14">
        <v>88000</v>
      </c>
      <c r="H1547" s="14">
        <v>123000</v>
      </c>
      <c r="I1547" t="s">
        <v>22</v>
      </c>
      <c r="J1547" t="s">
        <v>22</v>
      </c>
      <c r="K1547" t="s">
        <v>4084</v>
      </c>
      <c r="L1547" t="s">
        <v>3697</v>
      </c>
      <c r="M1547" t="s">
        <v>19</v>
      </c>
      <c r="N1547">
        <v>1</v>
      </c>
      <c r="O1547" t="s">
        <v>142</v>
      </c>
      <c r="P1547" t="s">
        <v>146</v>
      </c>
      <c r="Q1547" t="s">
        <v>30</v>
      </c>
      <c r="R1547" t="str">
        <f>VLOOKUP($O1547,'Mapa Oficinas'!$A$7:$C$46,2,FALSE)</f>
        <v>Zona Norte (GBA)</v>
      </c>
      <c r="S1547" t="str">
        <f>VLOOKUP($O1547,'Mapa Oficinas'!$A$7:$C$46,3,FALSE)</f>
        <v>Nordelta</v>
      </c>
    </row>
    <row r="1548" spans="1:19" x14ac:dyDescent="0.2">
      <c r="A1548" s="1">
        <v>45930</v>
      </c>
      <c r="B1548" t="s">
        <v>4105</v>
      </c>
      <c r="D1548" t="s">
        <v>4106</v>
      </c>
      <c r="E1548" t="s">
        <v>16</v>
      </c>
      <c r="F1548" t="s">
        <v>17</v>
      </c>
      <c r="G1548" s="14">
        <v>165000</v>
      </c>
      <c r="H1548" s="14">
        <v>163000</v>
      </c>
      <c r="I1548" t="s">
        <v>22</v>
      </c>
      <c r="J1548" t="s">
        <v>22</v>
      </c>
      <c r="K1548" t="s">
        <v>4107</v>
      </c>
      <c r="L1548" t="s">
        <v>277</v>
      </c>
      <c r="M1548" t="s">
        <v>19</v>
      </c>
      <c r="N1548">
        <v>2</v>
      </c>
      <c r="O1548" t="s">
        <v>20</v>
      </c>
      <c r="P1548" t="s">
        <v>276</v>
      </c>
      <c r="Q1548" t="s">
        <v>30</v>
      </c>
      <c r="R1548" t="str">
        <f>VLOOKUP($O1548,'Mapa Oficinas'!$A$7:$C$46,2,FALSE)</f>
        <v>CABA</v>
      </c>
      <c r="S1548" t="str">
        <f>VLOOKUP($O1548,'Mapa Oficinas'!$A$7:$C$46,3,FALSE)</f>
        <v>Palermo</v>
      </c>
    </row>
    <row r="1549" spans="1:19" x14ac:dyDescent="0.2">
      <c r="A1549" s="1">
        <v>45930</v>
      </c>
      <c r="B1549" t="s">
        <v>4103</v>
      </c>
      <c r="D1549" t="s">
        <v>4104</v>
      </c>
      <c r="E1549" t="s">
        <v>16</v>
      </c>
      <c r="F1549" t="s">
        <v>17</v>
      </c>
      <c r="G1549" s="14">
        <v>177000</v>
      </c>
      <c r="H1549" s="14">
        <v>177000</v>
      </c>
      <c r="I1549" t="s">
        <v>22</v>
      </c>
      <c r="J1549" t="s">
        <v>22</v>
      </c>
      <c r="L1549" t="s">
        <v>111</v>
      </c>
      <c r="M1549" t="s">
        <v>19</v>
      </c>
      <c r="N1549">
        <v>1</v>
      </c>
      <c r="O1549" t="s">
        <v>20</v>
      </c>
      <c r="P1549" t="s">
        <v>146</v>
      </c>
      <c r="Q1549" t="s">
        <v>30</v>
      </c>
      <c r="R1549" t="str">
        <f>VLOOKUP($O1549,'Mapa Oficinas'!$A$7:$C$46,2,FALSE)</f>
        <v>CABA</v>
      </c>
      <c r="S1549" t="str">
        <f>VLOOKUP($O1549,'Mapa Oficinas'!$A$7:$C$46,3,FALSE)</f>
        <v>Palermo</v>
      </c>
    </row>
    <row r="1550" spans="1:19" x14ac:dyDescent="0.2">
      <c r="A1550" s="1">
        <v>45930</v>
      </c>
      <c r="B1550" t="s">
        <v>4085</v>
      </c>
      <c r="D1550" t="s">
        <v>4086</v>
      </c>
      <c r="E1550" t="s">
        <v>16</v>
      </c>
      <c r="F1550" t="s">
        <v>38</v>
      </c>
      <c r="G1550" s="14">
        <v>219000</v>
      </c>
      <c r="H1550" s="14">
        <v>205000</v>
      </c>
      <c r="I1550" t="s">
        <v>22</v>
      </c>
      <c r="J1550" t="s">
        <v>22</v>
      </c>
      <c r="K1550" t="s">
        <v>4087</v>
      </c>
      <c r="L1550" t="s">
        <v>700</v>
      </c>
      <c r="M1550" t="s">
        <v>19</v>
      </c>
      <c r="N1550">
        <v>2</v>
      </c>
      <c r="O1550" t="s">
        <v>40</v>
      </c>
      <c r="P1550" t="s">
        <v>41</v>
      </c>
      <c r="Q1550" t="s">
        <v>30</v>
      </c>
      <c r="R1550" t="str">
        <f>VLOOKUP($O1550,'Mapa Oficinas'!$A$7:$C$46,2,FALSE)</f>
        <v>Zona Norte (GBA)</v>
      </c>
      <c r="S1550" t="str">
        <f>VLOOKUP($O1550,'Mapa Oficinas'!$A$7:$C$46,3,FALSE)</f>
        <v>Pilar</v>
      </c>
    </row>
    <row r="1551" spans="1:19" x14ac:dyDescent="0.2">
      <c r="A1551" s="1">
        <v>45930</v>
      </c>
      <c r="B1551" t="s">
        <v>4070</v>
      </c>
      <c r="D1551" t="s">
        <v>4071</v>
      </c>
      <c r="E1551" t="s">
        <v>16</v>
      </c>
      <c r="F1551" t="s">
        <v>134</v>
      </c>
      <c r="G1551" s="14">
        <v>240000</v>
      </c>
      <c r="H1551" s="14">
        <v>225000</v>
      </c>
      <c r="I1551" t="s">
        <v>22</v>
      </c>
      <c r="J1551" t="s">
        <v>22</v>
      </c>
      <c r="K1551" t="s">
        <v>4072</v>
      </c>
      <c r="L1551" t="s">
        <v>2487</v>
      </c>
      <c r="M1551" t="s">
        <v>28</v>
      </c>
      <c r="N1551">
        <v>2</v>
      </c>
      <c r="O1551" t="s">
        <v>130</v>
      </c>
      <c r="P1551" t="s">
        <v>41</v>
      </c>
      <c r="Q1551" t="s">
        <v>30</v>
      </c>
      <c r="R1551" t="str">
        <f>VLOOKUP($O1551,'Mapa Oficinas'!$A$7:$C$46,2,FALSE)</f>
        <v>Interior - Río Negro</v>
      </c>
      <c r="S1551" t="str">
        <f>VLOOKUP($O1551,'Mapa Oficinas'!$A$7:$C$46,3,FALSE)</f>
        <v>Bariloche</v>
      </c>
    </row>
    <row r="1552" spans="1:19" x14ac:dyDescent="0.2">
      <c r="A1552" s="1">
        <v>45930</v>
      </c>
      <c r="B1552" t="s">
        <v>4070</v>
      </c>
      <c r="D1552" t="s">
        <v>4071</v>
      </c>
      <c r="E1552" t="s">
        <v>16</v>
      </c>
      <c r="F1552" t="s">
        <v>134</v>
      </c>
      <c r="G1552" s="14">
        <v>240000</v>
      </c>
      <c r="H1552" s="14">
        <v>225000</v>
      </c>
      <c r="I1552" t="s">
        <v>22</v>
      </c>
      <c r="J1552" t="s">
        <v>22</v>
      </c>
      <c r="K1552" t="s">
        <v>4072</v>
      </c>
      <c r="L1552" t="s">
        <v>2487</v>
      </c>
      <c r="M1552" t="s">
        <v>28</v>
      </c>
      <c r="N1552">
        <v>2</v>
      </c>
      <c r="O1552" t="s">
        <v>130</v>
      </c>
      <c r="P1552" t="s">
        <v>41</v>
      </c>
      <c r="Q1552" t="s">
        <v>30</v>
      </c>
      <c r="R1552" t="str">
        <f>VLOOKUP($O1552,'Mapa Oficinas'!$A$7:$C$46,2,FALSE)</f>
        <v>Interior - Río Negro</v>
      </c>
      <c r="S1552" t="str">
        <f>VLOOKUP($O1552,'Mapa Oficinas'!$A$7:$C$46,3,FALSE)</f>
        <v>Bariloche</v>
      </c>
    </row>
    <row r="1553" spans="1:19" x14ac:dyDescent="0.2">
      <c r="A1553" s="1">
        <v>45930</v>
      </c>
      <c r="B1553" t="s">
        <v>4097</v>
      </c>
      <c r="D1553" t="s">
        <v>4098</v>
      </c>
      <c r="E1553" t="s">
        <v>16</v>
      </c>
      <c r="F1553" t="s">
        <v>17</v>
      </c>
      <c r="G1553" s="14">
        <v>275000</v>
      </c>
      <c r="H1553" s="14">
        <v>242000</v>
      </c>
      <c r="I1553" t="s">
        <v>22</v>
      </c>
      <c r="J1553" t="s">
        <v>22</v>
      </c>
      <c r="K1553" t="s">
        <v>4099</v>
      </c>
      <c r="L1553" t="s">
        <v>282</v>
      </c>
      <c r="M1553" t="s">
        <v>19</v>
      </c>
      <c r="N1553">
        <v>2</v>
      </c>
      <c r="O1553" t="s">
        <v>103</v>
      </c>
      <c r="P1553" t="s">
        <v>21</v>
      </c>
      <c r="Q1553" t="s">
        <v>30</v>
      </c>
      <c r="R1553" t="str">
        <f>VLOOKUP($O1553,'Mapa Oficinas'!$A$7:$C$46,2,FALSE)</f>
        <v>CABA</v>
      </c>
      <c r="S1553" t="str">
        <f>VLOOKUP($O1553,'Mapa Oficinas'!$A$7:$C$46,3,FALSE)</f>
        <v>Barrio Parque</v>
      </c>
    </row>
    <row r="1554" spans="1:19" x14ac:dyDescent="0.2">
      <c r="A1554" s="1">
        <v>45931</v>
      </c>
      <c r="B1554" t="s">
        <v>3607</v>
      </c>
      <c r="D1554" t="s">
        <v>3608</v>
      </c>
      <c r="E1554" t="s">
        <v>16</v>
      </c>
      <c r="F1554" t="s">
        <v>58</v>
      </c>
      <c r="G1554" s="14">
        <v>58000</v>
      </c>
      <c r="H1554" s="14">
        <v>55000</v>
      </c>
      <c r="I1554" t="s">
        <v>22</v>
      </c>
      <c r="J1554" t="s">
        <v>22</v>
      </c>
      <c r="K1554" t="s">
        <v>3609</v>
      </c>
      <c r="L1554" t="s">
        <v>3123</v>
      </c>
      <c r="M1554" t="s">
        <v>97</v>
      </c>
      <c r="N1554">
        <v>2</v>
      </c>
      <c r="O1554" t="s">
        <v>65</v>
      </c>
      <c r="P1554" t="s">
        <v>1578</v>
      </c>
      <c r="Q1554" t="s">
        <v>30</v>
      </c>
      <c r="R1554" t="str">
        <f>VLOOKUP($O1554,'Mapa Oficinas'!$A$7:$C$46,2,FALSE)</f>
        <v>Interior - Mendoza</v>
      </c>
      <c r="S1554" t="str">
        <f>VLOOKUP($O1554,'Mapa Oficinas'!$A$7:$C$46,3,FALSE)</f>
        <v>Capital Mendoza</v>
      </c>
    </row>
    <row r="1555" spans="1:19" x14ac:dyDescent="0.2">
      <c r="A1555" s="1">
        <v>45931</v>
      </c>
      <c r="B1555" t="s">
        <v>4050</v>
      </c>
      <c r="D1555" t="s">
        <v>4051</v>
      </c>
      <c r="E1555" t="s">
        <v>16</v>
      </c>
      <c r="F1555" t="s">
        <v>17</v>
      </c>
      <c r="G1555" s="14">
        <v>85000</v>
      </c>
      <c r="H1555" s="14">
        <v>80000</v>
      </c>
      <c r="I1555" t="s">
        <v>22</v>
      </c>
      <c r="J1555" t="s">
        <v>22</v>
      </c>
      <c r="K1555" t="s">
        <v>4052</v>
      </c>
      <c r="L1555" t="s">
        <v>111</v>
      </c>
      <c r="M1555" t="s">
        <v>19</v>
      </c>
      <c r="N1555">
        <v>2</v>
      </c>
      <c r="O1555" t="s">
        <v>389</v>
      </c>
      <c r="P1555" t="s">
        <v>21</v>
      </c>
      <c r="Q1555" t="s">
        <v>30</v>
      </c>
      <c r="R1555" t="str">
        <f>VLOOKUP($O1555,'Mapa Oficinas'!$A$7:$C$46,2,FALSE)</f>
        <v>Zona Norte (GBA)</v>
      </c>
      <c r="S1555" t="str">
        <f>VLOOKUP($O1555,'Mapa Oficinas'!$A$7:$C$46,3,FALSE)</f>
        <v>Escobar</v>
      </c>
    </row>
    <row r="1556" spans="1:19" x14ac:dyDescent="0.2">
      <c r="A1556" s="1">
        <v>45931</v>
      </c>
      <c r="D1556" t="s">
        <v>4053</v>
      </c>
      <c r="E1556" t="s">
        <v>16</v>
      </c>
      <c r="F1556" t="s">
        <v>1708</v>
      </c>
      <c r="G1556" s="14">
        <v>98400</v>
      </c>
      <c r="H1556" s="14">
        <v>98400</v>
      </c>
      <c r="I1556" t="s">
        <v>22</v>
      </c>
      <c r="J1556" t="s">
        <v>22</v>
      </c>
      <c r="K1556" t="s">
        <v>4054</v>
      </c>
      <c r="L1556" t="s">
        <v>442</v>
      </c>
      <c r="M1556" t="s">
        <v>19</v>
      </c>
      <c r="N1556">
        <v>2</v>
      </c>
      <c r="O1556" t="s">
        <v>98</v>
      </c>
      <c r="P1556" t="s">
        <v>21</v>
      </c>
      <c r="Q1556" t="s">
        <v>30</v>
      </c>
      <c r="R1556" t="str">
        <f>VLOOKUP($O1556,'Mapa Oficinas'!$A$7:$C$46,2,FALSE)</f>
        <v>Interior - Neuquén</v>
      </c>
      <c r="S1556" t="str">
        <f>VLOOKUP($O1556,'Mapa Oficinas'!$A$7:$C$46,3,FALSE)</f>
        <v>Villa La Angostura</v>
      </c>
    </row>
    <row r="1557" spans="1:19" x14ac:dyDescent="0.2">
      <c r="A1557" s="1">
        <v>45931</v>
      </c>
      <c r="B1557" t="s">
        <v>4055</v>
      </c>
      <c r="D1557" t="s">
        <v>4056</v>
      </c>
      <c r="E1557" t="s">
        <v>16</v>
      </c>
      <c r="F1557" t="s">
        <v>896</v>
      </c>
      <c r="G1557" s="14">
        <v>108200</v>
      </c>
      <c r="H1557" s="14">
        <v>99000</v>
      </c>
      <c r="I1557" t="s">
        <v>22</v>
      </c>
      <c r="J1557" t="s">
        <v>22</v>
      </c>
      <c r="K1557" t="s">
        <v>1930</v>
      </c>
      <c r="L1557" t="s">
        <v>1931</v>
      </c>
      <c r="M1557" t="s">
        <v>19</v>
      </c>
      <c r="N1557">
        <v>2</v>
      </c>
      <c r="O1557" t="s">
        <v>98</v>
      </c>
      <c r="P1557" t="s">
        <v>21</v>
      </c>
      <c r="Q1557" t="s">
        <v>30</v>
      </c>
      <c r="R1557" t="str">
        <f>VLOOKUP($O1557,'Mapa Oficinas'!$A$7:$C$46,2,FALSE)</f>
        <v>Interior - Neuquén</v>
      </c>
      <c r="S1557" t="str">
        <f>VLOOKUP($O1557,'Mapa Oficinas'!$A$7:$C$46,3,FALSE)</f>
        <v>Villa La Angostura</v>
      </c>
    </row>
    <row r="1558" spans="1:19" x14ac:dyDescent="0.2">
      <c r="A1558" s="1">
        <v>45932</v>
      </c>
      <c r="B1558" t="s">
        <v>4046</v>
      </c>
      <c r="D1558" t="s">
        <v>4046</v>
      </c>
      <c r="E1558" t="s">
        <v>16</v>
      </c>
      <c r="F1558" t="s">
        <v>58</v>
      </c>
      <c r="G1558" s="14">
        <v>155000</v>
      </c>
      <c r="H1558" s="14">
        <v>77500</v>
      </c>
      <c r="I1558" t="s">
        <v>22</v>
      </c>
      <c r="J1558" t="s">
        <v>22</v>
      </c>
      <c r="K1558" t="s">
        <v>4046</v>
      </c>
      <c r="L1558" t="s">
        <v>523</v>
      </c>
      <c r="M1558" t="s">
        <v>19</v>
      </c>
      <c r="N1558">
        <v>2</v>
      </c>
      <c r="O1558" t="s">
        <v>50</v>
      </c>
      <c r="P1558" t="s">
        <v>21</v>
      </c>
      <c r="Q1558" t="s">
        <v>30</v>
      </c>
      <c r="R1558" t="str">
        <f>VLOOKUP($O1558,'Mapa Oficinas'!$A$7:$C$46,2,FALSE)</f>
        <v>CABA</v>
      </c>
      <c r="S1558" t="str">
        <f>VLOOKUP($O1558,'Mapa Oficinas'!$A$7:$C$46,3,FALSE)</f>
        <v>Villa Urquiza</v>
      </c>
    </row>
    <row r="1559" spans="1:19" x14ac:dyDescent="0.2">
      <c r="A1559" s="1">
        <v>45932</v>
      </c>
      <c r="B1559" t="s">
        <v>4040</v>
      </c>
      <c r="D1559" t="s">
        <v>4041</v>
      </c>
      <c r="E1559" t="s">
        <v>16</v>
      </c>
      <c r="F1559" t="s">
        <v>17</v>
      </c>
      <c r="G1559" s="14">
        <v>80000</v>
      </c>
      <c r="H1559" s="14">
        <v>80000</v>
      </c>
      <c r="I1559" t="s">
        <v>22</v>
      </c>
      <c r="J1559" t="s">
        <v>22</v>
      </c>
      <c r="K1559" t="s">
        <v>4042</v>
      </c>
      <c r="L1559" t="s">
        <v>635</v>
      </c>
      <c r="M1559" t="s">
        <v>19</v>
      </c>
      <c r="N1559">
        <v>2</v>
      </c>
      <c r="O1559" t="s">
        <v>40</v>
      </c>
      <c r="P1559" t="s">
        <v>44</v>
      </c>
      <c r="Q1559" t="s">
        <v>30</v>
      </c>
      <c r="R1559" t="str">
        <f>VLOOKUP($O1559,'Mapa Oficinas'!$A$7:$C$46,2,FALSE)</f>
        <v>Zona Norte (GBA)</v>
      </c>
      <c r="S1559" t="str">
        <f>VLOOKUP($O1559,'Mapa Oficinas'!$A$7:$C$46,3,FALSE)</f>
        <v>Pilar</v>
      </c>
    </row>
    <row r="1560" spans="1:19" x14ac:dyDescent="0.2">
      <c r="A1560" s="1">
        <v>45932</v>
      </c>
      <c r="B1560" t="s">
        <v>4043</v>
      </c>
      <c r="D1560" t="s">
        <v>4044</v>
      </c>
      <c r="E1560" t="s">
        <v>16</v>
      </c>
      <c r="F1560" t="s">
        <v>17</v>
      </c>
      <c r="G1560" s="14">
        <v>500</v>
      </c>
      <c r="H1560" s="14">
        <v>82000</v>
      </c>
      <c r="I1560" t="s">
        <v>22</v>
      </c>
      <c r="J1560" t="s">
        <v>22</v>
      </c>
      <c r="K1560" t="s">
        <v>4044</v>
      </c>
      <c r="L1560" t="s">
        <v>4045</v>
      </c>
      <c r="M1560" t="s">
        <v>19</v>
      </c>
      <c r="N1560">
        <v>2</v>
      </c>
      <c r="O1560" t="s">
        <v>40</v>
      </c>
      <c r="P1560" t="s">
        <v>44</v>
      </c>
      <c r="Q1560" t="s">
        <v>30</v>
      </c>
      <c r="R1560" t="str">
        <f>VLOOKUP($O1560,'Mapa Oficinas'!$A$7:$C$46,2,FALSE)</f>
        <v>Zona Norte (GBA)</v>
      </c>
      <c r="S1560" t="str">
        <f>VLOOKUP($O1560,'Mapa Oficinas'!$A$7:$C$46,3,FALSE)</f>
        <v>Pilar</v>
      </c>
    </row>
    <row r="1561" spans="1:19" x14ac:dyDescent="0.2">
      <c r="A1561" s="1">
        <v>45932</v>
      </c>
      <c r="B1561" t="s">
        <v>4047</v>
      </c>
      <c r="D1561" t="s">
        <v>4048</v>
      </c>
      <c r="E1561" t="s">
        <v>16</v>
      </c>
      <c r="F1561" t="s">
        <v>47</v>
      </c>
      <c r="G1561" s="14">
        <v>105000</v>
      </c>
      <c r="H1561" s="14">
        <v>88000</v>
      </c>
      <c r="I1561" t="s">
        <v>22</v>
      </c>
      <c r="J1561" t="s">
        <v>22</v>
      </c>
      <c r="K1561" t="s">
        <v>4049</v>
      </c>
      <c r="L1561" t="s">
        <v>318</v>
      </c>
      <c r="M1561" t="s">
        <v>19</v>
      </c>
      <c r="N1561">
        <v>2</v>
      </c>
      <c r="O1561" t="s">
        <v>50</v>
      </c>
      <c r="P1561" t="s">
        <v>21</v>
      </c>
      <c r="Q1561" t="s">
        <v>30</v>
      </c>
      <c r="R1561" t="str">
        <f>VLOOKUP($O1561,'Mapa Oficinas'!$A$7:$C$46,2,FALSE)</f>
        <v>CABA</v>
      </c>
      <c r="S1561" t="str">
        <f>VLOOKUP($O1561,'Mapa Oficinas'!$A$7:$C$46,3,FALSE)</f>
        <v>Villa Urquiza</v>
      </c>
    </row>
    <row r="1562" spans="1:19" x14ac:dyDescent="0.2">
      <c r="A1562" s="1">
        <v>45932</v>
      </c>
      <c r="B1562" t="s">
        <v>4036</v>
      </c>
      <c r="D1562" t="s">
        <v>4037</v>
      </c>
      <c r="E1562" t="s">
        <v>16</v>
      </c>
      <c r="F1562" t="s">
        <v>38</v>
      </c>
      <c r="G1562" s="14">
        <v>148000</v>
      </c>
      <c r="H1562" s="14">
        <v>142000</v>
      </c>
      <c r="I1562" t="s">
        <v>22</v>
      </c>
      <c r="J1562" t="s">
        <v>22</v>
      </c>
      <c r="K1562" t="s">
        <v>4038</v>
      </c>
      <c r="L1562" t="s">
        <v>4039</v>
      </c>
      <c r="M1562" t="s">
        <v>97</v>
      </c>
      <c r="N1562">
        <v>2</v>
      </c>
      <c r="O1562" t="s">
        <v>246</v>
      </c>
      <c r="P1562" t="s">
        <v>41</v>
      </c>
      <c r="Q1562" t="s">
        <v>30</v>
      </c>
      <c r="R1562" t="str">
        <f>VLOOKUP($O1562,'Mapa Oficinas'!$A$7:$C$46,2,FALSE)</f>
        <v>Interior - Salta</v>
      </c>
      <c r="S1562" t="str">
        <f>VLOOKUP($O1562,'Mapa Oficinas'!$A$7:$C$46,3,FALSE)</f>
        <v>San Lorenzo Chico</v>
      </c>
    </row>
    <row r="1563" spans="1:19" x14ac:dyDescent="0.2">
      <c r="A1563" s="1">
        <v>45932</v>
      </c>
      <c r="B1563" t="s">
        <v>4032</v>
      </c>
      <c r="D1563" t="s">
        <v>4033</v>
      </c>
      <c r="E1563" t="s">
        <v>16</v>
      </c>
      <c r="F1563" t="s">
        <v>17</v>
      </c>
      <c r="G1563" s="14">
        <v>220000</v>
      </c>
      <c r="H1563" s="14">
        <v>185000</v>
      </c>
      <c r="I1563" t="s">
        <v>22</v>
      </c>
      <c r="J1563" t="s">
        <v>22</v>
      </c>
      <c r="K1563" t="s">
        <v>4034</v>
      </c>
      <c r="L1563" t="s">
        <v>217</v>
      </c>
      <c r="M1563" t="s">
        <v>72</v>
      </c>
      <c r="N1563">
        <v>2</v>
      </c>
      <c r="O1563" t="s">
        <v>201</v>
      </c>
      <c r="P1563" t="s">
        <v>41</v>
      </c>
      <c r="Q1563" t="s">
        <v>30</v>
      </c>
      <c r="R1563" t="str">
        <f>VLOOKUP($O1563,'Mapa Oficinas'!$A$7:$C$46,2,FALSE)</f>
        <v>CABA</v>
      </c>
      <c r="S1563" t="str">
        <f>VLOOKUP($O1563,'Mapa Oficinas'!$A$7:$C$46,3,FALSE)</f>
        <v>Recoleta</v>
      </c>
    </row>
    <row r="1564" spans="1:19" x14ac:dyDescent="0.2">
      <c r="A1564" s="1">
        <v>45932</v>
      </c>
      <c r="B1564" t="s">
        <v>4035</v>
      </c>
      <c r="D1564" t="s">
        <v>1158</v>
      </c>
      <c r="E1564" t="s">
        <v>16</v>
      </c>
      <c r="F1564" t="s">
        <v>17</v>
      </c>
      <c r="G1564" s="14">
        <v>240000</v>
      </c>
      <c r="H1564" s="14">
        <v>210000</v>
      </c>
      <c r="I1564" t="s">
        <v>22</v>
      </c>
      <c r="J1564" t="s">
        <v>22</v>
      </c>
      <c r="K1564" t="s">
        <v>347</v>
      </c>
      <c r="L1564" t="s">
        <v>191</v>
      </c>
      <c r="M1564" t="s">
        <v>19</v>
      </c>
      <c r="N1564">
        <v>2</v>
      </c>
      <c r="O1564" t="s">
        <v>201</v>
      </c>
      <c r="P1564" t="s">
        <v>276</v>
      </c>
      <c r="Q1564" t="s">
        <v>30</v>
      </c>
      <c r="R1564" t="str">
        <f>VLOOKUP($O1564,'Mapa Oficinas'!$A$7:$C$46,2,FALSE)</f>
        <v>CABA</v>
      </c>
      <c r="S1564" t="str">
        <f>VLOOKUP($O1564,'Mapa Oficinas'!$A$7:$C$46,3,FALSE)</f>
        <v>Recoleta</v>
      </c>
    </row>
    <row r="1565" spans="1:19" x14ac:dyDescent="0.2">
      <c r="A1565" s="1">
        <v>45933</v>
      </c>
      <c r="B1565" t="s">
        <v>3995</v>
      </c>
      <c r="D1565" t="s">
        <v>3996</v>
      </c>
      <c r="E1565" t="s">
        <v>16</v>
      </c>
      <c r="F1565" t="s">
        <v>17</v>
      </c>
      <c r="G1565" s="14">
        <v>45000</v>
      </c>
      <c r="H1565" s="14">
        <v>40000</v>
      </c>
      <c r="I1565" t="s">
        <v>22</v>
      </c>
      <c r="J1565" t="s">
        <v>22</v>
      </c>
      <c r="K1565" t="s">
        <v>3997</v>
      </c>
      <c r="L1565" t="s">
        <v>967</v>
      </c>
      <c r="M1565" t="s">
        <v>72</v>
      </c>
      <c r="N1565">
        <v>2</v>
      </c>
      <c r="O1565" t="s">
        <v>50</v>
      </c>
      <c r="P1565" t="s">
        <v>21</v>
      </c>
      <c r="Q1565" t="s">
        <v>30</v>
      </c>
      <c r="R1565" t="str">
        <f>VLOOKUP($O1565,'Mapa Oficinas'!$A$7:$C$46,2,FALSE)</f>
        <v>CABA</v>
      </c>
      <c r="S1565" t="str">
        <f>VLOOKUP($O1565,'Mapa Oficinas'!$A$7:$C$46,3,FALSE)</f>
        <v>Villa Urquiza</v>
      </c>
    </row>
    <row r="1566" spans="1:19" x14ac:dyDescent="0.2">
      <c r="A1566" s="1">
        <v>45933</v>
      </c>
      <c r="B1566" t="s">
        <v>4012</v>
      </c>
      <c r="D1566" t="s">
        <v>4013</v>
      </c>
      <c r="E1566" t="s">
        <v>16</v>
      </c>
      <c r="F1566" t="s">
        <v>58</v>
      </c>
      <c r="G1566" s="14">
        <v>45900</v>
      </c>
      <c r="H1566" s="14">
        <v>42000</v>
      </c>
      <c r="I1566" t="s">
        <v>22</v>
      </c>
      <c r="J1566" t="s">
        <v>22</v>
      </c>
      <c r="K1566" t="s">
        <v>4014</v>
      </c>
      <c r="L1566" t="s">
        <v>1672</v>
      </c>
      <c r="M1566" t="s">
        <v>19</v>
      </c>
      <c r="N1566">
        <v>2</v>
      </c>
      <c r="O1566" t="s">
        <v>50</v>
      </c>
      <c r="P1566" t="s">
        <v>21</v>
      </c>
      <c r="Q1566" t="s">
        <v>30</v>
      </c>
      <c r="R1566" t="str">
        <f>VLOOKUP($O1566,'Mapa Oficinas'!$A$7:$C$46,2,FALSE)</f>
        <v>CABA</v>
      </c>
      <c r="S1566" t="str">
        <f>VLOOKUP($O1566,'Mapa Oficinas'!$A$7:$C$46,3,FALSE)</f>
        <v>Villa Urquiza</v>
      </c>
    </row>
    <row r="1567" spans="1:19" x14ac:dyDescent="0.2">
      <c r="A1567" s="1">
        <v>45933</v>
      </c>
      <c r="B1567" t="s">
        <v>4009</v>
      </c>
      <c r="D1567" t="s">
        <v>4010</v>
      </c>
      <c r="E1567" t="s">
        <v>16</v>
      </c>
      <c r="F1567" t="s">
        <v>47</v>
      </c>
      <c r="G1567" s="14">
        <v>81000</v>
      </c>
      <c r="H1567" s="14">
        <v>42500</v>
      </c>
      <c r="I1567" t="s">
        <v>22</v>
      </c>
      <c r="J1567" t="s">
        <v>22</v>
      </c>
      <c r="K1567" t="s">
        <v>4011</v>
      </c>
      <c r="L1567" t="s">
        <v>569</v>
      </c>
      <c r="M1567" t="s">
        <v>19</v>
      </c>
      <c r="N1567">
        <v>2</v>
      </c>
      <c r="O1567" t="s">
        <v>50</v>
      </c>
      <c r="P1567" t="s">
        <v>21</v>
      </c>
      <c r="Q1567" t="s">
        <v>30</v>
      </c>
      <c r="R1567" t="str">
        <f>VLOOKUP($O1567,'Mapa Oficinas'!$A$7:$C$46,2,FALSE)</f>
        <v>CABA</v>
      </c>
      <c r="S1567" t="str">
        <f>VLOOKUP($O1567,'Mapa Oficinas'!$A$7:$C$46,3,FALSE)</f>
        <v>Villa Urquiza</v>
      </c>
    </row>
    <row r="1568" spans="1:19" x14ac:dyDescent="0.2">
      <c r="A1568" s="1">
        <v>45933</v>
      </c>
      <c r="B1568" t="s">
        <v>4003</v>
      </c>
      <c r="D1568" t="s">
        <v>4004</v>
      </c>
      <c r="E1568" t="s">
        <v>16</v>
      </c>
      <c r="F1568" t="s">
        <v>17</v>
      </c>
      <c r="G1568" s="14">
        <v>83000</v>
      </c>
      <c r="H1568" s="14">
        <v>77000</v>
      </c>
      <c r="I1568" t="s">
        <v>22</v>
      </c>
      <c r="J1568" t="s">
        <v>22</v>
      </c>
      <c r="K1568" t="s">
        <v>4005</v>
      </c>
      <c r="L1568" t="s">
        <v>1672</v>
      </c>
      <c r="M1568" t="s">
        <v>19</v>
      </c>
      <c r="N1568">
        <v>2</v>
      </c>
      <c r="O1568" t="s">
        <v>103</v>
      </c>
      <c r="P1568" t="s">
        <v>21</v>
      </c>
      <c r="Q1568" t="s">
        <v>30</v>
      </c>
      <c r="R1568" t="str">
        <f>VLOOKUP($O1568,'Mapa Oficinas'!$A$7:$C$46,2,FALSE)</f>
        <v>CABA</v>
      </c>
      <c r="S1568" t="str">
        <f>VLOOKUP($O1568,'Mapa Oficinas'!$A$7:$C$46,3,FALSE)</f>
        <v>Barrio Parque</v>
      </c>
    </row>
    <row r="1569" spans="1:19" x14ac:dyDescent="0.2">
      <c r="A1569" s="1">
        <v>45933</v>
      </c>
      <c r="B1569" t="s">
        <v>4025</v>
      </c>
      <c r="D1569" t="s">
        <v>4026</v>
      </c>
      <c r="E1569" t="s">
        <v>16</v>
      </c>
      <c r="F1569" t="s">
        <v>17</v>
      </c>
      <c r="G1569" s="14">
        <v>165000</v>
      </c>
      <c r="H1569" s="14">
        <v>155000</v>
      </c>
      <c r="I1569" t="s">
        <v>22</v>
      </c>
      <c r="J1569" t="s">
        <v>22</v>
      </c>
      <c r="K1569" t="s">
        <v>4026</v>
      </c>
      <c r="L1569" t="s">
        <v>4027</v>
      </c>
      <c r="M1569" t="s">
        <v>28</v>
      </c>
      <c r="N1569">
        <v>2</v>
      </c>
      <c r="O1569" t="s">
        <v>142</v>
      </c>
      <c r="P1569" t="s">
        <v>36</v>
      </c>
      <c r="Q1569" t="s">
        <v>30</v>
      </c>
      <c r="R1569" t="str">
        <f>VLOOKUP($O1569,'Mapa Oficinas'!$A$7:$C$46,2,FALSE)</f>
        <v>Zona Norte (GBA)</v>
      </c>
      <c r="S1569" t="str">
        <f>VLOOKUP($O1569,'Mapa Oficinas'!$A$7:$C$46,3,FALSE)</f>
        <v>Nordelta</v>
      </c>
    </row>
    <row r="1570" spans="1:19" x14ac:dyDescent="0.2">
      <c r="A1570" s="1">
        <v>45933</v>
      </c>
      <c r="B1570" t="s">
        <v>3998</v>
      </c>
      <c r="D1570" t="s">
        <v>3999</v>
      </c>
      <c r="E1570" t="s">
        <v>16</v>
      </c>
      <c r="F1570" t="s">
        <v>47</v>
      </c>
      <c r="G1570" s="14">
        <v>194900</v>
      </c>
      <c r="H1570" s="14">
        <v>195000</v>
      </c>
      <c r="I1570" t="s">
        <v>22</v>
      </c>
      <c r="J1570" t="s">
        <v>22</v>
      </c>
      <c r="K1570" t="s">
        <v>4000</v>
      </c>
      <c r="L1570" t="s">
        <v>569</v>
      </c>
      <c r="M1570" t="s">
        <v>19</v>
      </c>
      <c r="N1570">
        <v>2</v>
      </c>
      <c r="O1570" t="s">
        <v>50</v>
      </c>
      <c r="P1570" t="s">
        <v>21</v>
      </c>
      <c r="Q1570" t="s">
        <v>30</v>
      </c>
      <c r="R1570" t="str">
        <f>VLOOKUP($O1570,'Mapa Oficinas'!$A$7:$C$46,2,FALSE)</f>
        <v>CABA</v>
      </c>
      <c r="S1570" t="str">
        <f>VLOOKUP($O1570,'Mapa Oficinas'!$A$7:$C$46,3,FALSE)</f>
        <v>Villa Urquiza</v>
      </c>
    </row>
    <row r="1571" spans="1:19" x14ac:dyDescent="0.2">
      <c r="A1571" s="1">
        <v>45933</v>
      </c>
      <c r="D1571" t="s">
        <v>4018</v>
      </c>
      <c r="E1571" t="s">
        <v>16</v>
      </c>
      <c r="F1571" t="s">
        <v>17</v>
      </c>
      <c r="G1571" s="14">
        <v>250000</v>
      </c>
      <c r="H1571" s="14">
        <v>225000</v>
      </c>
      <c r="I1571" t="s">
        <v>22</v>
      </c>
      <c r="J1571" t="s">
        <v>22</v>
      </c>
      <c r="K1571" t="s">
        <v>4019</v>
      </c>
      <c r="L1571" t="s">
        <v>523</v>
      </c>
      <c r="M1571" t="s">
        <v>19</v>
      </c>
      <c r="N1571">
        <v>1</v>
      </c>
      <c r="O1571" t="s">
        <v>206</v>
      </c>
      <c r="P1571" t="s">
        <v>146</v>
      </c>
      <c r="Q1571" t="s">
        <v>30</v>
      </c>
      <c r="R1571" t="str">
        <f>VLOOKUP($O1571,'Mapa Oficinas'!$A$7:$C$46,2,FALSE)</f>
        <v>CABA</v>
      </c>
      <c r="S1571" t="str">
        <f>VLOOKUP($O1571,'Mapa Oficinas'!$A$7:$C$46,3,FALSE)</f>
        <v>Belgrano</v>
      </c>
    </row>
    <row r="1572" spans="1:19" x14ac:dyDescent="0.2">
      <c r="A1572" s="1">
        <v>45933</v>
      </c>
      <c r="B1572" t="s">
        <v>4023</v>
      </c>
      <c r="D1572" t="s">
        <v>643</v>
      </c>
      <c r="E1572" t="s">
        <v>16</v>
      </c>
      <c r="F1572" t="s">
        <v>82</v>
      </c>
      <c r="G1572" s="14">
        <v>228000</v>
      </c>
      <c r="H1572" s="14">
        <v>228000</v>
      </c>
      <c r="I1572" t="s">
        <v>22</v>
      </c>
      <c r="J1572" t="s">
        <v>22</v>
      </c>
      <c r="K1572" t="s">
        <v>4024</v>
      </c>
      <c r="L1572" t="s">
        <v>313</v>
      </c>
      <c r="M1572" t="s">
        <v>28</v>
      </c>
      <c r="N1572">
        <v>2</v>
      </c>
      <c r="O1572" t="s">
        <v>213</v>
      </c>
      <c r="P1572" t="s">
        <v>21</v>
      </c>
      <c r="Q1572" t="s">
        <v>30</v>
      </c>
      <c r="R1572" t="str">
        <f>VLOOKUP($O1572,'Mapa Oficinas'!$A$7:$C$46,2,FALSE)</f>
        <v>Interior - Mendoza</v>
      </c>
      <c r="S1572" t="str">
        <f>VLOOKUP($O1572,'Mapa Oficinas'!$A$7:$C$46,3,FALSE)</f>
        <v>San Rafael</v>
      </c>
    </row>
    <row r="1573" spans="1:19" x14ac:dyDescent="0.2">
      <c r="A1573" s="1">
        <v>45933</v>
      </c>
      <c r="B1573" t="s">
        <v>4015</v>
      </c>
      <c r="D1573" t="s">
        <v>4016</v>
      </c>
      <c r="E1573" t="s">
        <v>16</v>
      </c>
      <c r="F1573" t="s">
        <v>38</v>
      </c>
      <c r="G1573" s="14">
        <v>280000</v>
      </c>
      <c r="H1573" s="14">
        <v>262500</v>
      </c>
      <c r="I1573" t="s">
        <v>22</v>
      </c>
      <c r="J1573" t="s">
        <v>22</v>
      </c>
      <c r="K1573" t="s">
        <v>4017</v>
      </c>
      <c r="L1573" t="s">
        <v>3473</v>
      </c>
      <c r="M1573" t="s">
        <v>28</v>
      </c>
      <c r="N1573">
        <v>2</v>
      </c>
      <c r="O1573" t="s">
        <v>40</v>
      </c>
      <c r="P1573" t="s">
        <v>21</v>
      </c>
      <c r="Q1573" t="s">
        <v>30</v>
      </c>
      <c r="R1573" t="str">
        <f>VLOOKUP($O1573,'Mapa Oficinas'!$A$7:$C$46,2,FALSE)</f>
        <v>Zona Norte (GBA)</v>
      </c>
      <c r="S1573" t="str">
        <f>VLOOKUP($O1573,'Mapa Oficinas'!$A$7:$C$46,3,FALSE)</f>
        <v>Pilar</v>
      </c>
    </row>
    <row r="1574" spans="1:19" x14ac:dyDescent="0.2">
      <c r="A1574" s="1">
        <v>45933</v>
      </c>
      <c r="B1574">
        <v>10546</v>
      </c>
      <c r="D1574" t="s">
        <v>4002</v>
      </c>
      <c r="E1574" t="s">
        <v>16</v>
      </c>
      <c r="F1574" t="s">
        <v>17</v>
      </c>
      <c r="G1574" s="14">
        <v>0</v>
      </c>
      <c r="H1574" s="14">
        <v>265000</v>
      </c>
      <c r="I1574" t="s">
        <v>22</v>
      </c>
      <c r="J1574" t="s">
        <v>22</v>
      </c>
      <c r="L1574" t="s">
        <v>205</v>
      </c>
      <c r="M1574" t="s">
        <v>19</v>
      </c>
      <c r="N1574">
        <v>1</v>
      </c>
      <c r="O1574" t="s">
        <v>103</v>
      </c>
      <c r="P1574" t="s">
        <v>146</v>
      </c>
      <c r="Q1574" t="s">
        <v>30</v>
      </c>
      <c r="R1574" t="str">
        <f>VLOOKUP($O1574,'Mapa Oficinas'!$A$7:$C$46,2,FALSE)</f>
        <v>CABA</v>
      </c>
      <c r="S1574" t="str">
        <f>VLOOKUP($O1574,'Mapa Oficinas'!$A$7:$C$46,3,FALSE)</f>
        <v>Barrio Parque</v>
      </c>
    </row>
    <row r="1575" spans="1:19" x14ac:dyDescent="0.2">
      <c r="A1575" s="1">
        <v>45933</v>
      </c>
      <c r="B1575">
        <v>10447</v>
      </c>
      <c r="D1575" t="s">
        <v>4028</v>
      </c>
      <c r="E1575" t="s">
        <v>16</v>
      </c>
      <c r="F1575" t="s">
        <v>17</v>
      </c>
      <c r="G1575" s="14">
        <v>0</v>
      </c>
      <c r="H1575" s="14">
        <v>340000</v>
      </c>
      <c r="I1575" t="s">
        <v>22</v>
      </c>
      <c r="J1575" t="s">
        <v>22</v>
      </c>
      <c r="L1575" t="s">
        <v>271</v>
      </c>
      <c r="M1575" t="s">
        <v>19</v>
      </c>
      <c r="N1575">
        <v>2</v>
      </c>
      <c r="O1575" t="s">
        <v>103</v>
      </c>
      <c r="P1575" t="s">
        <v>276</v>
      </c>
      <c r="Q1575" t="s">
        <v>30</v>
      </c>
      <c r="R1575" t="str">
        <f>VLOOKUP($O1575,'Mapa Oficinas'!$A$7:$C$46,2,FALSE)</f>
        <v>CABA</v>
      </c>
      <c r="S1575" t="str">
        <f>VLOOKUP($O1575,'Mapa Oficinas'!$A$7:$C$46,3,FALSE)</f>
        <v>Barrio Parque</v>
      </c>
    </row>
    <row r="1576" spans="1:19" x14ac:dyDescent="0.2">
      <c r="A1576" s="1">
        <v>45933</v>
      </c>
      <c r="B1576" t="s">
        <v>4020</v>
      </c>
      <c r="D1576" t="s">
        <v>4021</v>
      </c>
      <c r="E1576" t="s">
        <v>16</v>
      </c>
      <c r="F1576" t="s">
        <v>17</v>
      </c>
      <c r="G1576" s="14">
        <v>390000</v>
      </c>
      <c r="H1576" s="14">
        <v>365000</v>
      </c>
      <c r="I1576" t="s">
        <v>22</v>
      </c>
      <c r="J1576" t="s">
        <v>22</v>
      </c>
      <c r="K1576" t="s">
        <v>4022</v>
      </c>
      <c r="L1576" t="s">
        <v>277</v>
      </c>
      <c r="M1576" t="s">
        <v>19</v>
      </c>
      <c r="N1576">
        <v>2</v>
      </c>
      <c r="O1576" t="s">
        <v>206</v>
      </c>
      <c r="P1576" t="s">
        <v>21</v>
      </c>
      <c r="Q1576" t="s">
        <v>30</v>
      </c>
      <c r="R1576" t="str">
        <f>VLOOKUP($O1576,'Mapa Oficinas'!$A$7:$C$46,2,FALSE)</f>
        <v>CABA</v>
      </c>
      <c r="S1576" t="str">
        <f>VLOOKUP($O1576,'Mapa Oficinas'!$A$7:$C$46,3,FALSE)</f>
        <v>Belgrano</v>
      </c>
    </row>
    <row r="1577" spans="1:19" x14ac:dyDescent="0.2">
      <c r="A1577" s="1">
        <v>45935</v>
      </c>
      <c r="B1577" t="s">
        <v>3992</v>
      </c>
      <c r="D1577" t="s">
        <v>3993</v>
      </c>
      <c r="E1577" t="s">
        <v>16</v>
      </c>
      <c r="F1577" t="s">
        <v>17</v>
      </c>
      <c r="G1577" s="14">
        <v>47000</v>
      </c>
      <c r="H1577" s="14">
        <v>46000</v>
      </c>
      <c r="I1577" t="s">
        <v>22</v>
      </c>
      <c r="J1577" t="s">
        <v>22</v>
      </c>
      <c r="K1577" t="s">
        <v>3994</v>
      </c>
      <c r="L1577" t="s">
        <v>170</v>
      </c>
      <c r="M1577" t="s">
        <v>19</v>
      </c>
      <c r="N1577">
        <v>1</v>
      </c>
      <c r="O1577" t="s">
        <v>171</v>
      </c>
      <c r="P1577" t="s">
        <v>66</v>
      </c>
      <c r="Q1577" t="s">
        <v>30</v>
      </c>
      <c r="R1577" t="str">
        <f>VLOOKUP($O1577,'Mapa Oficinas'!$A$7:$C$46,2,FALSE)</f>
        <v>Zona Sur (GBA)</v>
      </c>
      <c r="S1577" t="str">
        <f>VLOOKUP($O1577,'Mapa Oficinas'!$A$7:$C$46,3,FALSE)</f>
        <v>La Plata</v>
      </c>
    </row>
    <row r="1578" spans="1:19" x14ac:dyDescent="0.2">
      <c r="A1578" s="1">
        <v>45936</v>
      </c>
      <c r="D1578" t="s">
        <v>3991</v>
      </c>
      <c r="E1578" t="s">
        <v>16</v>
      </c>
      <c r="F1578" t="s">
        <v>896</v>
      </c>
      <c r="G1578" s="14">
        <v>45000</v>
      </c>
      <c r="H1578" s="14">
        <v>45000</v>
      </c>
      <c r="I1578" t="s">
        <v>22</v>
      </c>
      <c r="J1578" t="s">
        <v>22</v>
      </c>
      <c r="K1578" t="s">
        <v>3860</v>
      </c>
      <c r="L1578" t="s">
        <v>449</v>
      </c>
      <c r="M1578" t="s">
        <v>97</v>
      </c>
      <c r="N1578">
        <v>2</v>
      </c>
      <c r="O1578" t="s">
        <v>367</v>
      </c>
      <c r="P1578" t="s">
        <v>21</v>
      </c>
      <c r="Q1578" t="s">
        <v>30</v>
      </c>
      <c r="R1578" t="str">
        <f>VLOOKUP($O1578,'Mapa Oficinas'!$A$7:$C$46,2,FALSE)</f>
        <v>Interior - Neuquén</v>
      </c>
      <c r="S1578" t="str">
        <f>VLOOKUP($O1578,'Mapa Oficinas'!$A$7:$C$46,3,FALSE)</f>
        <v>San Martín de los Andes</v>
      </c>
    </row>
    <row r="1579" spans="1:19" x14ac:dyDescent="0.2">
      <c r="A1579" s="1">
        <v>45936</v>
      </c>
      <c r="B1579" t="s">
        <v>3967</v>
      </c>
      <c r="D1579" t="s">
        <v>3374</v>
      </c>
      <c r="E1579" t="s">
        <v>16</v>
      </c>
      <c r="F1579" t="s">
        <v>17</v>
      </c>
      <c r="G1579" s="14">
        <v>50000</v>
      </c>
      <c r="H1579" s="14">
        <v>50000</v>
      </c>
      <c r="I1579" t="s">
        <v>22</v>
      </c>
      <c r="J1579" t="s">
        <v>22</v>
      </c>
      <c r="K1579" t="s">
        <v>2662</v>
      </c>
      <c r="L1579" t="s">
        <v>2663</v>
      </c>
      <c r="M1579" t="s">
        <v>19</v>
      </c>
      <c r="N1579">
        <v>2</v>
      </c>
      <c r="O1579" t="s">
        <v>73</v>
      </c>
      <c r="P1579" t="s">
        <v>36</v>
      </c>
      <c r="Q1579" t="s">
        <v>30</v>
      </c>
      <c r="R1579" t="str">
        <f>VLOOKUP($O1579,'Mapa Oficinas'!$A$7:$C$46,2,FALSE)</f>
        <v>CABA</v>
      </c>
      <c r="S1579" t="str">
        <f>VLOOKUP($O1579,'Mapa Oficinas'!$A$7:$C$46,3,FALSE)</f>
        <v>Recoleta</v>
      </c>
    </row>
    <row r="1580" spans="1:19" x14ac:dyDescent="0.2">
      <c r="A1580" s="1">
        <v>45936</v>
      </c>
      <c r="B1580" t="s">
        <v>3373</v>
      </c>
      <c r="D1580" t="s">
        <v>3374</v>
      </c>
      <c r="E1580" t="s">
        <v>16</v>
      </c>
      <c r="F1580" t="s">
        <v>17</v>
      </c>
      <c r="G1580" s="14">
        <v>54000</v>
      </c>
      <c r="H1580" s="14">
        <v>54000</v>
      </c>
      <c r="I1580" t="s">
        <v>22</v>
      </c>
      <c r="J1580" t="s">
        <v>22</v>
      </c>
      <c r="K1580" t="s">
        <v>2662</v>
      </c>
      <c r="L1580" t="s">
        <v>2663</v>
      </c>
      <c r="M1580" t="s">
        <v>19</v>
      </c>
      <c r="N1580">
        <v>2</v>
      </c>
      <c r="O1580" t="s">
        <v>73</v>
      </c>
      <c r="P1580" t="s">
        <v>36</v>
      </c>
      <c r="Q1580" t="s">
        <v>30</v>
      </c>
      <c r="R1580" t="str">
        <f>VLOOKUP($O1580,'Mapa Oficinas'!$A$7:$C$46,2,FALSE)</f>
        <v>CABA</v>
      </c>
      <c r="S1580" t="str">
        <f>VLOOKUP($O1580,'Mapa Oficinas'!$A$7:$C$46,3,FALSE)</f>
        <v>Recoleta</v>
      </c>
    </row>
    <row r="1581" spans="1:19" x14ac:dyDescent="0.2">
      <c r="A1581" s="1">
        <v>45936</v>
      </c>
      <c r="B1581" t="s">
        <v>3985</v>
      </c>
      <c r="D1581" t="s">
        <v>3986</v>
      </c>
      <c r="E1581" t="s">
        <v>16</v>
      </c>
      <c r="F1581" t="s">
        <v>47</v>
      </c>
      <c r="G1581" s="14">
        <v>60000</v>
      </c>
      <c r="H1581" s="14">
        <v>57000</v>
      </c>
      <c r="I1581" t="s">
        <v>22</v>
      </c>
      <c r="J1581" t="s">
        <v>22</v>
      </c>
      <c r="K1581" t="s">
        <v>3987</v>
      </c>
      <c r="L1581" t="s">
        <v>977</v>
      </c>
      <c r="M1581" t="s">
        <v>28</v>
      </c>
      <c r="N1581">
        <v>1</v>
      </c>
      <c r="O1581" t="s">
        <v>55</v>
      </c>
      <c r="P1581" t="s">
        <v>131</v>
      </c>
      <c r="Q1581" t="s">
        <v>30</v>
      </c>
      <c r="R1581" t="str">
        <f>VLOOKUP($O1581,'Mapa Oficinas'!$A$7:$C$46,2,FALSE)</f>
        <v>Interior - Santa Fe</v>
      </c>
      <c r="S1581" t="str">
        <f>VLOOKUP($O1581,'Mapa Oficinas'!$A$7:$C$46,3,FALSE)</f>
        <v>Capital Santa Fe</v>
      </c>
    </row>
    <row r="1582" spans="1:19" x14ac:dyDescent="0.2">
      <c r="A1582" s="1">
        <v>45936</v>
      </c>
      <c r="B1582" t="s">
        <v>3982</v>
      </c>
      <c r="D1582" t="s">
        <v>3983</v>
      </c>
      <c r="E1582" t="s">
        <v>16</v>
      </c>
      <c r="F1582" t="s">
        <v>82</v>
      </c>
      <c r="G1582" s="14">
        <v>73000</v>
      </c>
      <c r="H1582" s="14">
        <v>73000</v>
      </c>
      <c r="I1582" t="s">
        <v>22</v>
      </c>
      <c r="J1582" t="s">
        <v>22</v>
      </c>
      <c r="K1582" t="s">
        <v>3984</v>
      </c>
      <c r="L1582" t="s">
        <v>54</v>
      </c>
      <c r="M1582" t="s">
        <v>19</v>
      </c>
      <c r="N1582">
        <v>1</v>
      </c>
      <c r="O1582" t="s">
        <v>55</v>
      </c>
      <c r="P1582" t="s">
        <v>131</v>
      </c>
      <c r="Q1582" t="s">
        <v>30</v>
      </c>
      <c r="R1582" t="str">
        <f>VLOOKUP($O1582,'Mapa Oficinas'!$A$7:$C$46,2,FALSE)</f>
        <v>Interior - Santa Fe</v>
      </c>
      <c r="S1582" t="str">
        <f>VLOOKUP($O1582,'Mapa Oficinas'!$A$7:$C$46,3,FALSE)</f>
        <v>Capital Santa Fe</v>
      </c>
    </row>
    <row r="1583" spans="1:19" x14ac:dyDescent="0.2">
      <c r="A1583" s="1">
        <v>45936</v>
      </c>
      <c r="B1583" t="s">
        <v>3968</v>
      </c>
      <c r="D1583" t="s">
        <v>3969</v>
      </c>
      <c r="E1583" t="s">
        <v>16</v>
      </c>
      <c r="F1583" t="s">
        <v>17</v>
      </c>
      <c r="G1583" s="14">
        <v>74900</v>
      </c>
      <c r="H1583" s="14">
        <v>73000</v>
      </c>
      <c r="I1583" t="s">
        <v>22</v>
      </c>
      <c r="J1583" t="s">
        <v>22</v>
      </c>
      <c r="K1583" t="s">
        <v>3970</v>
      </c>
      <c r="L1583" t="s">
        <v>938</v>
      </c>
      <c r="M1583" t="s">
        <v>72</v>
      </c>
      <c r="N1583">
        <v>2</v>
      </c>
      <c r="O1583" t="s">
        <v>1081</v>
      </c>
      <c r="P1583" t="s">
        <v>276</v>
      </c>
      <c r="Q1583" t="s">
        <v>30</v>
      </c>
      <c r="R1583" t="str">
        <f>VLOOKUP($O1583,'Mapa Oficinas'!$A$7:$C$46,2,FALSE)</f>
        <v>Zona Sur (GBA)</v>
      </c>
      <c r="S1583" t="str">
        <f>VLOOKUP($O1583,'Mapa Oficinas'!$A$7:$C$46,3,FALSE)</f>
        <v>Canning</v>
      </c>
    </row>
    <row r="1584" spans="1:19" x14ac:dyDescent="0.2">
      <c r="A1584" s="1">
        <v>45936</v>
      </c>
      <c r="B1584" t="s">
        <v>3964</v>
      </c>
      <c r="D1584" t="s">
        <v>3965</v>
      </c>
      <c r="E1584" t="s">
        <v>16</v>
      </c>
      <c r="F1584" t="s">
        <v>17</v>
      </c>
      <c r="G1584" s="14">
        <v>98500</v>
      </c>
      <c r="H1584" s="14">
        <v>94000</v>
      </c>
      <c r="I1584" t="s">
        <v>22</v>
      </c>
      <c r="J1584" t="s">
        <v>22</v>
      </c>
      <c r="K1584" t="s">
        <v>3966</v>
      </c>
      <c r="L1584" t="s">
        <v>79</v>
      </c>
      <c r="M1584" t="s">
        <v>19</v>
      </c>
      <c r="N1584">
        <v>2</v>
      </c>
      <c r="O1584" t="s">
        <v>103</v>
      </c>
      <c r="P1584" t="s">
        <v>276</v>
      </c>
      <c r="Q1584" t="s">
        <v>30</v>
      </c>
      <c r="R1584" t="str">
        <f>VLOOKUP($O1584,'Mapa Oficinas'!$A$7:$C$46,2,FALSE)</f>
        <v>CABA</v>
      </c>
      <c r="S1584" t="str">
        <f>VLOOKUP($O1584,'Mapa Oficinas'!$A$7:$C$46,3,FALSE)</f>
        <v>Barrio Parque</v>
      </c>
    </row>
    <row r="1585" spans="1:19" x14ac:dyDescent="0.2">
      <c r="A1585" s="1">
        <v>45936</v>
      </c>
      <c r="B1585" t="s">
        <v>3977</v>
      </c>
      <c r="D1585" t="s">
        <v>3978</v>
      </c>
      <c r="E1585" t="s">
        <v>16</v>
      </c>
      <c r="F1585" t="s">
        <v>17</v>
      </c>
      <c r="G1585" s="14">
        <v>138000</v>
      </c>
      <c r="H1585" s="14">
        <v>138000</v>
      </c>
      <c r="I1585" t="s">
        <v>22</v>
      </c>
      <c r="J1585" t="s">
        <v>22</v>
      </c>
      <c r="K1585" t="s">
        <v>3979</v>
      </c>
      <c r="L1585" t="s">
        <v>71</v>
      </c>
      <c r="M1585" t="s">
        <v>19</v>
      </c>
      <c r="N1585">
        <v>1</v>
      </c>
      <c r="O1585" t="s">
        <v>142</v>
      </c>
      <c r="P1585" t="s">
        <v>146</v>
      </c>
      <c r="Q1585" t="s">
        <v>30</v>
      </c>
      <c r="R1585" t="str">
        <f>VLOOKUP($O1585,'Mapa Oficinas'!$A$7:$C$46,2,FALSE)</f>
        <v>Zona Norte (GBA)</v>
      </c>
      <c r="S1585" t="str">
        <f>VLOOKUP($O1585,'Mapa Oficinas'!$A$7:$C$46,3,FALSE)</f>
        <v>Nordelta</v>
      </c>
    </row>
    <row r="1586" spans="1:19" x14ac:dyDescent="0.2">
      <c r="A1586" s="1">
        <v>45936</v>
      </c>
      <c r="B1586" t="s">
        <v>3975</v>
      </c>
      <c r="D1586" t="s">
        <v>3976</v>
      </c>
      <c r="E1586" t="s">
        <v>16</v>
      </c>
      <c r="F1586" t="s">
        <v>17</v>
      </c>
      <c r="G1586" s="14">
        <v>149000</v>
      </c>
      <c r="H1586" s="14">
        <v>160000</v>
      </c>
      <c r="I1586" t="s">
        <v>22</v>
      </c>
      <c r="J1586" t="s">
        <v>22</v>
      </c>
      <c r="K1586" t="s">
        <v>1702</v>
      </c>
      <c r="L1586" t="s">
        <v>1633</v>
      </c>
      <c r="M1586" t="s">
        <v>19</v>
      </c>
      <c r="N1586">
        <v>1</v>
      </c>
      <c r="O1586" t="s">
        <v>142</v>
      </c>
      <c r="P1586" t="s">
        <v>146</v>
      </c>
      <c r="Q1586" t="s">
        <v>30</v>
      </c>
      <c r="R1586" t="str">
        <f>VLOOKUP($O1586,'Mapa Oficinas'!$A$7:$C$46,2,FALSE)</f>
        <v>Zona Norte (GBA)</v>
      </c>
      <c r="S1586" t="str">
        <f>VLOOKUP($O1586,'Mapa Oficinas'!$A$7:$C$46,3,FALSE)</f>
        <v>Nordelta</v>
      </c>
    </row>
    <row r="1587" spans="1:19" x14ac:dyDescent="0.2">
      <c r="A1587" s="1">
        <v>45936</v>
      </c>
      <c r="B1587" t="s">
        <v>3988</v>
      </c>
      <c r="D1587" t="s">
        <v>3989</v>
      </c>
      <c r="E1587" t="s">
        <v>16</v>
      </c>
      <c r="F1587" t="s">
        <v>17</v>
      </c>
      <c r="G1587" s="14">
        <v>239000</v>
      </c>
      <c r="H1587" s="14">
        <v>218000</v>
      </c>
      <c r="I1587" t="s">
        <v>22</v>
      </c>
      <c r="J1587" t="s">
        <v>22</v>
      </c>
      <c r="K1587" t="s">
        <v>3990</v>
      </c>
      <c r="L1587" t="s">
        <v>217</v>
      </c>
      <c r="M1587" t="s">
        <v>19</v>
      </c>
      <c r="N1587">
        <v>2</v>
      </c>
      <c r="O1587" t="s">
        <v>20</v>
      </c>
      <c r="P1587" t="s">
        <v>21</v>
      </c>
      <c r="Q1587" t="s">
        <v>30</v>
      </c>
      <c r="R1587" t="str">
        <f>VLOOKUP($O1587,'Mapa Oficinas'!$A$7:$C$46,2,FALSE)</f>
        <v>CABA</v>
      </c>
      <c r="S1587" t="str">
        <f>VLOOKUP($O1587,'Mapa Oficinas'!$A$7:$C$46,3,FALSE)</f>
        <v>Palermo</v>
      </c>
    </row>
    <row r="1588" spans="1:19" x14ac:dyDescent="0.2">
      <c r="A1588" s="1">
        <v>45936</v>
      </c>
      <c r="B1588" t="s">
        <v>3980</v>
      </c>
      <c r="D1588" t="s">
        <v>3981</v>
      </c>
      <c r="E1588" t="s">
        <v>16</v>
      </c>
      <c r="F1588" t="s">
        <v>17</v>
      </c>
      <c r="G1588" s="14">
        <v>380000</v>
      </c>
      <c r="H1588" s="14">
        <v>360000</v>
      </c>
      <c r="I1588" t="s">
        <v>22</v>
      </c>
      <c r="J1588" t="s">
        <v>22</v>
      </c>
      <c r="K1588" t="s">
        <v>3981</v>
      </c>
      <c r="L1588" t="s">
        <v>257</v>
      </c>
      <c r="M1588" t="s">
        <v>19</v>
      </c>
      <c r="N1588">
        <v>1</v>
      </c>
      <c r="O1588" t="s">
        <v>142</v>
      </c>
      <c r="P1588" t="s">
        <v>146</v>
      </c>
      <c r="Q1588" t="s">
        <v>30</v>
      </c>
      <c r="R1588" t="str">
        <f>VLOOKUP($O1588,'Mapa Oficinas'!$A$7:$C$46,2,FALSE)</f>
        <v>Zona Norte (GBA)</v>
      </c>
      <c r="S1588" t="str">
        <f>VLOOKUP($O1588,'Mapa Oficinas'!$A$7:$C$46,3,FALSE)</f>
        <v>Nordelta</v>
      </c>
    </row>
    <row r="1589" spans="1:19" x14ac:dyDescent="0.2">
      <c r="A1589" s="1">
        <v>45937</v>
      </c>
      <c r="B1589" t="s">
        <v>3938</v>
      </c>
      <c r="D1589" t="s">
        <v>3939</v>
      </c>
      <c r="E1589" t="s">
        <v>16</v>
      </c>
      <c r="F1589" t="s">
        <v>17</v>
      </c>
      <c r="G1589" s="14">
        <v>52000</v>
      </c>
      <c r="H1589" s="14">
        <v>52000</v>
      </c>
      <c r="I1589" t="s">
        <v>22</v>
      </c>
      <c r="J1589" t="s">
        <v>22</v>
      </c>
      <c r="K1589" t="s">
        <v>3150</v>
      </c>
      <c r="L1589" t="s">
        <v>2705</v>
      </c>
      <c r="M1589" t="s">
        <v>72</v>
      </c>
      <c r="N1589">
        <v>2</v>
      </c>
      <c r="O1589" t="s">
        <v>35</v>
      </c>
      <c r="P1589" t="s">
        <v>256</v>
      </c>
      <c r="Q1589" t="s">
        <v>30</v>
      </c>
      <c r="R1589" t="str">
        <f>VLOOKUP($O1589,'Mapa Oficinas'!$A$7:$C$46,2,FALSE)</f>
        <v>Zona Norte (GBA)</v>
      </c>
      <c r="S1589" t="str">
        <f>VLOOKUP($O1589,'Mapa Oficinas'!$A$7:$C$46,3,FALSE)</f>
        <v>Vicente López</v>
      </c>
    </row>
    <row r="1590" spans="1:19" x14ac:dyDescent="0.2">
      <c r="A1590" s="1">
        <v>45937</v>
      </c>
      <c r="B1590" t="s">
        <v>3943</v>
      </c>
      <c r="D1590" t="s">
        <v>3944</v>
      </c>
      <c r="E1590" t="s">
        <v>16</v>
      </c>
      <c r="F1590" t="s">
        <v>17</v>
      </c>
      <c r="G1590" s="14">
        <v>54000</v>
      </c>
      <c r="H1590" s="14">
        <v>57000</v>
      </c>
      <c r="I1590" t="s">
        <v>22</v>
      </c>
      <c r="J1590" t="s">
        <v>22</v>
      </c>
      <c r="K1590" t="s">
        <v>3945</v>
      </c>
      <c r="L1590" t="s">
        <v>2068</v>
      </c>
      <c r="M1590" t="s">
        <v>19</v>
      </c>
      <c r="N1590">
        <v>2</v>
      </c>
      <c r="O1590" t="s">
        <v>151</v>
      </c>
      <c r="P1590" t="s">
        <v>21</v>
      </c>
      <c r="Q1590" t="s">
        <v>30</v>
      </c>
      <c r="R1590" t="str">
        <f>VLOOKUP($O1590,'Mapa Oficinas'!$A$7:$C$46,2,FALSE)</f>
        <v>Interior - Neuquén</v>
      </c>
      <c r="S1590" t="str">
        <f>VLOOKUP($O1590,'Mapa Oficinas'!$A$7:$C$46,3,FALSE)</f>
        <v>Capital Neuquén</v>
      </c>
    </row>
    <row r="1591" spans="1:19" x14ac:dyDescent="0.2">
      <c r="A1591" s="1">
        <v>45937</v>
      </c>
      <c r="B1591" t="s">
        <v>3620</v>
      </c>
      <c r="D1591" t="s">
        <v>3621</v>
      </c>
      <c r="E1591" t="s">
        <v>16</v>
      </c>
      <c r="F1591" t="s">
        <v>17</v>
      </c>
      <c r="G1591" s="14">
        <v>75000</v>
      </c>
      <c r="H1591" s="14">
        <v>71000</v>
      </c>
      <c r="I1591" t="s">
        <v>22</v>
      </c>
      <c r="J1591" t="s">
        <v>22</v>
      </c>
      <c r="K1591" t="s">
        <v>3622</v>
      </c>
      <c r="L1591" t="s">
        <v>226</v>
      </c>
      <c r="M1591" t="s">
        <v>19</v>
      </c>
      <c r="N1591">
        <v>2</v>
      </c>
      <c r="O1591" t="s">
        <v>50</v>
      </c>
      <c r="P1591" t="s">
        <v>21</v>
      </c>
      <c r="Q1591" t="s">
        <v>30</v>
      </c>
      <c r="R1591" t="str">
        <f>VLOOKUP($O1591,'Mapa Oficinas'!$A$7:$C$46,2,FALSE)</f>
        <v>CABA</v>
      </c>
      <c r="S1591" t="str">
        <f>VLOOKUP($O1591,'Mapa Oficinas'!$A$7:$C$46,3,FALSE)</f>
        <v>Villa Urquiza</v>
      </c>
    </row>
    <row r="1592" spans="1:19" x14ac:dyDescent="0.2">
      <c r="A1592" s="1">
        <v>45937</v>
      </c>
      <c r="B1592" t="s">
        <v>3961</v>
      </c>
      <c r="D1592" t="s">
        <v>3962</v>
      </c>
      <c r="E1592" t="s">
        <v>16</v>
      </c>
      <c r="F1592" t="s">
        <v>17</v>
      </c>
      <c r="G1592" s="14">
        <v>92000</v>
      </c>
      <c r="H1592" s="14">
        <v>87000</v>
      </c>
      <c r="I1592" t="s">
        <v>22</v>
      </c>
      <c r="J1592" t="s">
        <v>22</v>
      </c>
      <c r="K1592" t="s">
        <v>3963</v>
      </c>
      <c r="L1592" t="s">
        <v>199</v>
      </c>
      <c r="M1592" t="s">
        <v>72</v>
      </c>
      <c r="N1592">
        <v>2</v>
      </c>
      <c r="O1592" t="s">
        <v>103</v>
      </c>
      <c r="P1592" t="s">
        <v>276</v>
      </c>
      <c r="Q1592" t="s">
        <v>30</v>
      </c>
      <c r="R1592" t="str">
        <f>VLOOKUP($O1592,'Mapa Oficinas'!$A$7:$C$46,2,FALSE)</f>
        <v>CABA</v>
      </c>
      <c r="S1592" t="str">
        <f>VLOOKUP($O1592,'Mapa Oficinas'!$A$7:$C$46,3,FALSE)</f>
        <v>Barrio Parque</v>
      </c>
    </row>
    <row r="1593" spans="1:19" x14ac:dyDescent="0.2">
      <c r="A1593" s="1">
        <v>45937</v>
      </c>
      <c r="B1593" t="s">
        <v>3933</v>
      </c>
      <c r="D1593" t="s">
        <v>3934</v>
      </c>
      <c r="E1593" t="s">
        <v>16</v>
      </c>
      <c r="F1593" t="s">
        <v>17</v>
      </c>
      <c r="G1593" s="14">
        <v>95000</v>
      </c>
      <c r="H1593" s="14">
        <v>92000</v>
      </c>
      <c r="I1593" t="s">
        <v>22</v>
      </c>
      <c r="J1593" t="s">
        <v>22</v>
      </c>
      <c r="K1593" t="s">
        <v>3935</v>
      </c>
      <c r="L1593" t="s">
        <v>867</v>
      </c>
      <c r="M1593" t="s">
        <v>19</v>
      </c>
      <c r="N1593">
        <v>2</v>
      </c>
      <c r="O1593" t="s">
        <v>206</v>
      </c>
      <c r="P1593" t="s">
        <v>276</v>
      </c>
      <c r="Q1593" t="s">
        <v>30</v>
      </c>
      <c r="R1593" t="str">
        <f>VLOOKUP($O1593,'Mapa Oficinas'!$A$7:$C$46,2,FALSE)</f>
        <v>CABA</v>
      </c>
      <c r="S1593" t="str">
        <f>VLOOKUP($O1593,'Mapa Oficinas'!$A$7:$C$46,3,FALSE)</f>
        <v>Belgrano</v>
      </c>
    </row>
    <row r="1594" spans="1:19" x14ac:dyDescent="0.2">
      <c r="A1594" s="1">
        <v>45937</v>
      </c>
      <c r="D1594" t="s">
        <v>3936</v>
      </c>
      <c r="E1594" t="s">
        <v>16</v>
      </c>
      <c r="F1594" t="s">
        <v>82</v>
      </c>
      <c r="G1594" s="14">
        <v>132000</v>
      </c>
      <c r="H1594" s="14">
        <v>132000</v>
      </c>
      <c r="I1594" t="s">
        <v>22</v>
      </c>
      <c r="J1594" t="s">
        <v>22</v>
      </c>
      <c r="K1594" t="s">
        <v>3937</v>
      </c>
      <c r="L1594" t="s">
        <v>79</v>
      </c>
      <c r="M1594" t="s">
        <v>19</v>
      </c>
      <c r="N1594">
        <v>1</v>
      </c>
      <c r="O1594" t="s">
        <v>227</v>
      </c>
      <c r="P1594" t="s">
        <v>146</v>
      </c>
      <c r="Q1594" t="s">
        <v>30</v>
      </c>
      <c r="R1594" t="str">
        <f>VLOOKUP($O1594,'Mapa Oficinas'!$A$7:$C$46,2,FALSE)</f>
        <v>Zona Oeste (GBA)</v>
      </c>
      <c r="S1594" t="str">
        <f>VLOOKUP($O1594,'Mapa Oficinas'!$A$7:$C$46,3,FALSE)</f>
        <v>Parque Leloir</v>
      </c>
    </row>
    <row r="1595" spans="1:19" x14ac:dyDescent="0.2">
      <c r="A1595" s="1">
        <v>45937</v>
      </c>
      <c r="D1595" t="s">
        <v>3959</v>
      </c>
      <c r="E1595" t="s">
        <v>16</v>
      </c>
      <c r="F1595" t="s">
        <v>82</v>
      </c>
      <c r="G1595" s="14">
        <v>195000</v>
      </c>
      <c r="H1595" s="14">
        <v>187000</v>
      </c>
      <c r="I1595" t="s">
        <v>22</v>
      </c>
      <c r="J1595" t="s">
        <v>22</v>
      </c>
      <c r="K1595" t="s">
        <v>3960</v>
      </c>
      <c r="L1595" t="s">
        <v>330</v>
      </c>
      <c r="M1595" t="s">
        <v>19</v>
      </c>
      <c r="N1595">
        <v>1</v>
      </c>
      <c r="O1595" t="s">
        <v>206</v>
      </c>
      <c r="P1595" t="s">
        <v>146</v>
      </c>
      <c r="Q1595" t="s">
        <v>30</v>
      </c>
      <c r="R1595" t="str">
        <f>VLOOKUP($O1595,'Mapa Oficinas'!$A$7:$C$46,2,FALSE)</f>
        <v>CABA</v>
      </c>
      <c r="S1595" t="str">
        <f>VLOOKUP($O1595,'Mapa Oficinas'!$A$7:$C$46,3,FALSE)</f>
        <v>Belgrano</v>
      </c>
    </row>
    <row r="1596" spans="1:19" x14ac:dyDescent="0.2">
      <c r="A1596" s="1">
        <v>45937</v>
      </c>
      <c r="B1596" t="s">
        <v>3953</v>
      </c>
      <c r="D1596" t="s">
        <v>3954</v>
      </c>
      <c r="E1596" t="s">
        <v>16</v>
      </c>
      <c r="F1596" t="s">
        <v>47</v>
      </c>
      <c r="G1596" s="14">
        <v>229000</v>
      </c>
      <c r="H1596" s="14">
        <v>195000</v>
      </c>
      <c r="I1596" t="s">
        <v>22</v>
      </c>
      <c r="J1596" t="s">
        <v>22</v>
      </c>
      <c r="K1596" t="s">
        <v>3955</v>
      </c>
      <c r="L1596" t="s">
        <v>102</v>
      </c>
      <c r="M1596" t="s">
        <v>19</v>
      </c>
      <c r="N1596">
        <v>2</v>
      </c>
      <c r="O1596" t="s">
        <v>50</v>
      </c>
      <c r="P1596" t="s">
        <v>21</v>
      </c>
      <c r="Q1596" t="s">
        <v>30</v>
      </c>
      <c r="R1596" t="str">
        <f>VLOOKUP($O1596,'Mapa Oficinas'!$A$7:$C$46,2,FALSE)</f>
        <v>CABA</v>
      </c>
      <c r="S1596" t="str">
        <f>VLOOKUP($O1596,'Mapa Oficinas'!$A$7:$C$46,3,FALSE)</f>
        <v>Villa Urquiza</v>
      </c>
    </row>
    <row r="1597" spans="1:19" x14ac:dyDescent="0.2">
      <c r="A1597" s="1">
        <v>45937</v>
      </c>
      <c r="B1597" t="s">
        <v>3956</v>
      </c>
      <c r="D1597" t="s">
        <v>3957</v>
      </c>
      <c r="E1597" t="s">
        <v>16</v>
      </c>
      <c r="F1597" t="s">
        <v>17</v>
      </c>
      <c r="G1597" s="14">
        <v>219000</v>
      </c>
      <c r="H1597" s="14">
        <v>215000</v>
      </c>
      <c r="I1597" t="s">
        <v>22</v>
      </c>
      <c r="J1597" t="s">
        <v>22</v>
      </c>
      <c r="K1597" t="s">
        <v>3958</v>
      </c>
      <c r="L1597" t="s">
        <v>298</v>
      </c>
      <c r="M1597" t="s">
        <v>19</v>
      </c>
      <c r="N1597">
        <v>2</v>
      </c>
      <c r="O1597" t="s">
        <v>206</v>
      </c>
      <c r="P1597" t="s">
        <v>21</v>
      </c>
      <c r="Q1597" t="s">
        <v>30</v>
      </c>
      <c r="R1597" t="str">
        <f>VLOOKUP($O1597,'Mapa Oficinas'!$A$7:$C$46,2,FALSE)</f>
        <v>CABA</v>
      </c>
      <c r="S1597" t="str">
        <f>VLOOKUP($O1597,'Mapa Oficinas'!$A$7:$C$46,3,FALSE)</f>
        <v>Belgrano</v>
      </c>
    </row>
    <row r="1598" spans="1:19" x14ac:dyDescent="0.2">
      <c r="A1598" s="1">
        <v>45937</v>
      </c>
      <c r="B1598" t="s">
        <v>3940</v>
      </c>
      <c r="D1598" t="s">
        <v>3941</v>
      </c>
      <c r="E1598" t="s">
        <v>16</v>
      </c>
      <c r="F1598" t="s">
        <v>17</v>
      </c>
      <c r="G1598" s="14">
        <v>225000</v>
      </c>
      <c r="H1598" s="14">
        <v>220000</v>
      </c>
      <c r="I1598" t="s">
        <v>22</v>
      </c>
      <c r="J1598" t="s">
        <v>22</v>
      </c>
      <c r="K1598" t="s">
        <v>3942</v>
      </c>
      <c r="L1598" t="s">
        <v>810</v>
      </c>
      <c r="M1598" t="s">
        <v>19</v>
      </c>
      <c r="N1598">
        <v>2</v>
      </c>
      <c r="O1598" t="s">
        <v>142</v>
      </c>
      <c r="P1598" t="s">
        <v>21</v>
      </c>
      <c r="Q1598" t="s">
        <v>30</v>
      </c>
      <c r="R1598" t="str">
        <f>VLOOKUP($O1598,'Mapa Oficinas'!$A$7:$C$46,2,FALSE)</f>
        <v>Zona Norte (GBA)</v>
      </c>
      <c r="S1598" t="str">
        <f>VLOOKUP($O1598,'Mapa Oficinas'!$A$7:$C$46,3,FALSE)</f>
        <v>Nordelta</v>
      </c>
    </row>
    <row r="1599" spans="1:19" x14ac:dyDescent="0.2">
      <c r="A1599" s="1">
        <v>45937</v>
      </c>
      <c r="B1599" t="s">
        <v>3949</v>
      </c>
      <c r="D1599" t="s">
        <v>3950</v>
      </c>
      <c r="E1599" t="s">
        <v>16</v>
      </c>
      <c r="F1599" t="s">
        <v>58</v>
      </c>
      <c r="G1599" s="14">
        <v>229000</v>
      </c>
      <c r="H1599" s="14">
        <v>220000</v>
      </c>
      <c r="I1599" t="s">
        <v>22</v>
      </c>
      <c r="J1599" t="s">
        <v>22</v>
      </c>
      <c r="K1599" t="s">
        <v>3951</v>
      </c>
      <c r="L1599" t="s">
        <v>3952</v>
      </c>
      <c r="M1599" t="s">
        <v>28</v>
      </c>
      <c r="N1599">
        <v>2</v>
      </c>
      <c r="O1599" t="s">
        <v>50</v>
      </c>
      <c r="P1599" t="s">
        <v>21</v>
      </c>
      <c r="Q1599" t="s">
        <v>30</v>
      </c>
      <c r="R1599" t="str">
        <f>VLOOKUP($O1599,'Mapa Oficinas'!$A$7:$C$46,2,FALSE)</f>
        <v>CABA</v>
      </c>
      <c r="S1599" t="str">
        <f>VLOOKUP($O1599,'Mapa Oficinas'!$A$7:$C$46,3,FALSE)</f>
        <v>Villa Urquiza</v>
      </c>
    </row>
    <row r="1600" spans="1:19" x14ac:dyDescent="0.2">
      <c r="A1600" s="1">
        <v>45938</v>
      </c>
      <c r="B1600" t="s">
        <v>3912</v>
      </c>
      <c r="D1600" t="s">
        <v>3913</v>
      </c>
      <c r="E1600" t="s">
        <v>16</v>
      </c>
      <c r="F1600" t="s">
        <v>58</v>
      </c>
      <c r="G1600" s="14">
        <v>43900</v>
      </c>
      <c r="H1600" s="14">
        <v>42000</v>
      </c>
      <c r="I1600" t="s">
        <v>22</v>
      </c>
      <c r="J1600" t="s">
        <v>22</v>
      </c>
      <c r="K1600" t="s">
        <v>3914</v>
      </c>
      <c r="L1600" t="s">
        <v>2064</v>
      </c>
      <c r="M1600" t="s">
        <v>19</v>
      </c>
      <c r="N1600">
        <v>2</v>
      </c>
      <c r="O1600" t="s">
        <v>50</v>
      </c>
      <c r="P1600" t="s">
        <v>41</v>
      </c>
      <c r="Q1600" t="s">
        <v>30</v>
      </c>
      <c r="R1600" t="str">
        <f>VLOOKUP($O1600,'Mapa Oficinas'!$A$7:$C$46,2,FALSE)</f>
        <v>CABA</v>
      </c>
      <c r="S1600" t="str">
        <f>VLOOKUP($O1600,'Mapa Oficinas'!$A$7:$C$46,3,FALSE)</f>
        <v>Villa Urquiza</v>
      </c>
    </row>
    <row r="1601" spans="1:19" x14ac:dyDescent="0.2">
      <c r="A1601" s="1">
        <v>45938</v>
      </c>
      <c r="B1601" t="s">
        <v>3894</v>
      </c>
      <c r="D1601" t="s">
        <v>3895</v>
      </c>
      <c r="E1601" t="s">
        <v>16</v>
      </c>
      <c r="F1601" t="s">
        <v>17</v>
      </c>
      <c r="G1601" s="14">
        <v>50000</v>
      </c>
      <c r="H1601" s="14">
        <v>48000</v>
      </c>
      <c r="I1601" t="s">
        <v>22</v>
      </c>
      <c r="J1601" t="s">
        <v>22</v>
      </c>
      <c r="K1601" t="s">
        <v>3896</v>
      </c>
      <c r="L1601" t="s">
        <v>1849</v>
      </c>
      <c r="M1601" t="s">
        <v>19</v>
      </c>
      <c r="N1601">
        <v>2</v>
      </c>
      <c r="O1601" t="s">
        <v>227</v>
      </c>
      <c r="P1601" t="s">
        <v>21</v>
      </c>
      <c r="Q1601" t="s">
        <v>30</v>
      </c>
      <c r="R1601" t="str">
        <f>VLOOKUP($O1601,'Mapa Oficinas'!$A$7:$C$46,2,FALSE)</f>
        <v>Zona Oeste (GBA)</v>
      </c>
      <c r="S1601" t="str">
        <f>VLOOKUP($O1601,'Mapa Oficinas'!$A$7:$C$46,3,FALSE)</f>
        <v>Parque Leloir</v>
      </c>
    </row>
    <row r="1602" spans="1:19" x14ac:dyDescent="0.2">
      <c r="A1602" s="1">
        <v>45938</v>
      </c>
      <c r="B1602" t="s">
        <v>3927</v>
      </c>
      <c r="D1602" t="s">
        <v>3928</v>
      </c>
      <c r="E1602" t="s">
        <v>16</v>
      </c>
      <c r="F1602" t="s">
        <v>82</v>
      </c>
      <c r="G1602" s="14">
        <v>55000</v>
      </c>
      <c r="H1602" s="14">
        <v>55000</v>
      </c>
      <c r="I1602" t="s">
        <v>22</v>
      </c>
      <c r="J1602" t="s">
        <v>22</v>
      </c>
      <c r="K1602" t="s">
        <v>3929</v>
      </c>
      <c r="L1602" t="s">
        <v>313</v>
      </c>
      <c r="M1602" t="s">
        <v>28</v>
      </c>
      <c r="N1602">
        <v>1</v>
      </c>
      <c r="O1602" t="s">
        <v>213</v>
      </c>
      <c r="P1602" t="s">
        <v>131</v>
      </c>
      <c r="Q1602" t="s">
        <v>30</v>
      </c>
      <c r="R1602" t="str">
        <f>VLOOKUP($O1602,'Mapa Oficinas'!$A$7:$C$46,2,FALSE)</f>
        <v>Interior - Mendoza</v>
      </c>
      <c r="S1602" t="str">
        <f>VLOOKUP($O1602,'Mapa Oficinas'!$A$7:$C$46,3,FALSE)</f>
        <v>San Rafael</v>
      </c>
    </row>
    <row r="1603" spans="1:19" x14ac:dyDescent="0.2">
      <c r="A1603" s="1">
        <v>45938</v>
      </c>
      <c r="B1603" t="s">
        <v>3904</v>
      </c>
      <c r="D1603" t="s">
        <v>3905</v>
      </c>
      <c r="E1603" t="s">
        <v>16</v>
      </c>
      <c r="F1603" t="s">
        <v>17</v>
      </c>
      <c r="G1603" s="14">
        <v>87000</v>
      </c>
      <c r="H1603" s="14">
        <v>87000</v>
      </c>
      <c r="I1603" t="s">
        <v>22</v>
      </c>
      <c r="J1603" t="s">
        <v>22</v>
      </c>
      <c r="K1603" t="s">
        <v>3906</v>
      </c>
      <c r="L1603" t="s">
        <v>191</v>
      </c>
      <c r="M1603" t="s">
        <v>19</v>
      </c>
      <c r="N1603">
        <v>1</v>
      </c>
      <c r="O1603" t="s">
        <v>73</v>
      </c>
      <c r="P1603" t="s">
        <v>146</v>
      </c>
      <c r="Q1603" t="s">
        <v>30</v>
      </c>
      <c r="R1603" t="str">
        <f>VLOOKUP($O1603,'Mapa Oficinas'!$A$7:$C$46,2,FALSE)</f>
        <v>CABA</v>
      </c>
      <c r="S1603" t="str">
        <f>VLOOKUP($O1603,'Mapa Oficinas'!$A$7:$C$46,3,FALSE)</f>
        <v>Recoleta</v>
      </c>
    </row>
    <row r="1604" spans="1:19" x14ac:dyDescent="0.2">
      <c r="A1604" s="1">
        <v>45938</v>
      </c>
      <c r="B1604" t="s">
        <v>3919</v>
      </c>
      <c r="D1604" t="s">
        <v>3920</v>
      </c>
      <c r="E1604" t="s">
        <v>16</v>
      </c>
      <c r="F1604" t="s">
        <v>47</v>
      </c>
      <c r="G1604" s="14">
        <v>135000</v>
      </c>
      <c r="H1604" s="14">
        <v>116370</v>
      </c>
      <c r="I1604" t="s">
        <v>22</v>
      </c>
      <c r="J1604" t="s">
        <v>22</v>
      </c>
      <c r="K1604" t="s">
        <v>3921</v>
      </c>
      <c r="L1604" t="s">
        <v>102</v>
      </c>
      <c r="M1604" t="s">
        <v>72</v>
      </c>
      <c r="N1604">
        <v>2</v>
      </c>
      <c r="O1604" t="s">
        <v>50</v>
      </c>
      <c r="P1604" t="s">
        <v>41</v>
      </c>
      <c r="Q1604" t="s">
        <v>30</v>
      </c>
      <c r="R1604" t="str">
        <f>VLOOKUP($O1604,'Mapa Oficinas'!$A$7:$C$46,2,FALSE)</f>
        <v>CABA</v>
      </c>
      <c r="S1604" t="str">
        <f>VLOOKUP($O1604,'Mapa Oficinas'!$A$7:$C$46,3,FALSE)</f>
        <v>Villa Urquiza</v>
      </c>
    </row>
    <row r="1605" spans="1:19" x14ac:dyDescent="0.2">
      <c r="A1605" s="1">
        <v>45938</v>
      </c>
      <c r="B1605" t="s">
        <v>3922</v>
      </c>
      <c r="D1605" t="s">
        <v>3922</v>
      </c>
      <c r="E1605" t="s">
        <v>16</v>
      </c>
      <c r="F1605" t="s">
        <v>47</v>
      </c>
      <c r="G1605" s="14">
        <v>180000</v>
      </c>
      <c r="H1605" s="14">
        <v>135000</v>
      </c>
      <c r="I1605" t="s">
        <v>22</v>
      </c>
      <c r="J1605" t="s">
        <v>22</v>
      </c>
      <c r="L1605" t="s">
        <v>523</v>
      </c>
      <c r="M1605" t="s">
        <v>72</v>
      </c>
      <c r="N1605">
        <v>2</v>
      </c>
      <c r="O1605" t="s">
        <v>50</v>
      </c>
      <c r="P1605" t="s">
        <v>41</v>
      </c>
      <c r="Q1605" t="s">
        <v>30</v>
      </c>
      <c r="R1605" t="str">
        <f>VLOOKUP($O1605,'Mapa Oficinas'!$A$7:$C$46,2,FALSE)</f>
        <v>CABA</v>
      </c>
      <c r="S1605" t="str">
        <f>VLOOKUP($O1605,'Mapa Oficinas'!$A$7:$C$46,3,FALSE)</f>
        <v>Villa Urquiza</v>
      </c>
    </row>
    <row r="1606" spans="1:19" x14ac:dyDescent="0.2">
      <c r="A1606" s="1">
        <v>45938</v>
      </c>
      <c r="B1606" t="s">
        <v>3915</v>
      </c>
      <c r="D1606" t="s">
        <v>3915</v>
      </c>
      <c r="E1606" t="s">
        <v>16</v>
      </c>
      <c r="F1606" t="s">
        <v>58</v>
      </c>
      <c r="G1606" s="14">
        <v>140000</v>
      </c>
      <c r="H1606" s="14">
        <v>140000</v>
      </c>
      <c r="I1606" t="s">
        <v>22</v>
      </c>
      <c r="J1606" t="s">
        <v>22</v>
      </c>
      <c r="K1606" t="s">
        <v>3915</v>
      </c>
      <c r="L1606" t="s">
        <v>413</v>
      </c>
      <c r="M1606" t="s">
        <v>19</v>
      </c>
      <c r="N1606">
        <v>1</v>
      </c>
      <c r="O1606" t="s">
        <v>35</v>
      </c>
      <c r="P1606" t="s">
        <v>131</v>
      </c>
      <c r="Q1606" t="s">
        <v>30</v>
      </c>
      <c r="R1606" t="str">
        <f>VLOOKUP($O1606,'Mapa Oficinas'!$A$7:$C$46,2,FALSE)</f>
        <v>Zona Norte (GBA)</v>
      </c>
      <c r="S1606" t="str">
        <f>VLOOKUP($O1606,'Mapa Oficinas'!$A$7:$C$46,3,FALSE)</f>
        <v>Vicente López</v>
      </c>
    </row>
    <row r="1607" spans="1:19" x14ac:dyDescent="0.2">
      <c r="A1607" s="1">
        <v>45938</v>
      </c>
      <c r="B1607" t="s">
        <v>3901</v>
      </c>
      <c r="D1607" t="s">
        <v>3902</v>
      </c>
      <c r="E1607" t="s">
        <v>16</v>
      </c>
      <c r="F1607" t="s">
        <v>17</v>
      </c>
      <c r="G1607" s="14">
        <v>0</v>
      </c>
      <c r="H1607" s="14">
        <v>144000</v>
      </c>
      <c r="I1607" t="s">
        <v>22</v>
      </c>
      <c r="J1607" t="s">
        <v>22</v>
      </c>
      <c r="K1607" t="s">
        <v>3903</v>
      </c>
      <c r="L1607" t="s">
        <v>569</v>
      </c>
      <c r="M1607" t="s">
        <v>19</v>
      </c>
      <c r="N1607">
        <v>1</v>
      </c>
      <c r="O1607" t="s">
        <v>73</v>
      </c>
      <c r="P1607" t="s">
        <v>146</v>
      </c>
      <c r="Q1607" t="s">
        <v>30</v>
      </c>
      <c r="R1607" t="str">
        <f>VLOOKUP($O1607,'Mapa Oficinas'!$A$7:$C$46,2,FALSE)</f>
        <v>CABA</v>
      </c>
      <c r="S1607" t="str">
        <f>VLOOKUP($O1607,'Mapa Oficinas'!$A$7:$C$46,3,FALSE)</f>
        <v>Recoleta</v>
      </c>
    </row>
    <row r="1608" spans="1:19" x14ac:dyDescent="0.2">
      <c r="A1608" s="1">
        <v>45938</v>
      </c>
      <c r="B1608" t="s">
        <v>3907</v>
      </c>
      <c r="D1608" t="s">
        <v>3908</v>
      </c>
      <c r="E1608" t="s">
        <v>16</v>
      </c>
      <c r="F1608" t="s">
        <v>134</v>
      </c>
      <c r="G1608" s="14">
        <v>140000</v>
      </c>
      <c r="H1608" s="14">
        <v>145000</v>
      </c>
      <c r="I1608" t="s">
        <v>22</v>
      </c>
      <c r="J1608" t="s">
        <v>22</v>
      </c>
      <c r="K1608" t="s">
        <v>594</v>
      </c>
      <c r="L1608" t="s">
        <v>136</v>
      </c>
      <c r="M1608" t="s">
        <v>19</v>
      </c>
      <c r="N1608">
        <v>2</v>
      </c>
      <c r="O1608" t="s">
        <v>130</v>
      </c>
      <c r="P1608" t="s">
        <v>41</v>
      </c>
      <c r="Q1608" t="s">
        <v>30</v>
      </c>
      <c r="R1608" t="str">
        <f>VLOOKUP($O1608,'Mapa Oficinas'!$A$7:$C$46,2,FALSE)</f>
        <v>Interior - Río Negro</v>
      </c>
      <c r="S1608" t="str">
        <f>VLOOKUP($O1608,'Mapa Oficinas'!$A$7:$C$46,3,FALSE)</f>
        <v>Bariloche</v>
      </c>
    </row>
    <row r="1609" spans="1:19" x14ac:dyDescent="0.2">
      <c r="A1609" s="1">
        <v>45938</v>
      </c>
      <c r="B1609" t="s">
        <v>3923</v>
      </c>
      <c r="D1609" t="s">
        <v>3924</v>
      </c>
      <c r="E1609" t="s">
        <v>16</v>
      </c>
      <c r="F1609" t="s">
        <v>17</v>
      </c>
      <c r="G1609" s="14">
        <v>160000</v>
      </c>
      <c r="H1609" s="14">
        <v>159000</v>
      </c>
      <c r="I1609" t="s">
        <v>22</v>
      </c>
      <c r="J1609" t="s">
        <v>22</v>
      </c>
      <c r="K1609" t="s">
        <v>3925</v>
      </c>
      <c r="L1609" t="s">
        <v>3926</v>
      </c>
      <c r="M1609" t="s">
        <v>28</v>
      </c>
      <c r="N1609">
        <v>1</v>
      </c>
      <c r="O1609" t="s">
        <v>35</v>
      </c>
      <c r="P1609" t="s">
        <v>131</v>
      </c>
      <c r="Q1609" t="s">
        <v>30</v>
      </c>
      <c r="R1609" t="str">
        <f>VLOOKUP($O1609,'Mapa Oficinas'!$A$7:$C$46,2,FALSE)</f>
        <v>Zona Norte (GBA)</v>
      </c>
      <c r="S1609" t="str">
        <f>VLOOKUP($O1609,'Mapa Oficinas'!$A$7:$C$46,3,FALSE)</f>
        <v>Vicente López</v>
      </c>
    </row>
    <row r="1610" spans="1:19" x14ac:dyDescent="0.2">
      <c r="A1610" s="1">
        <v>45938</v>
      </c>
      <c r="B1610" t="s">
        <v>3930</v>
      </c>
      <c r="D1610" t="s">
        <v>3931</v>
      </c>
      <c r="E1610" t="s">
        <v>16</v>
      </c>
      <c r="F1610" t="s">
        <v>17</v>
      </c>
      <c r="G1610" s="14">
        <v>170000</v>
      </c>
      <c r="H1610" s="14">
        <v>160000</v>
      </c>
      <c r="I1610" t="s">
        <v>22</v>
      </c>
      <c r="J1610" t="s">
        <v>22</v>
      </c>
      <c r="K1610" t="s">
        <v>3932</v>
      </c>
      <c r="L1610" t="s">
        <v>1077</v>
      </c>
      <c r="M1610" t="s">
        <v>19</v>
      </c>
      <c r="N1610">
        <v>2</v>
      </c>
      <c r="O1610" t="s">
        <v>20</v>
      </c>
      <c r="P1610" t="s">
        <v>21</v>
      </c>
      <c r="Q1610" t="s">
        <v>30</v>
      </c>
      <c r="R1610" t="str">
        <f>VLOOKUP($O1610,'Mapa Oficinas'!$A$7:$C$46,2,FALSE)</f>
        <v>CABA</v>
      </c>
      <c r="S1610" t="str">
        <f>VLOOKUP($O1610,'Mapa Oficinas'!$A$7:$C$46,3,FALSE)</f>
        <v>Palermo</v>
      </c>
    </row>
    <row r="1611" spans="1:19" x14ac:dyDescent="0.2">
      <c r="A1611" s="1">
        <v>45938</v>
      </c>
      <c r="B1611">
        <v>32</v>
      </c>
      <c r="D1611" t="s">
        <v>3892</v>
      </c>
      <c r="E1611" t="s">
        <v>16</v>
      </c>
      <c r="F1611" t="s">
        <v>17</v>
      </c>
      <c r="G1611" s="14">
        <v>230000</v>
      </c>
      <c r="H1611" s="14">
        <v>230000</v>
      </c>
      <c r="I1611" t="s">
        <v>22</v>
      </c>
      <c r="J1611" t="s">
        <v>22</v>
      </c>
      <c r="K1611" t="s">
        <v>3893</v>
      </c>
      <c r="L1611" t="s">
        <v>545</v>
      </c>
      <c r="M1611" t="s">
        <v>97</v>
      </c>
      <c r="N1611">
        <v>1</v>
      </c>
      <c r="O1611" t="s">
        <v>116</v>
      </c>
      <c r="P1611" t="s">
        <v>146</v>
      </c>
      <c r="Q1611" t="s">
        <v>30</v>
      </c>
      <c r="R1611" t="str">
        <f>VLOOKUP($O1611,'Mapa Oficinas'!$A$7:$C$46,2,FALSE)</f>
        <v>CABA</v>
      </c>
      <c r="S1611" t="str">
        <f>VLOOKUP($O1611,'Mapa Oficinas'!$A$7:$C$46,3,FALSE)</f>
        <v>Puerto Madero</v>
      </c>
    </row>
    <row r="1612" spans="1:19" x14ac:dyDescent="0.2">
      <c r="A1612" s="1">
        <v>45938</v>
      </c>
      <c r="B1612" t="s">
        <v>3916</v>
      </c>
      <c r="D1612" t="s">
        <v>3917</v>
      </c>
      <c r="E1612" t="s">
        <v>16</v>
      </c>
      <c r="F1612" t="s">
        <v>58</v>
      </c>
      <c r="G1612" s="14">
        <v>350000</v>
      </c>
      <c r="H1612" s="14">
        <v>320000</v>
      </c>
      <c r="I1612" t="s">
        <v>22</v>
      </c>
      <c r="J1612" t="s">
        <v>22</v>
      </c>
      <c r="K1612" t="s">
        <v>3918</v>
      </c>
      <c r="L1612" t="s">
        <v>1498</v>
      </c>
      <c r="M1612" t="s">
        <v>28</v>
      </c>
      <c r="N1612">
        <v>2</v>
      </c>
      <c r="O1612" t="s">
        <v>50</v>
      </c>
      <c r="P1612" t="s">
        <v>41</v>
      </c>
      <c r="Q1612" t="s">
        <v>30</v>
      </c>
      <c r="R1612" t="str">
        <f>VLOOKUP($O1612,'Mapa Oficinas'!$A$7:$C$46,2,FALSE)</f>
        <v>CABA</v>
      </c>
      <c r="S1612" t="str">
        <f>VLOOKUP($O1612,'Mapa Oficinas'!$A$7:$C$46,3,FALSE)</f>
        <v>Villa Urquiza</v>
      </c>
    </row>
    <row r="1613" spans="1:19" x14ac:dyDescent="0.2">
      <c r="A1613" s="1">
        <v>45938</v>
      </c>
      <c r="B1613" t="s">
        <v>3909</v>
      </c>
      <c r="D1613" t="s">
        <v>3910</v>
      </c>
      <c r="E1613" t="s">
        <v>16</v>
      </c>
      <c r="F1613" t="s">
        <v>17</v>
      </c>
      <c r="G1613" s="14">
        <v>630000</v>
      </c>
      <c r="H1613" s="14">
        <v>580000</v>
      </c>
      <c r="I1613" t="s">
        <v>22</v>
      </c>
      <c r="J1613" t="s">
        <v>22</v>
      </c>
      <c r="K1613" t="s">
        <v>3911</v>
      </c>
      <c r="L1613" t="s">
        <v>1717</v>
      </c>
      <c r="M1613" t="s">
        <v>97</v>
      </c>
      <c r="N1613">
        <v>2</v>
      </c>
      <c r="O1613" t="s">
        <v>87</v>
      </c>
      <c r="P1613" t="s">
        <v>276</v>
      </c>
      <c r="Q1613" t="s">
        <v>30</v>
      </c>
      <c r="R1613" t="str">
        <f>VLOOKUP($O1613,'Mapa Oficinas'!$A$7:$C$46,2,FALSE)</f>
        <v>Zona Norte (GBA)</v>
      </c>
      <c r="S1613" t="str">
        <f>VLOOKUP($O1613,'Mapa Oficinas'!$A$7:$C$46,3,FALSE)</f>
        <v>Tigre</v>
      </c>
    </row>
    <row r="1614" spans="1:19" x14ac:dyDescent="0.2">
      <c r="A1614" s="1">
        <v>45939</v>
      </c>
      <c r="B1614" t="s">
        <v>3875</v>
      </c>
      <c r="D1614" t="s">
        <v>3876</v>
      </c>
      <c r="E1614" t="s">
        <v>16</v>
      </c>
      <c r="F1614" t="s">
        <v>17</v>
      </c>
      <c r="G1614" s="14">
        <v>62900</v>
      </c>
      <c r="H1614" s="14">
        <v>57000</v>
      </c>
      <c r="I1614" t="s">
        <v>22</v>
      </c>
      <c r="J1614" t="s">
        <v>22</v>
      </c>
      <c r="K1614" t="s">
        <v>3877</v>
      </c>
      <c r="L1614" t="s">
        <v>1765</v>
      </c>
      <c r="M1614" t="s">
        <v>97</v>
      </c>
      <c r="N1614">
        <v>2</v>
      </c>
      <c r="O1614" t="s">
        <v>103</v>
      </c>
      <c r="P1614" t="s">
        <v>21</v>
      </c>
      <c r="Q1614" t="s">
        <v>30</v>
      </c>
      <c r="R1614" t="str">
        <f>VLOOKUP($O1614,'Mapa Oficinas'!$A$7:$C$46,2,FALSE)</f>
        <v>CABA</v>
      </c>
      <c r="S1614" t="str">
        <f>VLOOKUP($O1614,'Mapa Oficinas'!$A$7:$C$46,3,FALSE)</f>
        <v>Barrio Parque</v>
      </c>
    </row>
    <row r="1615" spans="1:19" x14ac:dyDescent="0.2">
      <c r="A1615" s="1">
        <v>45939</v>
      </c>
      <c r="B1615">
        <v>10519</v>
      </c>
      <c r="D1615" t="s">
        <v>3886</v>
      </c>
      <c r="E1615" t="s">
        <v>16</v>
      </c>
      <c r="F1615" t="s">
        <v>17</v>
      </c>
      <c r="G1615" s="14">
        <v>68000</v>
      </c>
      <c r="H1615" s="14">
        <v>68000</v>
      </c>
      <c r="I1615" t="s">
        <v>22</v>
      </c>
      <c r="J1615" t="s">
        <v>22</v>
      </c>
      <c r="K1615" t="s">
        <v>3887</v>
      </c>
      <c r="L1615" t="s">
        <v>282</v>
      </c>
      <c r="M1615" t="s">
        <v>19</v>
      </c>
      <c r="N1615">
        <v>1</v>
      </c>
      <c r="O1615" t="s">
        <v>103</v>
      </c>
      <c r="P1615" t="s">
        <v>146</v>
      </c>
      <c r="Q1615" t="s">
        <v>30</v>
      </c>
      <c r="R1615" t="str">
        <f>VLOOKUP($O1615,'Mapa Oficinas'!$A$7:$C$46,2,FALSE)</f>
        <v>CABA</v>
      </c>
      <c r="S1615" t="str">
        <f>VLOOKUP($O1615,'Mapa Oficinas'!$A$7:$C$46,3,FALSE)</f>
        <v>Barrio Parque</v>
      </c>
    </row>
    <row r="1616" spans="1:19" x14ac:dyDescent="0.2">
      <c r="A1616" s="1">
        <v>45939</v>
      </c>
      <c r="B1616">
        <v>10553</v>
      </c>
      <c r="D1616" t="s">
        <v>3891</v>
      </c>
      <c r="E1616" t="s">
        <v>16</v>
      </c>
      <c r="F1616" t="s">
        <v>17</v>
      </c>
      <c r="G1616" s="14">
        <v>75000</v>
      </c>
      <c r="H1616" s="14">
        <v>75000</v>
      </c>
      <c r="I1616" t="s">
        <v>22</v>
      </c>
      <c r="J1616" t="s">
        <v>22</v>
      </c>
      <c r="K1616" t="s">
        <v>3891</v>
      </c>
      <c r="L1616" t="s">
        <v>653</v>
      </c>
      <c r="M1616" t="s">
        <v>19</v>
      </c>
      <c r="N1616">
        <v>1</v>
      </c>
      <c r="O1616" t="s">
        <v>103</v>
      </c>
      <c r="P1616" t="s">
        <v>146</v>
      </c>
      <c r="Q1616" t="s">
        <v>30</v>
      </c>
      <c r="R1616" t="str">
        <f>VLOOKUP($O1616,'Mapa Oficinas'!$A$7:$C$46,2,FALSE)</f>
        <v>CABA</v>
      </c>
      <c r="S1616" t="str">
        <f>VLOOKUP($O1616,'Mapa Oficinas'!$A$7:$C$46,3,FALSE)</f>
        <v>Barrio Parque</v>
      </c>
    </row>
    <row r="1617" spans="1:19" x14ac:dyDescent="0.2">
      <c r="A1617" s="1">
        <v>45939</v>
      </c>
      <c r="B1617" t="s">
        <v>3866</v>
      </c>
      <c r="D1617" t="s">
        <v>3867</v>
      </c>
      <c r="E1617" t="s">
        <v>16</v>
      </c>
      <c r="F1617" t="s">
        <v>17</v>
      </c>
      <c r="G1617" s="14">
        <v>80000</v>
      </c>
      <c r="H1617" s="14">
        <v>75000</v>
      </c>
      <c r="I1617" t="s">
        <v>22</v>
      </c>
      <c r="J1617" t="s">
        <v>22</v>
      </c>
      <c r="K1617" t="s">
        <v>3868</v>
      </c>
      <c r="L1617" t="s">
        <v>164</v>
      </c>
      <c r="M1617" t="s">
        <v>19</v>
      </c>
      <c r="N1617">
        <v>2</v>
      </c>
      <c r="O1617" t="s">
        <v>50</v>
      </c>
      <c r="P1617" t="s">
        <v>21</v>
      </c>
      <c r="Q1617" t="s">
        <v>30</v>
      </c>
      <c r="R1617" t="str">
        <f>VLOOKUP($O1617,'Mapa Oficinas'!$A$7:$C$46,2,FALSE)</f>
        <v>CABA</v>
      </c>
      <c r="S1617" t="str">
        <f>VLOOKUP($O1617,'Mapa Oficinas'!$A$7:$C$46,3,FALSE)</f>
        <v>Villa Urquiza</v>
      </c>
    </row>
    <row r="1618" spans="1:19" x14ac:dyDescent="0.2">
      <c r="A1618" s="1">
        <v>45939</v>
      </c>
      <c r="B1618" t="s">
        <v>3883</v>
      </c>
      <c r="D1618" t="s">
        <v>3884</v>
      </c>
      <c r="E1618" t="s">
        <v>16</v>
      </c>
      <c r="F1618" t="s">
        <v>17</v>
      </c>
      <c r="G1618" s="14">
        <v>102000</v>
      </c>
      <c r="H1618" s="14">
        <v>100000</v>
      </c>
      <c r="I1618" t="s">
        <v>22</v>
      </c>
      <c r="J1618" t="s">
        <v>22</v>
      </c>
      <c r="K1618" t="s">
        <v>3885</v>
      </c>
      <c r="L1618" t="s">
        <v>503</v>
      </c>
      <c r="M1618" t="s">
        <v>19</v>
      </c>
      <c r="N1618">
        <v>2</v>
      </c>
      <c r="O1618" t="s">
        <v>20</v>
      </c>
      <c r="P1618" t="s">
        <v>21</v>
      </c>
      <c r="Q1618" t="s">
        <v>30</v>
      </c>
      <c r="R1618" t="str">
        <f>VLOOKUP($O1618,'Mapa Oficinas'!$A$7:$C$46,2,FALSE)</f>
        <v>CABA</v>
      </c>
      <c r="S1618" t="str">
        <f>VLOOKUP($O1618,'Mapa Oficinas'!$A$7:$C$46,3,FALSE)</f>
        <v>Palermo</v>
      </c>
    </row>
    <row r="1619" spans="1:19" x14ac:dyDescent="0.2">
      <c r="A1619" s="1">
        <v>45939</v>
      </c>
      <c r="B1619" t="s">
        <v>3869</v>
      </c>
      <c r="D1619" t="s">
        <v>3870</v>
      </c>
      <c r="E1619" t="s">
        <v>16</v>
      </c>
      <c r="F1619" t="s">
        <v>17</v>
      </c>
      <c r="G1619" s="14">
        <v>112000</v>
      </c>
      <c r="H1619" s="14">
        <v>112000</v>
      </c>
      <c r="I1619" t="s">
        <v>22</v>
      </c>
      <c r="J1619" t="s">
        <v>22</v>
      </c>
      <c r="K1619" t="s">
        <v>3870</v>
      </c>
      <c r="L1619" t="s">
        <v>3871</v>
      </c>
      <c r="M1619" t="s">
        <v>28</v>
      </c>
      <c r="N1619">
        <v>2</v>
      </c>
      <c r="O1619" t="s">
        <v>142</v>
      </c>
      <c r="P1619" t="s">
        <v>41</v>
      </c>
      <c r="Q1619" t="s">
        <v>30</v>
      </c>
      <c r="R1619" t="str">
        <f>VLOOKUP($O1619,'Mapa Oficinas'!$A$7:$C$46,2,FALSE)</f>
        <v>Zona Norte (GBA)</v>
      </c>
      <c r="S1619" t="str">
        <f>VLOOKUP($O1619,'Mapa Oficinas'!$A$7:$C$46,3,FALSE)</f>
        <v>Nordelta</v>
      </c>
    </row>
    <row r="1620" spans="1:19" x14ac:dyDescent="0.2">
      <c r="A1620" s="1">
        <v>45939</v>
      </c>
      <c r="B1620" t="s">
        <v>3878</v>
      </c>
      <c r="D1620" t="s">
        <v>3879</v>
      </c>
      <c r="E1620" t="s">
        <v>16</v>
      </c>
      <c r="F1620" t="s">
        <v>17</v>
      </c>
      <c r="G1620" s="14">
        <v>265000</v>
      </c>
      <c r="H1620" s="14">
        <v>170000</v>
      </c>
      <c r="I1620" t="s">
        <v>22</v>
      </c>
      <c r="J1620" t="s">
        <v>22</v>
      </c>
      <c r="K1620" t="s">
        <v>3880</v>
      </c>
      <c r="L1620" t="s">
        <v>503</v>
      </c>
      <c r="M1620" t="s">
        <v>19</v>
      </c>
      <c r="N1620">
        <v>2</v>
      </c>
      <c r="O1620" t="s">
        <v>103</v>
      </c>
      <c r="P1620" t="s">
        <v>276</v>
      </c>
      <c r="Q1620" t="s">
        <v>30</v>
      </c>
      <c r="R1620" t="str">
        <f>VLOOKUP($O1620,'Mapa Oficinas'!$A$7:$C$46,2,FALSE)</f>
        <v>CABA</v>
      </c>
      <c r="S1620" t="str">
        <f>VLOOKUP($O1620,'Mapa Oficinas'!$A$7:$C$46,3,FALSE)</f>
        <v>Barrio Parque</v>
      </c>
    </row>
    <row r="1621" spans="1:19" x14ac:dyDescent="0.2">
      <c r="A1621" s="1">
        <v>45939</v>
      </c>
      <c r="B1621" t="s">
        <v>1631</v>
      </c>
      <c r="D1621" t="s">
        <v>3861</v>
      </c>
      <c r="E1621" t="s">
        <v>16</v>
      </c>
      <c r="F1621" t="s">
        <v>17</v>
      </c>
      <c r="G1621" s="14">
        <v>385000</v>
      </c>
      <c r="H1621" s="14">
        <v>185000</v>
      </c>
      <c r="I1621" t="s">
        <v>22</v>
      </c>
      <c r="J1621" t="s">
        <v>22</v>
      </c>
      <c r="K1621" t="s">
        <v>1632</v>
      </c>
      <c r="L1621" t="s">
        <v>79</v>
      </c>
      <c r="M1621" t="s">
        <v>19</v>
      </c>
      <c r="N1621">
        <v>1</v>
      </c>
      <c r="O1621" t="s">
        <v>142</v>
      </c>
      <c r="P1621" t="s">
        <v>146</v>
      </c>
      <c r="Q1621" t="s">
        <v>30</v>
      </c>
      <c r="R1621" t="str">
        <f>VLOOKUP($O1621,'Mapa Oficinas'!$A$7:$C$46,2,FALSE)</f>
        <v>Zona Norte (GBA)</v>
      </c>
      <c r="S1621" t="str">
        <f>VLOOKUP($O1621,'Mapa Oficinas'!$A$7:$C$46,3,FALSE)</f>
        <v>Nordelta</v>
      </c>
    </row>
    <row r="1622" spans="1:19" x14ac:dyDescent="0.2">
      <c r="A1622" s="1">
        <v>45939</v>
      </c>
      <c r="B1622" t="s">
        <v>3862</v>
      </c>
      <c r="D1622" t="s">
        <v>3863</v>
      </c>
      <c r="E1622" t="s">
        <v>16</v>
      </c>
      <c r="F1622" t="s">
        <v>47</v>
      </c>
      <c r="G1622" s="14">
        <v>182600</v>
      </c>
      <c r="H1622" s="14">
        <v>197800</v>
      </c>
      <c r="I1622" t="s">
        <v>22</v>
      </c>
      <c r="J1622" t="s">
        <v>22</v>
      </c>
      <c r="K1622" t="s">
        <v>3864</v>
      </c>
      <c r="L1622" t="s">
        <v>3865</v>
      </c>
      <c r="M1622" t="s">
        <v>19</v>
      </c>
      <c r="N1622">
        <v>2</v>
      </c>
      <c r="O1622" t="s">
        <v>50</v>
      </c>
      <c r="P1622" t="s">
        <v>21</v>
      </c>
      <c r="Q1622" t="s">
        <v>30</v>
      </c>
      <c r="R1622" t="str">
        <f>VLOOKUP($O1622,'Mapa Oficinas'!$A$7:$C$46,2,FALSE)</f>
        <v>CABA</v>
      </c>
      <c r="S1622" t="str">
        <f>VLOOKUP($O1622,'Mapa Oficinas'!$A$7:$C$46,3,FALSE)</f>
        <v>Villa Urquiza</v>
      </c>
    </row>
    <row r="1623" spans="1:19" x14ac:dyDescent="0.2">
      <c r="A1623" s="1">
        <v>45939</v>
      </c>
      <c r="B1623" t="s">
        <v>3888</v>
      </c>
      <c r="D1623" t="s">
        <v>3889</v>
      </c>
      <c r="E1623" t="s">
        <v>16</v>
      </c>
      <c r="F1623" t="s">
        <v>17</v>
      </c>
      <c r="G1623" s="14">
        <v>249500</v>
      </c>
      <c r="H1623" s="14">
        <v>225000</v>
      </c>
      <c r="I1623" t="s">
        <v>22</v>
      </c>
      <c r="J1623" t="s">
        <v>22</v>
      </c>
      <c r="K1623" t="s">
        <v>3890</v>
      </c>
      <c r="L1623" t="s">
        <v>298</v>
      </c>
      <c r="M1623" t="s">
        <v>19</v>
      </c>
      <c r="N1623">
        <v>2</v>
      </c>
      <c r="O1623" t="s">
        <v>103</v>
      </c>
      <c r="P1623" t="s">
        <v>276</v>
      </c>
      <c r="Q1623" t="s">
        <v>30</v>
      </c>
      <c r="R1623" t="str">
        <f>VLOOKUP($O1623,'Mapa Oficinas'!$A$7:$C$46,2,FALSE)</f>
        <v>CABA</v>
      </c>
      <c r="S1623" t="str">
        <f>VLOOKUP($O1623,'Mapa Oficinas'!$A$7:$C$46,3,FALSE)</f>
        <v>Barrio Parque</v>
      </c>
    </row>
    <row r="1624" spans="1:19" x14ac:dyDescent="0.2">
      <c r="A1624" s="1">
        <v>45939</v>
      </c>
      <c r="B1624" t="s">
        <v>3881</v>
      </c>
      <c r="D1624" t="s">
        <v>3882</v>
      </c>
      <c r="E1624" t="s">
        <v>16</v>
      </c>
      <c r="F1624" t="s">
        <v>17</v>
      </c>
      <c r="G1624" s="14">
        <v>255000</v>
      </c>
      <c r="H1624" s="14">
        <v>255000</v>
      </c>
      <c r="I1624" t="s">
        <v>22</v>
      </c>
      <c r="J1624" t="s">
        <v>22</v>
      </c>
      <c r="K1624" t="s">
        <v>3882</v>
      </c>
      <c r="L1624" t="s">
        <v>79</v>
      </c>
      <c r="M1624" t="s">
        <v>19</v>
      </c>
      <c r="N1624">
        <v>1</v>
      </c>
      <c r="O1624" t="s">
        <v>20</v>
      </c>
      <c r="P1624" t="s">
        <v>146</v>
      </c>
      <c r="Q1624" t="s">
        <v>30</v>
      </c>
      <c r="R1624" t="str">
        <f>VLOOKUP($O1624,'Mapa Oficinas'!$A$7:$C$46,2,FALSE)</f>
        <v>CABA</v>
      </c>
      <c r="S1624" t="str">
        <f>VLOOKUP($O1624,'Mapa Oficinas'!$A$7:$C$46,3,FALSE)</f>
        <v>Palermo</v>
      </c>
    </row>
    <row r="1625" spans="1:19" x14ac:dyDescent="0.2">
      <c r="A1625" s="1">
        <v>45940</v>
      </c>
      <c r="D1625" t="s">
        <v>3859</v>
      </c>
      <c r="E1625" t="s">
        <v>16</v>
      </c>
      <c r="F1625" t="s">
        <v>1708</v>
      </c>
      <c r="G1625" s="14">
        <v>38000</v>
      </c>
      <c r="H1625" s="14">
        <v>38000</v>
      </c>
      <c r="I1625" t="s">
        <v>22</v>
      </c>
      <c r="J1625" t="s">
        <v>22</v>
      </c>
      <c r="K1625" t="s">
        <v>3860</v>
      </c>
      <c r="L1625" t="s">
        <v>449</v>
      </c>
      <c r="M1625" t="s">
        <v>97</v>
      </c>
      <c r="N1625">
        <v>1</v>
      </c>
      <c r="O1625" t="s">
        <v>367</v>
      </c>
      <c r="P1625" t="s">
        <v>131</v>
      </c>
      <c r="Q1625" t="s">
        <v>30</v>
      </c>
      <c r="R1625" t="str">
        <f>VLOOKUP($O1625,'Mapa Oficinas'!$A$7:$C$46,2,FALSE)</f>
        <v>Interior - Neuquén</v>
      </c>
      <c r="S1625" t="str">
        <f>VLOOKUP($O1625,'Mapa Oficinas'!$A$7:$C$46,3,FALSE)</f>
        <v>San Martín de los Andes</v>
      </c>
    </row>
    <row r="1626" spans="1:19" x14ac:dyDescent="0.2">
      <c r="A1626" s="1">
        <v>45943</v>
      </c>
      <c r="B1626" t="s">
        <v>3843</v>
      </c>
      <c r="D1626" t="s">
        <v>3844</v>
      </c>
      <c r="E1626" t="s">
        <v>16</v>
      </c>
      <c r="F1626" t="s">
        <v>38</v>
      </c>
      <c r="G1626" s="14">
        <v>73500</v>
      </c>
      <c r="H1626" s="14">
        <v>71000</v>
      </c>
      <c r="I1626" t="s">
        <v>22</v>
      </c>
      <c r="J1626" t="s">
        <v>22</v>
      </c>
      <c r="K1626" t="s">
        <v>3845</v>
      </c>
      <c r="L1626" t="s">
        <v>102</v>
      </c>
      <c r="M1626" t="s">
        <v>19</v>
      </c>
      <c r="N1626">
        <v>1</v>
      </c>
      <c r="O1626" t="s">
        <v>156</v>
      </c>
      <c r="P1626" t="s">
        <v>66</v>
      </c>
      <c r="Q1626" t="s">
        <v>30</v>
      </c>
      <c r="R1626" t="str">
        <f>VLOOKUP($O1626,'Mapa Oficinas'!$A$7:$C$46,2,FALSE)</f>
        <v>Zona Norte (GBA)</v>
      </c>
      <c r="S1626" t="str">
        <f>VLOOKUP($O1626,'Mapa Oficinas'!$A$7:$C$46,3,FALSE)</f>
        <v>Pilar</v>
      </c>
    </row>
    <row r="1627" spans="1:19" x14ac:dyDescent="0.2">
      <c r="A1627" s="1">
        <v>45943</v>
      </c>
      <c r="B1627" t="s">
        <v>3847</v>
      </c>
      <c r="D1627" t="s">
        <v>3848</v>
      </c>
      <c r="E1627" t="s">
        <v>16</v>
      </c>
      <c r="F1627" t="s">
        <v>38</v>
      </c>
      <c r="G1627" s="14">
        <v>128000</v>
      </c>
      <c r="H1627" s="14">
        <v>120000</v>
      </c>
      <c r="I1627" t="s">
        <v>22</v>
      </c>
      <c r="J1627" t="s">
        <v>22</v>
      </c>
      <c r="K1627" t="s">
        <v>3849</v>
      </c>
      <c r="L1627" t="s">
        <v>3850</v>
      </c>
      <c r="M1627" t="s">
        <v>72</v>
      </c>
      <c r="N1627">
        <v>2</v>
      </c>
      <c r="O1627" t="s">
        <v>156</v>
      </c>
      <c r="P1627" t="s">
        <v>276</v>
      </c>
      <c r="Q1627" t="s">
        <v>30</v>
      </c>
      <c r="R1627" t="str">
        <f>VLOOKUP($O1627,'Mapa Oficinas'!$A$7:$C$46,2,FALSE)</f>
        <v>Zona Norte (GBA)</v>
      </c>
      <c r="S1627" t="str">
        <f>VLOOKUP($O1627,'Mapa Oficinas'!$A$7:$C$46,3,FALSE)</f>
        <v>Pilar</v>
      </c>
    </row>
    <row r="1628" spans="1:19" x14ac:dyDescent="0.2">
      <c r="A1628" s="1">
        <v>45943</v>
      </c>
      <c r="B1628" t="s">
        <v>3846</v>
      </c>
      <c r="D1628" t="s">
        <v>3846</v>
      </c>
      <c r="E1628" t="s">
        <v>16</v>
      </c>
      <c r="F1628" t="s">
        <v>17</v>
      </c>
      <c r="G1628" s="14">
        <v>122000</v>
      </c>
      <c r="H1628" s="14">
        <v>122000</v>
      </c>
      <c r="I1628" t="s">
        <v>22</v>
      </c>
      <c r="J1628" t="s">
        <v>22</v>
      </c>
      <c r="K1628" t="s">
        <v>3846</v>
      </c>
      <c r="L1628" t="s">
        <v>237</v>
      </c>
      <c r="M1628" t="s">
        <v>72</v>
      </c>
      <c r="N1628">
        <v>1</v>
      </c>
      <c r="O1628" t="s">
        <v>35</v>
      </c>
      <c r="P1628" t="s">
        <v>131</v>
      </c>
      <c r="Q1628" t="s">
        <v>30</v>
      </c>
      <c r="R1628" t="str">
        <f>VLOOKUP($O1628,'Mapa Oficinas'!$A$7:$C$46,2,FALSE)</f>
        <v>Zona Norte (GBA)</v>
      </c>
      <c r="S1628" t="str">
        <f>VLOOKUP($O1628,'Mapa Oficinas'!$A$7:$C$46,3,FALSE)</f>
        <v>Vicente López</v>
      </c>
    </row>
    <row r="1629" spans="1:19" x14ac:dyDescent="0.2">
      <c r="A1629" s="1">
        <v>45943</v>
      </c>
      <c r="B1629" t="s">
        <v>3835</v>
      </c>
      <c r="D1629" t="s">
        <v>3836</v>
      </c>
      <c r="E1629" t="s">
        <v>16</v>
      </c>
      <c r="F1629" t="s">
        <v>17</v>
      </c>
      <c r="G1629" s="14">
        <v>145000</v>
      </c>
      <c r="H1629" s="14">
        <v>135000</v>
      </c>
      <c r="I1629" t="s">
        <v>22</v>
      </c>
      <c r="J1629" t="s">
        <v>22</v>
      </c>
      <c r="K1629" t="s">
        <v>3837</v>
      </c>
      <c r="L1629" t="s">
        <v>2054</v>
      </c>
      <c r="M1629" t="s">
        <v>72</v>
      </c>
      <c r="N1629">
        <v>2</v>
      </c>
      <c r="O1629" t="s">
        <v>20</v>
      </c>
      <c r="P1629" t="s">
        <v>21</v>
      </c>
      <c r="Q1629" t="s">
        <v>30</v>
      </c>
      <c r="R1629" t="str">
        <f>VLOOKUP($O1629,'Mapa Oficinas'!$A$7:$C$46,2,FALSE)</f>
        <v>CABA</v>
      </c>
      <c r="S1629" t="str">
        <f>VLOOKUP($O1629,'Mapa Oficinas'!$A$7:$C$46,3,FALSE)</f>
        <v>Palermo</v>
      </c>
    </row>
    <row r="1630" spans="1:19" x14ac:dyDescent="0.2">
      <c r="A1630" s="1">
        <v>45943</v>
      </c>
      <c r="B1630" t="s">
        <v>3851</v>
      </c>
      <c r="D1630" t="s">
        <v>3852</v>
      </c>
      <c r="E1630" t="s">
        <v>16</v>
      </c>
      <c r="F1630" t="s">
        <v>17</v>
      </c>
      <c r="G1630" s="14">
        <v>195000</v>
      </c>
      <c r="H1630" s="14">
        <v>190000</v>
      </c>
      <c r="I1630" t="s">
        <v>22</v>
      </c>
      <c r="J1630" t="s">
        <v>22</v>
      </c>
      <c r="K1630" t="s">
        <v>3853</v>
      </c>
      <c r="L1630" t="s">
        <v>200</v>
      </c>
      <c r="M1630" t="s">
        <v>28</v>
      </c>
      <c r="N1630">
        <v>2</v>
      </c>
      <c r="O1630" t="s">
        <v>103</v>
      </c>
      <c r="P1630" t="s">
        <v>276</v>
      </c>
      <c r="Q1630" t="s">
        <v>30</v>
      </c>
      <c r="R1630" t="str">
        <f>VLOOKUP($O1630,'Mapa Oficinas'!$A$7:$C$46,2,FALSE)</f>
        <v>CABA</v>
      </c>
      <c r="S1630" t="str">
        <f>VLOOKUP($O1630,'Mapa Oficinas'!$A$7:$C$46,3,FALSE)</f>
        <v>Barrio Parque</v>
      </c>
    </row>
    <row r="1631" spans="1:19" x14ac:dyDescent="0.2">
      <c r="A1631" s="1">
        <v>45943</v>
      </c>
      <c r="B1631" t="s">
        <v>3854</v>
      </c>
      <c r="D1631" t="s">
        <v>3855</v>
      </c>
      <c r="E1631" t="s">
        <v>16</v>
      </c>
      <c r="F1631" t="s">
        <v>17</v>
      </c>
      <c r="G1631" s="14">
        <v>470000</v>
      </c>
      <c r="H1631" s="14">
        <v>420000</v>
      </c>
      <c r="I1631" t="s">
        <v>22</v>
      </c>
      <c r="J1631" t="s">
        <v>22</v>
      </c>
      <c r="K1631" t="s">
        <v>3856</v>
      </c>
      <c r="L1631" t="s">
        <v>564</v>
      </c>
      <c r="M1631" t="s">
        <v>28</v>
      </c>
      <c r="N1631">
        <v>2</v>
      </c>
      <c r="O1631" t="s">
        <v>103</v>
      </c>
      <c r="P1631" t="s">
        <v>21</v>
      </c>
      <c r="Q1631" t="s">
        <v>30</v>
      </c>
      <c r="R1631" t="str">
        <f>VLOOKUP($O1631,'Mapa Oficinas'!$A$7:$C$46,2,FALSE)</f>
        <v>CABA</v>
      </c>
      <c r="S1631" t="str">
        <f>VLOOKUP($O1631,'Mapa Oficinas'!$A$7:$C$46,3,FALSE)</f>
        <v>Barrio Parque</v>
      </c>
    </row>
    <row r="1632" spans="1:19" x14ac:dyDescent="0.2">
      <c r="A1632" s="1">
        <v>45944</v>
      </c>
      <c r="B1632" t="s">
        <v>3814</v>
      </c>
      <c r="D1632" t="s">
        <v>3814</v>
      </c>
      <c r="E1632" t="s">
        <v>16</v>
      </c>
      <c r="F1632" t="s">
        <v>17</v>
      </c>
      <c r="G1632" s="14">
        <v>104000</v>
      </c>
      <c r="H1632" s="14">
        <v>52000</v>
      </c>
      <c r="I1632" t="s">
        <v>22</v>
      </c>
      <c r="J1632" t="s">
        <v>22</v>
      </c>
      <c r="L1632" t="s">
        <v>523</v>
      </c>
      <c r="M1632" t="s">
        <v>19</v>
      </c>
      <c r="N1632">
        <v>2</v>
      </c>
      <c r="O1632" t="s">
        <v>50</v>
      </c>
      <c r="P1632" t="s">
        <v>21</v>
      </c>
      <c r="Q1632" t="s">
        <v>30</v>
      </c>
      <c r="R1632" t="str">
        <f>VLOOKUP($O1632,'Mapa Oficinas'!$A$7:$C$46,2,FALSE)</f>
        <v>CABA</v>
      </c>
      <c r="S1632" t="str">
        <f>VLOOKUP($O1632,'Mapa Oficinas'!$A$7:$C$46,3,FALSE)</f>
        <v>Villa Urquiza</v>
      </c>
    </row>
    <row r="1633" spans="1:19" x14ac:dyDescent="0.2">
      <c r="A1633" s="1">
        <v>45944</v>
      </c>
      <c r="B1633" t="s">
        <v>3826</v>
      </c>
      <c r="D1633" t="s">
        <v>3827</v>
      </c>
      <c r="E1633" t="s">
        <v>16</v>
      </c>
      <c r="F1633" t="s">
        <v>17</v>
      </c>
      <c r="G1633" s="14">
        <v>60000</v>
      </c>
      <c r="H1633" s="14">
        <v>62000</v>
      </c>
      <c r="I1633" t="s">
        <v>22</v>
      </c>
      <c r="J1633" t="s">
        <v>22</v>
      </c>
      <c r="K1633" t="s">
        <v>3828</v>
      </c>
      <c r="L1633" t="s">
        <v>398</v>
      </c>
      <c r="M1633" t="s">
        <v>19</v>
      </c>
      <c r="N1633">
        <v>2</v>
      </c>
      <c r="O1633" t="s">
        <v>20</v>
      </c>
      <c r="P1633" t="s">
        <v>21</v>
      </c>
      <c r="Q1633" t="s">
        <v>30</v>
      </c>
      <c r="R1633" t="str">
        <f>VLOOKUP($O1633,'Mapa Oficinas'!$A$7:$C$46,2,FALSE)</f>
        <v>CABA</v>
      </c>
      <c r="S1633" t="str">
        <f>VLOOKUP($O1633,'Mapa Oficinas'!$A$7:$C$46,3,FALSE)</f>
        <v>Palermo</v>
      </c>
    </row>
    <row r="1634" spans="1:19" x14ac:dyDescent="0.2">
      <c r="A1634" s="1">
        <v>45944</v>
      </c>
      <c r="B1634" t="s">
        <v>3815</v>
      </c>
      <c r="D1634" t="s">
        <v>3816</v>
      </c>
      <c r="E1634" t="s">
        <v>16</v>
      </c>
      <c r="F1634" t="s">
        <v>17</v>
      </c>
      <c r="G1634" s="14">
        <v>65000</v>
      </c>
      <c r="H1634" s="14">
        <v>63000</v>
      </c>
      <c r="I1634" t="s">
        <v>22</v>
      </c>
      <c r="J1634" t="s">
        <v>22</v>
      </c>
      <c r="K1634" t="s">
        <v>3817</v>
      </c>
      <c r="L1634" t="s">
        <v>3683</v>
      </c>
      <c r="M1634" t="s">
        <v>19</v>
      </c>
      <c r="N1634">
        <v>2</v>
      </c>
      <c r="O1634" t="s">
        <v>103</v>
      </c>
      <c r="P1634" t="s">
        <v>21</v>
      </c>
      <c r="Q1634" t="s">
        <v>30</v>
      </c>
      <c r="R1634" t="str">
        <f>VLOOKUP($O1634,'Mapa Oficinas'!$A$7:$C$46,2,FALSE)</f>
        <v>CABA</v>
      </c>
      <c r="S1634" t="str">
        <f>VLOOKUP($O1634,'Mapa Oficinas'!$A$7:$C$46,3,FALSE)</f>
        <v>Barrio Parque</v>
      </c>
    </row>
    <row r="1635" spans="1:19" x14ac:dyDescent="0.2">
      <c r="A1635" s="1">
        <v>45944</v>
      </c>
      <c r="B1635" t="s">
        <v>3787</v>
      </c>
      <c r="D1635" t="s">
        <v>3788</v>
      </c>
      <c r="E1635" t="s">
        <v>16</v>
      </c>
      <c r="F1635" t="s">
        <v>17</v>
      </c>
      <c r="G1635" s="14">
        <v>126000</v>
      </c>
      <c r="H1635" s="14">
        <v>108000</v>
      </c>
      <c r="I1635" t="s">
        <v>22</v>
      </c>
      <c r="J1635" t="s">
        <v>22</v>
      </c>
      <c r="K1635" t="s">
        <v>3789</v>
      </c>
      <c r="L1635" t="s">
        <v>205</v>
      </c>
      <c r="M1635" t="s">
        <v>19</v>
      </c>
      <c r="N1635">
        <v>2</v>
      </c>
      <c r="O1635" t="s">
        <v>116</v>
      </c>
      <c r="P1635" t="s">
        <v>276</v>
      </c>
      <c r="Q1635" t="s">
        <v>30</v>
      </c>
      <c r="R1635" t="str">
        <f>VLOOKUP($O1635,'Mapa Oficinas'!$A$7:$C$46,2,FALSE)</f>
        <v>CABA</v>
      </c>
      <c r="S1635" t="str">
        <f>VLOOKUP($O1635,'Mapa Oficinas'!$A$7:$C$46,3,FALSE)</f>
        <v>Puerto Madero</v>
      </c>
    </row>
    <row r="1636" spans="1:19" x14ac:dyDescent="0.2">
      <c r="A1636" s="1">
        <v>45944</v>
      </c>
      <c r="B1636" t="s">
        <v>3803</v>
      </c>
      <c r="D1636" t="s">
        <v>3804</v>
      </c>
      <c r="E1636" t="s">
        <v>16</v>
      </c>
      <c r="F1636" t="s">
        <v>82</v>
      </c>
      <c r="G1636" s="14">
        <v>120000</v>
      </c>
      <c r="H1636" s="14">
        <v>115000</v>
      </c>
      <c r="I1636" t="s">
        <v>22</v>
      </c>
      <c r="J1636" t="s">
        <v>22</v>
      </c>
      <c r="K1636" t="s">
        <v>3805</v>
      </c>
      <c r="L1636" t="s">
        <v>54</v>
      </c>
      <c r="M1636" t="s">
        <v>188</v>
      </c>
      <c r="N1636">
        <v>2</v>
      </c>
      <c r="O1636" t="s">
        <v>55</v>
      </c>
      <c r="P1636" t="s">
        <v>21</v>
      </c>
      <c r="Q1636" t="s">
        <v>30</v>
      </c>
      <c r="R1636" t="str">
        <f>VLOOKUP($O1636,'Mapa Oficinas'!$A$7:$C$46,2,FALSE)</f>
        <v>Interior - Santa Fe</v>
      </c>
      <c r="S1636" t="str">
        <f>VLOOKUP($O1636,'Mapa Oficinas'!$A$7:$C$46,3,FALSE)</f>
        <v>Capital Santa Fe</v>
      </c>
    </row>
    <row r="1637" spans="1:19" x14ac:dyDescent="0.2">
      <c r="A1637" s="1">
        <v>45944</v>
      </c>
      <c r="B1637" t="s">
        <v>3797</v>
      </c>
      <c r="D1637" t="s">
        <v>3798</v>
      </c>
      <c r="E1637" t="s">
        <v>16</v>
      </c>
      <c r="F1637" t="s">
        <v>17</v>
      </c>
      <c r="G1637" s="14">
        <v>130000</v>
      </c>
      <c r="H1637" s="14">
        <v>118000</v>
      </c>
      <c r="I1637" t="s">
        <v>22</v>
      </c>
      <c r="J1637" t="s">
        <v>22</v>
      </c>
      <c r="K1637" t="s">
        <v>3799</v>
      </c>
      <c r="L1637" t="s">
        <v>191</v>
      </c>
      <c r="M1637" t="s">
        <v>300</v>
      </c>
      <c r="N1637">
        <v>2</v>
      </c>
      <c r="O1637" t="s">
        <v>201</v>
      </c>
      <c r="P1637" t="s">
        <v>21</v>
      </c>
      <c r="Q1637" t="s">
        <v>30</v>
      </c>
      <c r="R1637" t="str">
        <f>VLOOKUP($O1637,'Mapa Oficinas'!$A$7:$C$46,2,FALSE)</f>
        <v>CABA</v>
      </c>
      <c r="S1637" t="str">
        <f>VLOOKUP($O1637,'Mapa Oficinas'!$A$7:$C$46,3,FALSE)</f>
        <v>Recoleta</v>
      </c>
    </row>
    <row r="1638" spans="1:19" x14ac:dyDescent="0.2">
      <c r="A1638" s="1">
        <v>45944</v>
      </c>
      <c r="B1638" t="s">
        <v>3824</v>
      </c>
      <c r="D1638" t="s">
        <v>3825</v>
      </c>
      <c r="E1638" t="s">
        <v>16</v>
      </c>
      <c r="F1638" t="s">
        <v>17</v>
      </c>
      <c r="G1638" s="14">
        <v>136053</v>
      </c>
      <c r="H1638" s="14">
        <v>136053</v>
      </c>
      <c r="I1638" t="s">
        <v>22</v>
      </c>
      <c r="J1638" t="s">
        <v>22</v>
      </c>
      <c r="K1638" t="s">
        <v>3823</v>
      </c>
      <c r="L1638" t="s">
        <v>1090</v>
      </c>
      <c r="M1638" t="s">
        <v>19</v>
      </c>
      <c r="N1638">
        <v>2</v>
      </c>
      <c r="O1638" t="s">
        <v>98</v>
      </c>
      <c r="P1638" t="s">
        <v>41</v>
      </c>
      <c r="Q1638" t="s">
        <v>30</v>
      </c>
      <c r="R1638" t="str">
        <f>VLOOKUP($O1638,'Mapa Oficinas'!$A$7:$C$46,2,FALSE)</f>
        <v>Interior - Neuquén</v>
      </c>
      <c r="S1638" t="str">
        <f>VLOOKUP($O1638,'Mapa Oficinas'!$A$7:$C$46,3,FALSE)</f>
        <v>Villa La Angostura</v>
      </c>
    </row>
    <row r="1639" spans="1:19" x14ac:dyDescent="0.2">
      <c r="A1639" s="1">
        <v>45944</v>
      </c>
      <c r="B1639" t="s">
        <v>3800</v>
      </c>
      <c r="D1639" t="s">
        <v>3801</v>
      </c>
      <c r="E1639" t="s">
        <v>16</v>
      </c>
      <c r="F1639" t="s">
        <v>17</v>
      </c>
      <c r="G1639" s="14">
        <v>145000</v>
      </c>
      <c r="H1639" s="14">
        <v>140000</v>
      </c>
      <c r="I1639" t="s">
        <v>22</v>
      </c>
      <c r="J1639" t="s">
        <v>22</v>
      </c>
      <c r="K1639" t="s">
        <v>3802</v>
      </c>
      <c r="L1639" t="s">
        <v>277</v>
      </c>
      <c r="M1639" t="s">
        <v>19</v>
      </c>
      <c r="N1639">
        <v>2</v>
      </c>
      <c r="O1639" t="s">
        <v>1081</v>
      </c>
      <c r="P1639" t="s">
        <v>21</v>
      </c>
      <c r="Q1639" t="s">
        <v>30</v>
      </c>
      <c r="R1639" t="str">
        <f>VLOOKUP($O1639,'Mapa Oficinas'!$A$7:$C$46,2,FALSE)</f>
        <v>Zona Sur (GBA)</v>
      </c>
      <c r="S1639" t="str">
        <f>VLOOKUP($O1639,'Mapa Oficinas'!$A$7:$C$46,3,FALSE)</f>
        <v>Canning</v>
      </c>
    </row>
    <row r="1640" spans="1:19" x14ac:dyDescent="0.2">
      <c r="A1640" s="1">
        <v>45944</v>
      </c>
      <c r="B1640" t="s">
        <v>420</v>
      </c>
      <c r="D1640" t="s">
        <v>3809</v>
      </c>
      <c r="E1640" t="s">
        <v>16</v>
      </c>
      <c r="F1640" t="s">
        <v>17</v>
      </c>
      <c r="G1640" s="14">
        <v>145000</v>
      </c>
      <c r="H1640" s="14">
        <v>145000</v>
      </c>
      <c r="I1640" t="s">
        <v>22</v>
      </c>
      <c r="J1640" t="s">
        <v>22</v>
      </c>
      <c r="K1640" t="s">
        <v>3810</v>
      </c>
      <c r="L1640" t="s">
        <v>205</v>
      </c>
      <c r="M1640" t="s">
        <v>19</v>
      </c>
      <c r="N1640">
        <v>1</v>
      </c>
      <c r="O1640" t="s">
        <v>252</v>
      </c>
      <c r="P1640" t="s">
        <v>146</v>
      </c>
      <c r="Q1640" t="s">
        <v>30</v>
      </c>
      <c r="R1640" t="str">
        <f>VLOOKUP($O1640,'Mapa Oficinas'!$A$7:$C$46,2,FALSE)</f>
        <v>CABA</v>
      </c>
      <c r="S1640" t="str">
        <f>VLOOKUP($O1640,'Mapa Oficinas'!$A$7:$C$46,3,FALSE)</f>
        <v>Belgrano</v>
      </c>
    </row>
    <row r="1641" spans="1:19" x14ac:dyDescent="0.2">
      <c r="A1641" s="1">
        <v>45944</v>
      </c>
      <c r="B1641" t="s">
        <v>3829</v>
      </c>
      <c r="D1641" t="s">
        <v>3830</v>
      </c>
      <c r="E1641" t="s">
        <v>16</v>
      </c>
      <c r="F1641" t="s">
        <v>17</v>
      </c>
      <c r="G1641" s="14">
        <v>154000</v>
      </c>
      <c r="H1641" s="14">
        <v>154000</v>
      </c>
      <c r="I1641" t="s">
        <v>22</v>
      </c>
      <c r="J1641" t="s">
        <v>22</v>
      </c>
      <c r="K1641" t="s">
        <v>3831</v>
      </c>
      <c r="L1641" t="s">
        <v>438</v>
      </c>
      <c r="M1641" t="s">
        <v>19</v>
      </c>
      <c r="N1641">
        <v>2</v>
      </c>
      <c r="O1641" t="s">
        <v>103</v>
      </c>
      <c r="P1641" t="s">
        <v>276</v>
      </c>
      <c r="Q1641" t="s">
        <v>30</v>
      </c>
      <c r="R1641" t="str">
        <f>VLOOKUP($O1641,'Mapa Oficinas'!$A$7:$C$46,2,FALSE)</f>
        <v>CABA</v>
      </c>
      <c r="S1641" t="str">
        <f>VLOOKUP($O1641,'Mapa Oficinas'!$A$7:$C$46,3,FALSE)</f>
        <v>Barrio Parque</v>
      </c>
    </row>
    <row r="1642" spans="1:19" x14ac:dyDescent="0.2">
      <c r="A1642" s="1">
        <v>45944</v>
      </c>
      <c r="B1642" t="s">
        <v>3807</v>
      </c>
      <c r="D1642" t="s">
        <v>3808</v>
      </c>
      <c r="E1642" t="s">
        <v>16</v>
      </c>
      <c r="F1642" t="s">
        <v>47</v>
      </c>
      <c r="G1642" s="14">
        <v>174000</v>
      </c>
      <c r="H1642" s="14">
        <v>165000</v>
      </c>
      <c r="I1642" t="s">
        <v>22</v>
      </c>
      <c r="J1642" t="s">
        <v>22</v>
      </c>
      <c r="K1642" t="s">
        <v>3808</v>
      </c>
      <c r="L1642" t="s">
        <v>205</v>
      </c>
      <c r="M1642" t="s">
        <v>19</v>
      </c>
      <c r="N1642">
        <v>2</v>
      </c>
      <c r="O1642" t="s">
        <v>142</v>
      </c>
      <c r="P1642" t="s">
        <v>41</v>
      </c>
      <c r="Q1642" t="s">
        <v>30</v>
      </c>
      <c r="R1642" t="str">
        <f>VLOOKUP($O1642,'Mapa Oficinas'!$A$7:$C$46,2,FALSE)</f>
        <v>Zona Norte (GBA)</v>
      </c>
      <c r="S1642" t="str">
        <f>VLOOKUP($O1642,'Mapa Oficinas'!$A$7:$C$46,3,FALSE)</f>
        <v>Nordelta</v>
      </c>
    </row>
    <row r="1643" spans="1:19" x14ac:dyDescent="0.2">
      <c r="A1643" s="1">
        <v>45944</v>
      </c>
      <c r="B1643" t="s">
        <v>3821</v>
      </c>
      <c r="D1643" t="s">
        <v>3822</v>
      </c>
      <c r="E1643" t="s">
        <v>16</v>
      </c>
      <c r="F1643" t="s">
        <v>17</v>
      </c>
      <c r="G1643" s="14">
        <v>180468</v>
      </c>
      <c r="H1643" s="14">
        <v>180468</v>
      </c>
      <c r="I1643" t="s">
        <v>22</v>
      </c>
      <c r="J1643" t="s">
        <v>22</v>
      </c>
      <c r="K1643" t="s">
        <v>3823</v>
      </c>
      <c r="L1643" t="s">
        <v>1090</v>
      </c>
      <c r="M1643" t="s">
        <v>19</v>
      </c>
      <c r="N1643">
        <v>2</v>
      </c>
      <c r="O1643" t="s">
        <v>98</v>
      </c>
      <c r="P1643" t="s">
        <v>41</v>
      </c>
      <c r="Q1643" t="s">
        <v>30</v>
      </c>
      <c r="R1643" t="str">
        <f>VLOOKUP($O1643,'Mapa Oficinas'!$A$7:$C$46,2,FALSE)</f>
        <v>Interior - Neuquén</v>
      </c>
      <c r="S1643" t="str">
        <f>VLOOKUP($O1643,'Mapa Oficinas'!$A$7:$C$46,3,FALSE)</f>
        <v>Villa La Angostura</v>
      </c>
    </row>
    <row r="1644" spans="1:19" x14ac:dyDescent="0.2">
      <c r="A1644" s="1">
        <v>45944</v>
      </c>
      <c r="B1644" t="s">
        <v>3794</v>
      </c>
      <c r="D1644" t="s">
        <v>3795</v>
      </c>
      <c r="E1644" t="s">
        <v>16</v>
      </c>
      <c r="F1644" t="s">
        <v>17</v>
      </c>
      <c r="G1644" s="14">
        <v>220000</v>
      </c>
      <c r="H1644" s="14">
        <v>215000</v>
      </c>
      <c r="I1644" t="s">
        <v>22</v>
      </c>
      <c r="J1644" t="s">
        <v>22</v>
      </c>
      <c r="K1644" t="s">
        <v>3796</v>
      </c>
      <c r="L1644" t="s">
        <v>512</v>
      </c>
      <c r="M1644" t="s">
        <v>72</v>
      </c>
      <c r="N1644">
        <v>2</v>
      </c>
      <c r="O1644" t="s">
        <v>116</v>
      </c>
      <c r="P1644" t="s">
        <v>21</v>
      </c>
      <c r="Q1644" t="s">
        <v>30</v>
      </c>
      <c r="R1644" t="str">
        <f>VLOOKUP($O1644,'Mapa Oficinas'!$A$7:$C$46,2,FALSE)</f>
        <v>CABA</v>
      </c>
      <c r="S1644" t="str">
        <f>VLOOKUP($O1644,'Mapa Oficinas'!$A$7:$C$46,3,FALSE)</f>
        <v>Puerto Madero</v>
      </c>
    </row>
    <row r="1645" spans="1:19" x14ac:dyDescent="0.2">
      <c r="A1645" s="1">
        <v>45944</v>
      </c>
      <c r="B1645" t="s">
        <v>3832</v>
      </c>
      <c r="D1645" t="s">
        <v>3833</v>
      </c>
      <c r="E1645" t="s">
        <v>16</v>
      </c>
      <c r="F1645" t="s">
        <v>896</v>
      </c>
      <c r="G1645" s="14">
        <v>178000</v>
      </c>
      <c r="H1645" s="14">
        <v>227000</v>
      </c>
      <c r="I1645" t="s">
        <v>22</v>
      </c>
      <c r="J1645" t="s">
        <v>22</v>
      </c>
      <c r="K1645" t="s">
        <v>3834</v>
      </c>
      <c r="L1645" t="s">
        <v>449</v>
      </c>
      <c r="M1645" t="s">
        <v>28</v>
      </c>
      <c r="N1645">
        <v>2</v>
      </c>
      <c r="O1645" t="s">
        <v>367</v>
      </c>
      <c r="P1645" t="s">
        <v>41</v>
      </c>
      <c r="Q1645" t="s">
        <v>30</v>
      </c>
      <c r="R1645" t="str">
        <f>VLOOKUP($O1645,'Mapa Oficinas'!$A$7:$C$46,2,FALSE)</f>
        <v>Interior - Neuquén</v>
      </c>
      <c r="S1645" t="str">
        <f>VLOOKUP($O1645,'Mapa Oficinas'!$A$7:$C$46,3,FALSE)</f>
        <v>San Martín de los Andes</v>
      </c>
    </row>
    <row r="1646" spans="1:19" x14ac:dyDescent="0.2">
      <c r="A1646" s="1">
        <v>45944</v>
      </c>
      <c r="B1646" t="s">
        <v>3811</v>
      </c>
      <c r="D1646" t="s">
        <v>3812</v>
      </c>
      <c r="E1646" t="s">
        <v>16</v>
      </c>
      <c r="F1646" t="s">
        <v>17</v>
      </c>
      <c r="G1646" s="14">
        <v>279000</v>
      </c>
      <c r="H1646" s="14">
        <v>230000</v>
      </c>
      <c r="I1646" t="s">
        <v>22</v>
      </c>
      <c r="J1646" t="s">
        <v>22</v>
      </c>
      <c r="K1646" t="s">
        <v>3813</v>
      </c>
      <c r="L1646" t="s">
        <v>205</v>
      </c>
      <c r="M1646" t="s">
        <v>28</v>
      </c>
      <c r="N1646">
        <v>2</v>
      </c>
      <c r="O1646" t="s">
        <v>252</v>
      </c>
      <c r="P1646" t="s">
        <v>21</v>
      </c>
      <c r="Q1646" t="s">
        <v>30</v>
      </c>
      <c r="R1646" t="str">
        <f>VLOOKUP($O1646,'Mapa Oficinas'!$A$7:$C$46,2,FALSE)</f>
        <v>CABA</v>
      </c>
      <c r="S1646" t="str">
        <f>VLOOKUP($O1646,'Mapa Oficinas'!$A$7:$C$46,3,FALSE)</f>
        <v>Belgrano</v>
      </c>
    </row>
    <row r="1647" spans="1:19" x14ac:dyDescent="0.2">
      <c r="A1647" s="1">
        <v>45944</v>
      </c>
      <c r="B1647" t="s">
        <v>3784</v>
      </c>
      <c r="D1647" t="s">
        <v>3785</v>
      </c>
      <c r="E1647" t="s">
        <v>16</v>
      </c>
      <c r="F1647" t="s">
        <v>17</v>
      </c>
      <c r="G1647" s="14">
        <v>235000</v>
      </c>
      <c r="H1647" s="14">
        <v>235000</v>
      </c>
      <c r="I1647" t="s">
        <v>22</v>
      </c>
      <c r="J1647" t="s">
        <v>22</v>
      </c>
      <c r="K1647" t="s">
        <v>3786</v>
      </c>
      <c r="L1647" t="s">
        <v>107</v>
      </c>
      <c r="M1647" t="s">
        <v>19</v>
      </c>
      <c r="N1647">
        <v>1</v>
      </c>
      <c r="O1647" t="s">
        <v>223</v>
      </c>
      <c r="P1647" t="s">
        <v>146</v>
      </c>
      <c r="Q1647" t="s">
        <v>30</v>
      </c>
      <c r="R1647" t="str">
        <f>VLOOKUP($O1647,'Mapa Oficinas'!$A$7:$C$46,2,FALSE)</f>
        <v>Zona Norte (GBA)</v>
      </c>
      <c r="S1647" t="str">
        <f>VLOOKUP($O1647,'Mapa Oficinas'!$A$7:$C$46,3,FALSE)</f>
        <v>San Isidro</v>
      </c>
    </row>
    <row r="1648" spans="1:19" x14ac:dyDescent="0.2">
      <c r="A1648" s="1">
        <v>45944</v>
      </c>
      <c r="B1648">
        <v>531383</v>
      </c>
      <c r="D1648" t="s">
        <v>3806</v>
      </c>
      <c r="E1648" t="s">
        <v>16</v>
      </c>
      <c r="F1648" t="s">
        <v>17</v>
      </c>
      <c r="G1648" s="14">
        <v>475000</v>
      </c>
      <c r="H1648" s="14">
        <v>370000</v>
      </c>
      <c r="I1648" t="s">
        <v>22</v>
      </c>
      <c r="J1648" t="s">
        <v>22</v>
      </c>
      <c r="K1648" t="s">
        <v>3806</v>
      </c>
      <c r="L1648" t="s">
        <v>2525</v>
      </c>
      <c r="M1648" t="s">
        <v>28</v>
      </c>
      <c r="N1648">
        <v>1</v>
      </c>
      <c r="O1648" t="s">
        <v>142</v>
      </c>
      <c r="P1648" t="s">
        <v>146</v>
      </c>
      <c r="Q1648" t="s">
        <v>30</v>
      </c>
      <c r="R1648" t="str">
        <f>VLOOKUP($O1648,'Mapa Oficinas'!$A$7:$C$46,2,FALSE)</f>
        <v>Zona Norte (GBA)</v>
      </c>
      <c r="S1648" t="str">
        <f>VLOOKUP($O1648,'Mapa Oficinas'!$A$7:$C$46,3,FALSE)</f>
        <v>Nordelta</v>
      </c>
    </row>
    <row r="1649" spans="1:19" x14ac:dyDescent="0.2">
      <c r="A1649" s="1">
        <v>45944</v>
      </c>
      <c r="B1649" t="s">
        <v>3818</v>
      </c>
      <c r="D1649" t="s">
        <v>3819</v>
      </c>
      <c r="E1649" t="s">
        <v>16</v>
      </c>
      <c r="F1649" t="s">
        <v>17</v>
      </c>
      <c r="G1649" s="14">
        <v>900000</v>
      </c>
      <c r="H1649" s="14">
        <v>785000</v>
      </c>
      <c r="I1649" t="s">
        <v>22</v>
      </c>
      <c r="J1649" t="s">
        <v>22</v>
      </c>
      <c r="K1649" t="s">
        <v>3820</v>
      </c>
      <c r="L1649" t="s">
        <v>191</v>
      </c>
      <c r="M1649" t="s">
        <v>19</v>
      </c>
      <c r="N1649">
        <v>2</v>
      </c>
      <c r="O1649" t="s">
        <v>103</v>
      </c>
      <c r="P1649" t="s">
        <v>21</v>
      </c>
      <c r="Q1649" t="s">
        <v>30</v>
      </c>
      <c r="R1649" t="str">
        <f>VLOOKUP($O1649,'Mapa Oficinas'!$A$7:$C$46,2,FALSE)</f>
        <v>CABA</v>
      </c>
      <c r="S1649" t="str">
        <f>VLOOKUP($O1649,'Mapa Oficinas'!$A$7:$C$46,3,FALSE)</f>
        <v>Barrio Parque</v>
      </c>
    </row>
    <row r="1650" spans="1:19" x14ac:dyDescent="0.2">
      <c r="A1650" s="1">
        <v>45945</v>
      </c>
      <c r="B1650" t="s">
        <v>3776</v>
      </c>
      <c r="D1650" t="s">
        <v>3777</v>
      </c>
      <c r="E1650" t="s">
        <v>16</v>
      </c>
      <c r="F1650" t="s">
        <v>17</v>
      </c>
      <c r="G1650" s="14">
        <v>69999</v>
      </c>
      <c r="H1650" s="14">
        <v>68000</v>
      </c>
      <c r="I1650" t="s">
        <v>22</v>
      </c>
      <c r="J1650" t="s">
        <v>22</v>
      </c>
      <c r="K1650" t="s">
        <v>3778</v>
      </c>
      <c r="L1650" t="s">
        <v>394</v>
      </c>
      <c r="M1650" t="s">
        <v>28</v>
      </c>
      <c r="N1650">
        <v>2</v>
      </c>
      <c r="O1650" t="s">
        <v>198</v>
      </c>
      <c r="P1650" t="s">
        <v>276</v>
      </c>
      <c r="Q1650" t="s">
        <v>30</v>
      </c>
      <c r="R1650" t="str">
        <f>VLOOKUP($O1650,'Mapa Oficinas'!$A$7:$C$46,2,FALSE)</f>
        <v>CABA</v>
      </c>
      <c r="S1650" t="str">
        <f>VLOOKUP($O1650,'Mapa Oficinas'!$A$7:$C$46,3,FALSE)</f>
        <v>Caballito</v>
      </c>
    </row>
    <row r="1651" spans="1:19" x14ac:dyDescent="0.2">
      <c r="A1651" s="1">
        <v>45945</v>
      </c>
      <c r="B1651" t="s">
        <v>3773</v>
      </c>
      <c r="D1651" t="s">
        <v>3774</v>
      </c>
      <c r="E1651" t="s">
        <v>16</v>
      </c>
      <c r="F1651" t="s">
        <v>17</v>
      </c>
      <c r="G1651" s="14">
        <v>110192</v>
      </c>
      <c r="H1651" s="14">
        <v>82350</v>
      </c>
      <c r="I1651" t="s">
        <v>22</v>
      </c>
      <c r="J1651" t="s">
        <v>22</v>
      </c>
      <c r="K1651" t="s">
        <v>3775</v>
      </c>
      <c r="L1651" t="s">
        <v>3245</v>
      </c>
      <c r="M1651" t="s">
        <v>97</v>
      </c>
      <c r="N1651">
        <v>2</v>
      </c>
      <c r="O1651" t="s">
        <v>142</v>
      </c>
      <c r="P1651" t="s">
        <v>21</v>
      </c>
      <c r="Q1651" t="s">
        <v>30</v>
      </c>
      <c r="R1651" t="str">
        <f>VLOOKUP($O1651,'Mapa Oficinas'!$A$7:$C$46,2,FALSE)</f>
        <v>Zona Norte (GBA)</v>
      </c>
      <c r="S1651" t="str">
        <f>VLOOKUP($O1651,'Mapa Oficinas'!$A$7:$C$46,3,FALSE)</f>
        <v>Nordelta</v>
      </c>
    </row>
    <row r="1652" spans="1:19" x14ac:dyDescent="0.2">
      <c r="A1652" s="1">
        <v>45945</v>
      </c>
      <c r="B1652" t="s">
        <v>3755</v>
      </c>
      <c r="D1652" t="s">
        <v>3756</v>
      </c>
      <c r="E1652" t="s">
        <v>16</v>
      </c>
      <c r="F1652" t="s">
        <v>17</v>
      </c>
      <c r="G1652" s="14">
        <v>90000</v>
      </c>
      <c r="H1652" s="14">
        <v>84000</v>
      </c>
      <c r="I1652" t="s">
        <v>22</v>
      </c>
      <c r="J1652" t="s">
        <v>22</v>
      </c>
      <c r="K1652" t="s">
        <v>3757</v>
      </c>
      <c r="L1652" t="s">
        <v>3758</v>
      </c>
      <c r="M1652" t="s">
        <v>19</v>
      </c>
      <c r="N1652">
        <v>2</v>
      </c>
      <c r="O1652" t="s">
        <v>50</v>
      </c>
      <c r="P1652" t="s">
        <v>21</v>
      </c>
      <c r="Q1652" t="s">
        <v>30</v>
      </c>
      <c r="R1652" t="str">
        <f>VLOOKUP($O1652,'Mapa Oficinas'!$A$7:$C$46,2,FALSE)</f>
        <v>CABA</v>
      </c>
      <c r="S1652" t="str">
        <f>VLOOKUP($O1652,'Mapa Oficinas'!$A$7:$C$46,3,FALSE)</f>
        <v>Villa Urquiza</v>
      </c>
    </row>
    <row r="1653" spans="1:19" x14ac:dyDescent="0.2">
      <c r="A1653" s="1">
        <v>45945</v>
      </c>
      <c r="B1653" t="s">
        <v>3747</v>
      </c>
      <c r="D1653" t="s">
        <v>3748</v>
      </c>
      <c r="E1653" t="s">
        <v>16</v>
      </c>
      <c r="F1653" t="s">
        <v>58</v>
      </c>
      <c r="G1653" s="14">
        <v>92000</v>
      </c>
      <c r="H1653" s="14">
        <v>88000</v>
      </c>
      <c r="I1653" t="s">
        <v>22</v>
      </c>
      <c r="J1653" t="s">
        <v>22</v>
      </c>
      <c r="K1653" t="s">
        <v>3749</v>
      </c>
      <c r="L1653" t="s">
        <v>277</v>
      </c>
      <c r="M1653" t="s">
        <v>19</v>
      </c>
      <c r="N1653">
        <v>2</v>
      </c>
      <c r="O1653" t="s">
        <v>50</v>
      </c>
      <c r="P1653" t="s">
        <v>41</v>
      </c>
      <c r="Q1653" t="s">
        <v>30</v>
      </c>
      <c r="R1653" t="str">
        <f>VLOOKUP($O1653,'Mapa Oficinas'!$A$7:$C$46,2,FALSE)</f>
        <v>CABA</v>
      </c>
      <c r="S1653" t="str">
        <f>VLOOKUP($O1653,'Mapa Oficinas'!$A$7:$C$46,3,FALSE)</f>
        <v>Villa Urquiza</v>
      </c>
    </row>
    <row r="1654" spans="1:19" x14ac:dyDescent="0.2">
      <c r="A1654" s="1">
        <v>45945</v>
      </c>
      <c r="B1654" t="s">
        <v>3750</v>
      </c>
      <c r="D1654" t="s">
        <v>3751</v>
      </c>
      <c r="E1654" t="s">
        <v>16</v>
      </c>
      <c r="F1654" t="s">
        <v>47</v>
      </c>
      <c r="G1654" s="14">
        <v>60000</v>
      </c>
      <c r="H1654" s="14">
        <v>93000</v>
      </c>
      <c r="I1654" t="s">
        <v>22</v>
      </c>
      <c r="J1654" t="s">
        <v>22</v>
      </c>
      <c r="K1654" t="s">
        <v>3752</v>
      </c>
      <c r="L1654" t="s">
        <v>111</v>
      </c>
      <c r="M1654" t="s">
        <v>19</v>
      </c>
      <c r="N1654">
        <v>2</v>
      </c>
      <c r="O1654" t="s">
        <v>50</v>
      </c>
      <c r="P1654" t="s">
        <v>41</v>
      </c>
      <c r="Q1654" t="s">
        <v>30</v>
      </c>
      <c r="R1654" t="str">
        <f>VLOOKUP($O1654,'Mapa Oficinas'!$A$7:$C$46,2,FALSE)</f>
        <v>CABA</v>
      </c>
      <c r="S1654" t="str">
        <f>VLOOKUP($O1654,'Mapa Oficinas'!$A$7:$C$46,3,FALSE)</f>
        <v>Villa Urquiza</v>
      </c>
    </row>
    <row r="1655" spans="1:19" x14ac:dyDescent="0.2">
      <c r="A1655" s="1">
        <v>45945</v>
      </c>
      <c r="B1655" t="s">
        <v>3765</v>
      </c>
      <c r="D1655" t="s">
        <v>3766</v>
      </c>
      <c r="E1655" t="s">
        <v>16</v>
      </c>
      <c r="F1655" t="s">
        <v>17</v>
      </c>
      <c r="G1655" s="14">
        <v>99000</v>
      </c>
      <c r="H1655" s="14">
        <v>98000</v>
      </c>
      <c r="I1655" t="s">
        <v>22</v>
      </c>
      <c r="J1655" t="s">
        <v>22</v>
      </c>
      <c r="K1655" t="s">
        <v>3767</v>
      </c>
      <c r="L1655" t="s">
        <v>226</v>
      </c>
      <c r="M1655" t="s">
        <v>19</v>
      </c>
      <c r="N1655">
        <v>2</v>
      </c>
      <c r="O1655" t="s">
        <v>142</v>
      </c>
      <c r="P1655" t="s">
        <v>41</v>
      </c>
      <c r="Q1655" t="s">
        <v>30</v>
      </c>
      <c r="R1655" t="str">
        <f>VLOOKUP($O1655,'Mapa Oficinas'!$A$7:$C$46,2,FALSE)</f>
        <v>Zona Norte (GBA)</v>
      </c>
      <c r="S1655" t="str">
        <f>VLOOKUP($O1655,'Mapa Oficinas'!$A$7:$C$46,3,FALSE)</f>
        <v>Nordelta</v>
      </c>
    </row>
    <row r="1656" spans="1:19" x14ac:dyDescent="0.2">
      <c r="A1656" s="1">
        <v>45945</v>
      </c>
      <c r="B1656" t="s">
        <v>3762</v>
      </c>
      <c r="D1656" t="s">
        <v>3763</v>
      </c>
      <c r="E1656" t="s">
        <v>16</v>
      </c>
      <c r="F1656" t="s">
        <v>17</v>
      </c>
      <c r="G1656" s="14">
        <v>119000</v>
      </c>
      <c r="H1656" s="14">
        <v>110000</v>
      </c>
      <c r="I1656" t="s">
        <v>22</v>
      </c>
      <c r="J1656" t="s">
        <v>22</v>
      </c>
      <c r="K1656" t="s">
        <v>3764</v>
      </c>
      <c r="L1656" t="s">
        <v>551</v>
      </c>
      <c r="M1656" t="s">
        <v>19</v>
      </c>
      <c r="N1656">
        <v>2</v>
      </c>
      <c r="O1656" t="s">
        <v>201</v>
      </c>
      <c r="P1656" t="s">
        <v>21</v>
      </c>
      <c r="Q1656" t="s">
        <v>30</v>
      </c>
      <c r="R1656" t="str">
        <f>VLOOKUP($O1656,'Mapa Oficinas'!$A$7:$C$46,2,FALSE)</f>
        <v>CABA</v>
      </c>
      <c r="S1656" t="str">
        <f>VLOOKUP($O1656,'Mapa Oficinas'!$A$7:$C$46,3,FALSE)</f>
        <v>Recoleta</v>
      </c>
    </row>
    <row r="1657" spans="1:19" x14ac:dyDescent="0.2">
      <c r="A1657" s="1">
        <v>45945</v>
      </c>
      <c r="D1657" t="s">
        <v>3768</v>
      </c>
      <c r="E1657" t="s">
        <v>16</v>
      </c>
      <c r="F1657" t="s">
        <v>17</v>
      </c>
      <c r="G1657" s="14">
        <v>117000</v>
      </c>
      <c r="H1657" s="14">
        <v>117000</v>
      </c>
      <c r="I1657" t="s">
        <v>22</v>
      </c>
      <c r="J1657" t="s">
        <v>22</v>
      </c>
      <c r="K1657" t="s">
        <v>3769</v>
      </c>
      <c r="L1657" t="s">
        <v>191</v>
      </c>
      <c r="M1657" t="s">
        <v>19</v>
      </c>
      <c r="N1657">
        <v>1</v>
      </c>
      <c r="O1657" t="s">
        <v>201</v>
      </c>
      <c r="P1657" t="s">
        <v>146</v>
      </c>
      <c r="Q1657" t="s">
        <v>30</v>
      </c>
      <c r="R1657" t="str">
        <f>VLOOKUP($O1657,'Mapa Oficinas'!$A$7:$C$46,2,FALSE)</f>
        <v>CABA</v>
      </c>
      <c r="S1657" t="str">
        <f>VLOOKUP($O1657,'Mapa Oficinas'!$A$7:$C$46,3,FALSE)</f>
        <v>Recoleta</v>
      </c>
    </row>
    <row r="1658" spans="1:19" x14ac:dyDescent="0.2">
      <c r="A1658" s="1">
        <v>45945</v>
      </c>
      <c r="B1658" t="s">
        <v>3770</v>
      </c>
      <c r="D1658" t="s">
        <v>3771</v>
      </c>
      <c r="E1658" t="s">
        <v>16</v>
      </c>
      <c r="F1658" t="s">
        <v>17</v>
      </c>
      <c r="G1658" s="14">
        <v>198000</v>
      </c>
      <c r="H1658" s="14">
        <v>122000</v>
      </c>
      <c r="I1658" t="s">
        <v>22</v>
      </c>
      <c r="J1658" t="s">
        <v>22</v>
      </c>
      <c r="K1658" t="s">
        <v>3772</v>
      </c>
      <c r="L1658" t="s">
        <v>552</v>
      </c>
      <c r="M1658" t="s">
        <v>19</v>
      </c>
      <c r="N1658">
        <v>2</v>
      </c>
      <c r="O1658" t="s">
        <v>142</v>
      </c>
      <c r="P1658" t="s">
        <v>41</v>
      </c>
      <c r="Q1658" t="s">
        <v>30</v>
      </c>
      <c r="R1658" t="str">
        <f>VLOOKUP($O1658,'Mapa Oficinas'!$A$7:$C$46,2,FALSE)</f>
        <v>Zona Norte (GBA)</v>
      </c>
      <c r="S1658" t="str">
        <f>VLOOKUP($O1658,'Mapa Oficinas'!$A$7:$C$46,3,FALSE)</f>
        <v>Nordelta</v>
      </c>
    </row>
    <row r="1659" spans="1:19" x14ac:dyDescent="0.2">
      <c r="A1659" s="1">
        <v>45945</v>
      </c>
      <c r="B1659" t="s">
        <v>3759</v>
      </c>
      <c r="D1659" t="s">
        <v>3760</v>
      </c>
      <c r="E1659" t="s">
        <v>16</v>
      </c>
      <c r="F1659" t="s">
        <v>17</v>
      </c>
      <c r="G1659" s="14">
        <v>150000</v>
      </c>
      <c r="H1659" s="14">
        <v>140000</v>
      </c>
      <c r="I1659" t="s">
        <v>22</v>
      </c>
      <c r="J1659" t="s">
        <v>22</v>
      </c>
      <c r="K1659" t="s">
        <v>3761</v>
      </c>
      <c r="L1659" t="s">
        <v>474</v>
      </c>
      <c r="M1659" t="s">
        <v>72</v>
      </c>
      <c r="N1659">
        <v>2</v>
      </c>
      <c r="O1659" t="s">
        <v>201</v>
      </c>
      <c r="P1659" t="s">
        <v>276</v>
      </c>
      <c r="Q1659" t="s">
        <v>30</v>
      </c>
      <c r="R1659" t="str">
        <f>VLOOKUP($O1659,'Mapa Oficinas'!$A$7:$C$46,2,FALSE)</f>
        <v>CABA</v>
      </c>
      <c r="S1659" t="str">
        <f>VLOOKUP($O1659,'Mapa Oficinas'!$A$7:$C$46,3,FALSE)</f>
        <v>Recoleta</v>
      </c>
    </row>
    <row r="1660" spans="1:19" x14ac:dyDescent="0.2">
      <c r="A1660" s="1">
        <v>45945</v>
      </c>
      <c r="B1660" t="s">
        <v>3753</v>
      </c>
      <c r="D1660" t="s">
        <v>3753</v>
      </c>
      <c r="E1660" t="s">
        <v>16</v>
      </c>
      <c r="F1660" t="s">
        <v>134</v>
      </c>
      <c r="G1660" s="14">
        <v>146500</v>
      </c>
      <c r="H1660" s="14">
        <v>146500</v>
      </c>
      <c r="I1660" t="s">
        <v>22</v>
      </c>
      <c r="J1660" t="s">
        <v>22</v>
      </c>
      <c r="K1660" t="s">
        <v>3754</v>
      </c>
      <c r="L1660" t="s">
        <v>530</v>
      </c>
      <c r="M1660" t="s">
        <v>19</v>
      </c>
      <c r="N1660">
        <v>2</v>
      </c>
      <c r="O1660" t="s">
        <v>1081</v>
      </c>
      <c r="P1660" t="s">
        <v>276</v>
      </c>
      <c r="Q1660" t="s">
        <v>30</v>
      </c>
      <c r="R1660" t="str">
        <f>VLOOKUP($O1660,'Mapa Oficinas'!$A$7:$C$46,2,FALSE)</f>
        <v>Zona Sur (GBA)</v>
      </c>
      <c r="S1660" t="str">
        <f>VLOOKUP($O1660,'Mapa Oficinas'!$A$7:$C$46,3,FALSE)</f>
        <v>Canning</v>
      </c>
    </row>
    <row r="1661" spans="1:19" x14ac:dyDescent="0.2">
      <c r="A1661" s="1">
        <v>45945</v>
      </c>
      <c r="B1661" t="s">
        <v>3781</v>
      </c>
      <c r="D1661" t="s">
        <v>3782</v>
      </c>
      <c r="E1661" t="s">
        <v>16</v>
      </c>
      <c r="F1661" t="s">
        <v>38</v>
      </c>
      <c r="G1661" s="14">
        <v>154000</v>
      </c>
      <c r="H1661" s="14">
        <v>154000</v>
      </c>
      <c r="I1661" t="s">
        <v>22</v>
      </c>
      <c r="J1661" t="s">
        <v>22</v>
      </c>
      <c r="K1661" t="s">
        <v>3783</v>
      </c>
      <c r="L1661" t="s">
        <v>1170</v>
      </c>
      <c r="M1661" t="s">
        <v>19</v>
      </c>
      <c r="N1661">
        <v>2</v>
      </c>
      <c r="O1661" t="s">
        <v>98</v>
      </c>
      <c r="P1661" t="s">
        <v>41</v>
      </c>
      <c r="Q1661" t="s">
        <v>30</v>
      </c>
      <c r="R1661" t="str">
        <f>VLOOKUP($O1661,'Mapa Oficinas'!$A$7:$C$46,2,FALSE)</f>
        <v>Interior - Neuquén</v>
      </c>
      <c r="S1661" t="str">
        <f>VLOOKUP($O1661,'Mapa Oficinas'!$A$7:$C$46,3,FALSE)</f>
        <v>Villa La Angostura</v>
      </c>
    </row>
    <row r="1662" spans="1:19" x14ac:dyDescent="0.2">
      <c r="A1662" s="1">
        <v>45945</v>
      </c>
      <c r="D1662" t="s">
        <v>3779</v>
      </c>
      <c r="E1662" t="s">
        <v>16</v>
      </c>
      <c r="F1662" t="s">
        <v>58</v>
      </c>
      <c r="G1662" s="14">
        <v>515000</v>
      </c>
      <c r="H1662" s="14">
        <v>515000</v>
      </c>
      <c r="I1662" t="s">
        <v>22</v>
      </c>
      <c r="J1662" t="s">
        <v>22</v>
      </c>
      <c r="K1662" t="s">
        <v>3780</v>
      </c>
      <c r="L1662" t="s">
        <v>79</v>
      </c>
      <c r="M1662" t="s">
        <v>19</v>
      </c>
      <c r="N1662">
        <v>1</v>
      </c>
      <c r="O1662" t="s">
        <v>29</v>
      </c>
      <c r="P1662" t="s">
        <v>146</v>
      </c>
      <c r="Q1662" t="s">
        <v>30</v>
      </c>
      <c r="R1662" t="str">
        <f>VLOOKUP($O1662,'Mapa Oficinas'!$A$7:$C$46,2,FALSE)</f>
        <v>CABA</v>
      </c>
      <c r="S1662" t="str">
        <f>VLOOKUP($O1662,'Mapa Oficinas'!$A$7:$C$46,3,FALSE)</f>
        <v>Núñez</v>
      </c>
    </row>
    <row r="1663" spans="1:19" x14ac:dyDescent="0.2">
      <c r="A1663" s="1">
        <v>45946</v>
      </c>
      <c r="B1663" t="s">
        <v>3724</v>
      </c>
      <c r="D1663" t="s">
        <v>3725</v>
      </c>
      <c r="E1663" t="s">
        <v>16</v>
      </c>
      <c r="F1663" t="s">
        <v>243</v>
      </c>
      <c r="G1663" s="14">
        <v>52000</v>
      </c>
      <c r="H1663" s="14">
        <v>40000</v>
      </c>
      <c r="I1663" t="s">
        <v>22</v>
      </c>
      <c r="J1663" t="s">
        <v>22</v>
      </c>
      <c r="K1663" t="s">
        <v>3726</v>
      </c>
      <c r="L1663" t="s">
        <v>3727</v>
      </c>
      <c r="M1663" t="s">
        <v>28</v>
      </c>
      <c r="N1663">
        <v>1</v>
      </c>
      <c r="O1663" t="s">
        <v>246</v>
      </c>
      <c r="P1663" t="s">
        <v>66</v>
      </c>
      <c r="Q1663" t="s">
        <v>30</v>
      </c>
      <c r="R1663" t="str">
        <f>VLOOKUP($O1663,'Mapa Oficinas'!$A$7:$C$46,2,FALSE)</f>
        <v>Interior - Salta</v>
      </c>
      <c r="S1663" t="str">
        <f>VLOOKUP($O1663,'Mapa Oficinas'!$A$7:$C$46,3,FALSE)</f>
        <v>San Lorenzo Chico</v>
      </c>
    </row>
    <row r="1664" spans="1:19" x14ac:dyDescent="0.2">
      <c r="A1664" s="1">
        <v>45946</v>
      </c>
      <c r="B1664" t="s">
        <v>3738</v>
      </c>
      <c r="D1664" t="s">
        <v>3739</v>
      </c>
      <c r="E1664" t="s">
        <v>16</v>
      </c>
      <c r="F1664" t="s">
        <v>17</v>
      </c>
      <c r="G1664" s="14">
        <v>48000</v>
      </c>
      <c r="H1664" s="14">
        <v>40000</v>
      </c>
      <c r="I1664" t="s">
        <v>22</v>
      </c>
      <c r="J1664" t="s">
        <v>22</v>
      </c>
      <c r="K1664" t="s">
        <v>3740</v>
      </c>
      <c r="L1664" t="s">
        <v>3741</v>
      </c>
      <c r="M1664" t="s">
        <v>309</v>
      </c>
      <c r="N1664">
        <v>2</v>
      </c>
      <c r="O1664" t="s">
        <v>151</v>
      </c>
      <c r="P1664" t="s">
        <v>21</v>
      </c>
      <c r="Q1664" t="s">
        <v>30</v>
      </c>
      <c r="R1664" t="str">
        <f>VLOOKUP($O1664,'Mapa Oficinas'!$A$7:$C$46,2,FALSE)</f>
        <v>Interior - Neuquén</v>
      </c>
      <c r="S1664" t="str">
        <f>VLOOKUP($O1664,'Mapa Oficinas'!$A$7:$C$46,3,FALSE)</f>
        <v>Capital Neuquén</v>
      </c>
    </row>
    <row r="1665" spans="1:19" x14ac:dyDescent="0.2">
      <c r="A1665" s="1">
        <v>45946</v>
      </c>
      <c r="B1665" t="s">
        <v>3734</v>
      </c>
      <c r="D1665" t="s">
        <v>3735</v>
      </c>
      <c r="E1665" t="s">
        <v>16</v>
      </c>
      <c r="F1665" t="s">
        <v>17</v>
      </c>
      <c r="G1665" s="14">
        <v>79900</v>
      </c>
      <c r="H1665" s="14">
        <v>74500</v>
      </c>
      <c r="I1665" t="s">
        <v>22</v>
      </c>
      <c r="J1665" t="s">
        <v>22</v>
      </c>
      <c r="K1665" t="s">
        <v>3736</v>
      </c>
      <c r="L1665" t="s">
        <v>79</v>
      </c>
      <c r="M1665" t="s">
        <v>19</v>
      </c>
      <c r="N1665">
        <v>2</v>
      </c>
      <c r="O1665" t="s">
        <v>35</v>
      </c>
      <c r="P1665" t="s">
        <v>21</v>
      </c>
      <c r="Q1665" t="s">
        <v>30</v>
      </c>
      <c r="R1665" t="str">
        <f>VLOOKUP($O1665,'Mapa Oficinas'!$A$7:$C$46,2,FALSE)</f>
        <v>Zona Norte (GBA)</v>
      </c>
      <c r="S1665" t="str">
        <f>VLOOKUP($O1665,'Mapa Oficinas'!$A$7:$C$46,3,FALSE)</f>
        <v>Vicente López</v>
      </c>
    </row>
    <row r="1666" spans="1:19" x14ac:dyDescent="0.2">
      <c r="A1666" s="1">
        <v>45946</v>
      </c>
      <c r="B1666" t="s">
        <v>3720</v>
      </c>
      <c r="D1666" t="s">
        <v>3720</v>
      </c>
      <c r="E1666" t="s">
        <v>16</v>
      </c>
      <c r="F1666" t="s">
        <v>58</v>
      </c>
      <c r="G1666" s="14">
        <v>45000</v>
      </c>
      <c r="H1666" s="14">
        <v>124000</v>
      </c>
      <c r="I1666" t="s">
        <v>22</v>
      </c>
      <c r="J1666" t="s">
        <v>22</v>
      </c>
      <c r="K1666" t="s">
        <v>3720</v>
      </c>
      <c r="L1666" t="s">
        <v>523</v>
      </c>
      <c r="M1666" t="s">
        <v>72</v>
      </c>
      <c r="N1666">
        <v>2</v>
      </c>
      <c r="O1666" t="s">
        <v>50</v>
      </c>
      <c r="P1666" t="s">
        <v>21</v>
      </c>
      <c r="Q1666" t="s">
        <v>30</v>
      </c>
      <c r="R1666" t="str">
        <f>VLOOKUP($O1666,'Mapa Oficinas'!$A$7:$C$46,2,FALSE)</f>
        <v>CABA</v>
      </c>
      <c r="S1666" t="str">
        <f>VLOOKUP($O1666,'Mapa Oficinas'!$A$7:$C$46,3,FALSE)</f>
        <v>Villa Urquiza</v>
      </c>
    </row>
    <row r="1667" spans="1:19" x14ac:dyDescent="0.2">
      <c r="A1667" s="1">
        <v>45946</v>
      </c>
      <c r="B1667" t="s">
        <v>3731</v>
      </c>
      <c r="D1667" t="s">
        <v>3732</v>
      </c>
      <c r="E1667" t="s">
        <v>16</v>
      </c>
      <c r="F1667" t="s">
        <v>47</v>
      </c>
      <c r="G1667" s="14">
        <v>200000</v>
      </c>
      <c r="H1667" s="14">
        <v>200000</v>
      </c>
      <c r="I1667" t="s">
        <v>22</v>
      </c>
      <c r="J1667" t="s">
        <v>22</v>
      </c>
      <c r="K1667" t="s">
        <v>3733</v>
      </c>
      <c r="L1667" t="s">
        <v>79</v>
      </c>
      <c r="M1667" t="s">
        <v>19</v>
      </c>
      <c r="N1667">
        <v>2</v>
      </c>
      <c r="O1667" t="s">
        <v>142</v>
      </c>
      <c r="P1667" t="s">
        <v>41</v>
      </c>
      <c r="Q1667" t="s">
        <v>30</v>
      </c>
      <c r="R1667" t="str">
        <f>VLOOKUP($O1667,'Mapa Oficinas'!$A$7:$C$46,2,FALSE)</f>
        <v>Zona Norte (GBA)</v>
      </c>
      <c r="S1667" t="str">
        <f>VLOOKUP($O1667,'Mapa Oficinas'!$A$7:$C$46,3,FALSE)</f>
        <v>Nordelta</v>
      </c>
    </row>
    <row r="1668" spans="1:19" x14ac:dyDescent="0.2">
      <c r="A1668" s="1">
        <v>45946</v>
      </c>
      <c r="B1668" t="s">
        <v>3742</v>
      </c>
      <c r="D1668" t="s">
        <v>3743</v>
      </c>
      <c r="E1668" t="s">
        <v>16</v>
      </c>
      <c r="F1668" t="s">
        <v>17</v>
      </c>
      <c r="G1668" s="14">
        <v>239000</v>
      </c>
      <c r="H1668" s="14">
        <v>220000</v>
      </c>
      <c r="I1668" t="s">
        <v>22</v>
      </c>
      <c r="J1668" t="s">
        <v>22</v>
      </c>
      <c r="K1668" t="s">
        <v>3744</v>
      </c>
      <c r="L1668" t="s">
        <v>564</v>
      </c>
      <c r="M1668" t="s">
        <v>19</v>
      </c>
      <c r="N1668">
        <v>2</v>
      </c>
      <c r="O1668" t="s">
        <v>29</v>
      </c>
      <c r="P1668" t="s">
        <v>44</v>
      </c>
      <c r="Q1668" t="s">
        <v>30</v>
      </c>
      <c r="R1668" t="str">
        <f>VLOOKUP($O1668,'Mapa Oficinas'!$A$7:$C$46,2,FALSE)</f>
        <v>CABA</v>
      </c>
      <c r="S1668" t="str">
        <f>VLOOKUP($O1668,'Mapa Oficinas'!$A$7:$C$46,3,FALSE)</f>
        <v>Núñez</v>
      </c>
    </row>
    <row r="1669" spans="1:19" x14ac:dyDescent="0.2">
      <c r="A1669" s="1">
        <v>45947</v>
      </c>
      <c r="B1669" t="s">
        <v>1105</v>
      </c>
      <c r="D1669" t="s">
        <v>1105</v>
      </c>
      <c r="E1669" t="s">
        <v>16</v>
      </c>
      <c r="F1669" t="s">
        <v>58</v>
      </c>
      <c r="G1669" s="14">
        <v>38000</v>
      </c>
      <c r="H1669" s="14">
        <v>38000</v>
      </c>
      <c r="I1669" t="s">
        <v>22</v>
      </c>
      <c r="J1669" t="s">
        <v>22</v>
      </c>
      <c r="K1669" t="s">
        <v>1105</v>
      </c>
      <c r="L1669" t="s">
        <v>604</v>
      </c>
      <c r="M1669" t="s">
        <v>19</v>
      </c>
      <c r="N1669">
        <v>2</v>
      </c>
      <c r="O1669" t="s">
        <v>50</v>
      </c>
      <c r="P1669" t="s">
        <v>21</v>
      </c>
      <c r="Q1669" t="s">
        <v>30</v>
      </c>
      <c r="R1669" t="str">
        <f>VLOOKUP($O1669,'Mapa Oficinas'!$A$7:$C$46,2,FALSE)</f>
        <v>CABA</v>
      </c>
      <c r="S1669" t="str">
        <f>VLOOKUP($O1669,'Mapa Oficinas'!$A$7:$C$46,3,FALSE)</f>
        <v>Villa Urquiza</v>
      </c>
    </row>
    <row r="1670" spans="1:19" x14ac:dyDescent="0.2">
      <c r="A1670" s="1">
        <v>45947</v>
      </c>
      <c r="B1670" t="s">
        <v>3680</v>
      </c>
      <c r="D1670" t="s">
        <v>3681</v>
      </c>
      <c r="E1670" t="s">
        <v>16</v>
      </c>
      <c r="F1670" t="s">
        <v>134</v>
      </c>
      <c r="G1670" s="14">
        <v>45000</v>
      </c>
      <c r="H1670" s="14">
        <v>45000</v>
      </c>
      <c r="I1670" t="s">
        <v>22</v>
      </c>
      <c r="J1670" t="s">
        <v>22</v>
      </c>
      <c r="K1670" t="s">
        <v>3682</v>
      </c>
      <c r="L1670" t="s">
        <v>3683</v>
      </c>
      <c r="M1670" t="s">
        <v>19</v>
      </c>
      <c r="N1670">
        <v>1</v>
      </c>
      <c r="O1670" t="s">
        <v>1081</v>
      </c>
      <c r="P1670" t="s">
        <v>146</v>
      </c>
      <c r="Q1670" t="s">
        <v>30</v>
      </c>
      <c r="R1670" t="str">
        <f>VLOOKUP($O1670,'Mapa Oficinas'!$A$7:$C$46,2,FALSE)</f>
        <v>Zona Sur (GBA)</v>
      </c>
      <c r="S1670" t="str">
        <f>VLOOKUP($O1670,'Mapa Oficinas'!$A$7:$C$46,3,FALSE)</f>
        <v>Canning</v>
      </c>
    </row>
    <row r="1671" spans="1:19" x14ac:dyDescent="0.2">
      <c r="A1671" s="1">
        <v>45947</v>
      </c>
      <c r="D1671" t="s">
        <v>3690</v>
      </c>
      <c r="E1671" t="s">
        <v>16</v>
      </c>
      <c r="F1671" t="s">
        <v>17</v>
      </c>
      <c r="G1671" s="14">
        <v>72000</v>
      </c>
      <c r="H1671" s="14">
        <v>72000</v>
      </c>
      <c r="I1671" t="s">
        <v>22</v>
      </c>
      <c r="J1671" t="s">
        <v>22</v>
      </c>
      <c r="K1671" t="s">
        <v>3691</v>
      </c>
      <c r="L1671" t="s">
        <v>191</v>
      </c>
      <c r="M1671" t="s">
        <v>19</v>
      </c>
      <c r="N1671">
        <v>1</v>
      </c>
      <c r="O1671" t="s">
        <v>201</v>
      </c>
      <c r="P1671" t="s">
        <v>146</v>
      </c>
      <c r="Q1671" t="s">
        <v>30</v>
      </c>
      <c r="R1671" t="str">
        <f>VLOOKUP($O1671,'Mapa Oficinas'!$A$7:$C$46,2,FALSE)</f>
        <v>CABA</v>
      </c>
      <c r="S1671" t="str">
        <f>VLOOKUP($O1671,'Mapa Oficinas'!$A$7:$C$46,3,FALSE)</f>
        <v>Recoleta</v>
      </c>
    </row>
    <row r="1672" spans="1:19" x14ac:dyDescent="0.2">
      <c r="A1672" s="1">
        <v>45947</v>
      </c>
      <c r="B1672" t="s">
        <v>3669</v>
      </c>
      <c r="D1672" t="s">
        <v>3670</v>
      </c>
      <c r="E1672" t="s">
        <v>16</v>
      </c>
      <c r="F1672" t="s">
        <v>17</v>
      </c>
      <c r="G1672" s="14">
        <v>223000</v>
      </c>
      <c r="H1672" s="14">
        <v>76000</v>
      </c>
      <c r="I1672" t="s">
        <v>22</v>
      </c>
      <c r="J1672" t="s">
        <v>22</v>
      </c>
      <c r="K1672" t="s">
        <v>3671</v>
      </c>
      <c r="L1672" t="s">
        <v>205</v>
      </c>
      <c r="M1672" t="s">
        <v>19</v>
      </c>
      <c r="N1672">
        <v>2</v>
      </c>
      <c r="O1672" t="s">
        <v>50</v>
      </c>
      <c r="P1672" t="s">
        <v>21</v>
      </c>
      <c r="Q1672" t="s">
        <v>30</v>
      </c>
      <c r="R1672" t="str">
        <f>VLOOKUP($O1672,'Mapa Oficinas'!$A$7:$C$46,2,FALSE)</f>
        <v>CABA</v>
      </c>
      <c r="S1672" t="str">
        <f>VLOOKUP($O1672,'Mapa Oficinas'!$A$7:$C$46,3,FALSE)</f>
        <v>Villa Urquiza</v>
      </c>
    </row>
    <row r="1673" spans="1:19" x14ac:dyDescent="0.2">
      <c r="A1673" s="1">
        <v>45947</v>
      </c>
      <c r="B1673" t="s">
        <v>3702</v>
      </c>
      <c r="D1673" t="s">
        <v>3703</v>
      </c>
      <c r="E1673" t="s">
        <v>16</v>
      </c>
      <c r="F1673" t="s">
        <v>38</v>
      </c>
      <c r="G1673" s="14">
        <v>78000</v>
      </c>
      <c r="H1673" s="14">
        <v>77000</v>
      </c>
      <c r="I1673" t="s">
        <v>22</v>
      </c>
      <c r="J1673" t="s">
        <v>22</v>
      </c>
      <c r="K1673" t="s">
        <v>3704</v>
      </c>
      <c r="L1673" t="s">
        <v>3705</v>
      </c>
      <c r="M1673" t="s">
        <v>28</v>
      </c>
      <c r="N1673">
        <v>2</v>
      </c>
      <c r="O1673" t="s">
        <v>98</v>
      </c>
      <c r="P1673" t="s">
        <v>44</v>
      </c>
      <c r="Q1673" t="s">
        <v>30</v>
      </c>
      <c r="R1673" t="str">
        <f>VLOOKUP($O1673,'Mapa Oficinas'!$A$7:$C$46,2,FALSE)</f>
        <v>Interior - Neuquén</v>
      </c>
      <c r="S1673" t="str">
        <f>VLOOKUP($O1673,'Mapa Oficinas'!$A$7:$C$46,3,FALSE)</f>
        <v>Villa La Angostura</v>
      </c>
    </row>
    <row r="1674" spans="1:19" x14ac:dyDescent="0.2">
      <c r="A1674" s="1">
        <v>45947</v>
      </c>
      <c r="B1674" t="s">
        <v>3674</v>
      </c>
      <c r="D1674" t="s">
        <v>3675</v>
      </c>
      <c r="E1674" t="s">
        <v>16</v>
      </c>
      <c r="F1674" t="s">
        <v>58</v>
      </c>
      <c r="G1674" s="14">
        <v>89900</v>
      </c>
      <c r="H1674" s="14">
        <v>78000</v>
      </c>
      <c r="I1674" t="s">
        <v>22</v>
      </c>
      <c r="J1674" t="s">
        <v>22</v>
      </c>
      <c r="K1674" t="s">
        <v>3676</v>
      </c>
      <c r="L1674" t="s">
        <v>318</v>
      </c>
      <c r="M1674" t="s">
        <v>19</v>
      </c>
      <c r="N1674">
        <v>2</v>
      </c>
      <c r="O1674" t="s">
        <v>50</v>
      </c>
      <c r="P1674" t="s">
        <v>21</v>
      </c>
      <c r="Q1674" t="s">
        <v>30</v>
      </c>
      <c r="R1674" t="str">
        <f>VLOOKUP($O1674,'Mapa Oficinas'!$A$7:$C$46,2,FALSE)</f>
        <v>CABA</v>
      </c>
      <c r="S1674" t="str">
        <f>VLOOKUP($O1674,'Mapa Oficinas'!$A$7:$C$46,3,FALSE)</f>
        <v>Villa Urquiza</v>
      </c>
    </row>
    <row r="1675" spans="1:19" x14ac:dyDescent="0.2">
      <c r="A1675" s="1">
        <v>45947</v>
      </c>
      <c r="D1675" t="s">
        <v>1074</v>
      </c>
      <c r="E1675" t="s">
        <v>16</v>
      </c>
      <c r="F1675" t="s">
        <v>17</v>
      </c>
      <c r="G1675" s="14">
        <v>0</v>
      </c>
      <c r="H1675" s="14">
        <v>99900</v>
      </c>
      <c r="I1675" t="s">
        <v>22</v>
      </c>
      <c r="J1675" t="s">
        <v>22</v>
      </c>
      <c r="K1675" t="s">
        <v>3701</v>
      </c>
      <c r="L1675" t="s">
        <v>277</v>
      </c>
      <c r="M1675" t="s">
        <v>97</v>
      </c>
      <c r="N1675">
        <v>1</v>
      </c>
      <c r="O1675" t="s">
        <v>103</v>
      </c>
      <c r="P1675" t="s">
        <v>146</v>
      </c>
      <c r="Q1675" t="s">
        <v>30</v>
      </c>
      <c r="R1675" t="str">
        <f>VLOOKUP($O1675,'Mapa Oficinas'!$A$7:$C$46,2,FALSE)</f>
        <v>CABA</v>
      </c>
      <c r="S1675" t="str">
        <f>VLOOKUP($O1675,'Mapa Oficinas'!$A$7:$C$46,3,FALSE)</f>
        <v>Barrio Parque</v>
      </c>
    </row>
    <row r="1676" spans="1:19" x14ac:dyDescent="0.2">
      <c r="A1676" s="1">
        <v>45947</v>
      </c>
      <c r="D1676" t="s">
        <v>3688</v>
      </c>
      <c r="E1676" t="s">
        <v>16</v>
      </c>
      <c r="F1676" t="s">
        <v>17</v>
      </c>
      <c r="G1676" s="14">
        <v>100000</v>
      </c>
      <c r="H1676" s="14">
        <v>100000</v>
      </c>
      <c r="I1676" t="s">
        <v>22</v>
      </c>
      <c r="J1676" t="s">
        <v>22</v>
      </c>
      <c r="K1676" t="s">
        <v>3689</v>
      </c>
      <c r="L1676" t="s">
        <v>191</v>
      </c>
      <c r="M1676" t="s">
        <v>19</v>
      </c>
      <c r="N1676">
        <v>1</v>
      </c>
      <c r="O1676" t="s">
        <v>201</v>
      </c>
      <c r="P1676" t="s">
        <v>146</v>
      </c>
      <c r="Q1676" t="s">
        <v>30</v>
      </c>
      <c r="R1676" t="str">
        <f>VLOOKUP($O1676,'Mapa Oficinas'!$A$7:$C$46,2,FALSE)</f>
        <v>CABA</v>
      </c>
      <c r="S1676" t="str">
        <f>VLOOKUP($O1676,'Mapa Oficinas'!$A$7:$C$46,3,FALSE)</f>
        <v>Recoleta</v>
      </c>
    </row>
    <row r="1677" spans="1:19" x14ac:dyDescent="0.2">
      <c r="A1677" s="1">
        <v>45947</v>
      </c>
      <c r="B1677" t="s">
        <v>3718</v>
      </c>
      <c r="D1677" t="s">
        <v>3719</v>
      </c>
      <c r="E1677" t="s">
        <v>16</v>
      </c>
      <c r="F1677" t="s">
        <v>17</v>
      </c>
      <c r="G1677" s="14">
        <v>113000</v>
      </c>
      <c r="H1677" s="14">
        <v>105000</v>
      </c>
      <c r="I1677" t="s">
        <v>22</v>
      </c>
      <c r="J1677" t="s">
        <v>22</v>
      </c>
      <c r="K1677" t="s">
        <v>3719</v>
      </c>
      <c r="L1677" t="s">
        <v>170</v>
      </c>
      <c r="M1677" t="s">
        <v>72</v>
      </c>
      <c r="N1677">
        <v>1</v>
      </c>
      <c r="O1677" t="s">
        <v>171</v>
      </c>
      <c r="P1677" t="s">
        <v>66</v>
      </c>
      <c r="Q1677" t="s">
        <v>30</v>
      </c>
      <c r="R1677" t="str">
        <f>VLOOKUP($O1677,'Mapa Oficinas'!$A$7:$C$46,2,FALSE)</f>
        <v>Zona Sur (GBA)</v>
      </c>
      <c r="S1677" t="str">
        <f>VLOOKUP($O1677,'Mapa Oficinas'!$A$7:$C$46,3,FALSE)</f>
        <v>La Plata</v>
      </c>
    </row>
    <row r="1678" spans="1:19" x14ac:dyDescent="0.2">
      <c r="A1678" s="1">
        <v>45947</v>
      </c>
      <c r="B1678" t="s">
        <v>3715</v>
      </c>
      <c r="D1678" t="s">
        <v>3716</v>
      </c>
      <c r="E1678" t="s">
        <v>16</v>
      </c>
      <c r="F1678" t="s">
        <v>17</v>
      </c>
      <c r="G1678" s="14">
        <v>130000</v>
      </c>
      <c r="H1678" s="14">
        <v>120000</v>
      </c>
      <c r="I1678" t="s">
        <v>22</v>
      </c>
      <c r="J1678" t="s">
        <v>22</v>
      </c>
      <c r="K1678" t="s">
        <v>3717</v>
      </c>
      <c r="L1678" t="s">
        <v>867</v>
      </c>
      <c r="M1678" t="s">
        <v>19</v>
      </c>
      <c r="N1678">
        <v>2</v>
      </c>
      <c r="O1678" t="s">
        <v>103</v>
      </c>
      <c r="P1678" t="s">
        <v>276</v>
      </c>
      <c r="Q1678" t="s">
        <v>30</v>
      </c>
      <c r="R1678" t="str">
        <f>VLOOKUP($O1678,'Mapa Oficinas'!$A$7:$C$46,2,FALSE)</f>
        <v>CABA</v>
      </c>
      <c r="S1678" t="str">
        <f>VLOOKUP($O1678,'Mapa Oficinas'!$A$7:$C$46,3,FALSE)</f>
        <v>Barrio Parque</v>
      </c>
    </row>
    <row r="1679" spans="1:19" x14ac:dyDescent="0.2">
      <c r="A1679" s="1">
        <v>45947</v>
      </c>
      <c r="B1679">
        <v>10560</v>
      </c>
      <c r="D1679" t="s">
        <v>3714</v>
      </c>
      <c r="E1679" t="s">
        <v>16</v>
      </c>
      <c r="F1679" t="s">
        <v>17</v>
      </c>
      <c r="G1679" s="14">
        <v>145000</v>
      </c>
      <c r="H1679" s="14">
        <v>145000</v>
      </c>
      <c r="I1679" t="s">
        <v>22</v>
      </c>
      <c r="J1679" t="s">
        <v>22</v>
      </c>
      <c r="K1679" t="s">
        <v>3714</v>
      </c>
      <c r="L1679" t="s">
        <v>277</v>
      </c>
      <c r="M1679" t="s">
        <v>19</v>
      </c>
      <c r="N1679">
        <v>1</v>
      </c>
      <c r="O1679" t="s">
        <v>103</v>
      </c>
      <c r="P1679" t="s">
        <v>146</v>
      </c>
      <c r="Q1679" t="s">
        <v>30</v>
      </c>
      <c r="R1679" t="str">
        <f>VLOOKUP($O1679,'Mapa Oficinas'!$A$7:$C$46,2,FALSE)</f>
        <v>CABA</v>
      </c>
      <c r="S1679" t="str">
        <f>VLOOKUP($O1679,'Mapa Oficinas'!$A$7:$C$46,3,FALSE)</f>
        <v>Barrio Parque</v>
      </c>
    </row>
    <row r="1680" spans="1:19" x14ac:dyDescent="0.2">
      <c r="A1680" s="1">
        <v>45947</v>
      </c>
      <c r="D1680" t="s">
        <v>3692</v>
      </c>
      <c r="E1680" t="s">
        <v>16</v>
      </c>
      <c r="F1680" t="s">
        <v>17</v>
      </c>
      <c r="G1680" s="14">
        <v>146000</v>
      </c>
      <c r="H1680" s="14">
        <v>146000</v>
      </c>
      <c r="I1680" t="s">
        <v>22</v>
      </c>
      <c r="J1680" t="s">
        <v>22</v>
      </c>
      <c r="K1680" t="s">
        <v>3693</v>
      </c>
      <c r="L1680" t="s">
        <v>191</v>
      </c>
      <c r="M1680" t="s">
        <v>19</v>
      </c>
      <c r="N1680">
        <v>1</v>
      </c>
      <c r="O1680" t="s">
        <v>201</v>
      </c>
      <c r="P1680" t="s">
        <v>146</v>
      </c>
      <c r="Q1680" t="s">
        <v>30</v>
      </c>
      <c r="R1680" t="str">
        <f>VLOOKUP($O1680,'Mapa Oficinas'!$A$7:$C$46,2,FALSE)</f>
        <v>CABA</v>
      </c>
      <c r="S1680" t="str">
        <f>VLOOKUP($O1680,'Mapa Oficinas'!$A$7:$C$46,3,FALSE)</f>
        <v>Recoleta</v>
      </c>
    </row>
    <row r="1681" spans="1:19" x14ac:dyDescent="0.2">
      <c r="A1681" s="1">
        <v>45947</v>
      </c>
      <c r="B1681" t="s">
        <v>3672</v>
      </c>
      <c r="D1681" t="s">
        <v>3673</v>
      </c>
      <c r="E1681" t="s">
        <v>16</v>
      </c>
      <c r="F1681" t="s">
        <v>58</v>
      </c>
      <c r="G1681" s="14">
        <v>170000</v>
      </c>
      <c r="H1681" s="14">
        <v>165000</v>
      </c>
      <c r="I1681" t="s">
        <v>22</v>
      </c>
      <c r="J1681" t="s">
        <v>22</v>
      </c>
      <c r="K1681" t="s">
        <v>1101</v>
      </c>
      <c r="L1681" t="s">
        <v>271</v>
      </c>
      <c r="M1681" t="s">
        <v>19</v>
      </c>
      <c r="N1681">
        <v>2</v>
      </c>
      <c r="O1681" t="s">
        <v>50</v>
      </c>
      <c r="P1681" t="s">
        <v>21</v>
      </c>
      <c r="Q1681" t="s">
        <v>30</v>
      </c>
      <c r="R1681" t="str">
        <f>VLOOKUP($O1681,'Mapa Oficinas'!$A$7:$C$46,2,FALSE)</f>
        <v>CABA</v>
      </c>
      <c r="S1681" t="str">
        <f>VLOOKUP($O1681,'Mapa Oficinas'!$A$7:$C$46,3,FALSE)</f>
        <v>Villa Urquiza</v>
      </c>
    </row>
    <row r="1682" spans="1:19" x14ac:dyDescent="0.2">
      <c r="A1682" s="1">
        <v>45947</v>
      </c>
      <c r="D1682" t="s">
        <v>3707</v>
      </c>
      <c r="E1682" t="s">
        <v>16</v>
      </c>
      <c r="F1682" t="s">
        <v>82</v>
      </c>
      <c r="G1682" s="14">
        <v>195000</v>
      </c>
      <c r="H1682" s="14">
        <v>195000</v>
      </c>
      <c r="I1682" t="s">
        <v>22</v>
      </c>
      <c r="J1682" t="s">
        <v>22</v>
      </c>
      <c r="K1682" t="s">
        <v>3707</v>
      </c>
      <c r="L1682" t="s">
        <v>1931</v>
      </c>
      <c r="M1682" t="s">
        <v>28</v>
      </c>
      <c r="N1682">
        <v>1</v>
      </c>
      <c r="O1682" t="s">
        <v>98</v>
      </c>
      <c r="P1682" t="s">
        <v>131</v>
      </c>
      <c r="Q1682" t="s">
        <v>30</v>
      </c>
      <c r="R1682" t="str">
        <f>VLOOKUP($O1682,'Mapa Oficinas'!$A$7:$C$46,2,FALSE)</f>
        <v>Interior - Neuquén</v>
      </c>
      <c r="S1682" t="str">
        <f>VLOOKUP($O1682,'Mapa Oficinas'!$A$7:$C$46,3,FALSE)</f>
        <v>Villa La Angostura</v>
      </c>
    </row>
    <row r="1683" spans="1:19" x14ac:dyDescent="0.2">
      <c r="A1683" s="1">
        <v>45947</v>
      </c>
      <c r="B1683" t="s">
        <v>3694</v>
      </c>
      <c r="D1683" t="s">
        <v>3695</v>
      </c>
      <c r="E1683" t="s">
        <v>16</v>
      </c>
      <c r="F1683" t="s">
        <v>17</v>
      </c>
      <c r="G1683" s="14">
        <v>225000</v>
      </c>
      <c r="H1683" s="14">
        <v>215000</v>
      </c>
      <c r="I1683" t="s">
        <v>22</v>
      </c>
      <c r="J1683" t="s">
        <v>22</v>
      </c>
      <c r="K1683" t="s">
        <v>3696</v>
      </c>
      <c r="L1683" t="s">
        <v>1651</v>
      </c>
      <c r="M1683" t="s">
        <v>28</v>
      </c>
      <c r="N1683">
        <v>2</v>
      </c>
      <c r="O1683" t="s">
        <v>151</v>
      </c>
      <c r="P1683" t="s">
        <v>21</v>
      </c>
      <c r="Q1683" t="s">
        <v>30</v>
      </c>
      <c r="R1683" t="str">
        <f>VLOOKUP($O1683,'Mapa Oficinas'!$A$7:$C$46,2,FALSE)</f>
        <v>Interior - Neuquén</v>
      </c>
      <c r="S1683" t="str">
        <f>VLOOKUP($O1683,'Mapa Oficinas'!$A$7:$C$46,3,FALSE)</f>
        <v>Capital Neuquén</v>
      </c>
    </row>
    <row r="1684" spans="1:19" x14ac:dyDescent="0.2">
      <c r="A1684" s="1">
        <v>45947</v>
      </c>
      <c r="B1684" t="s">
        <v>3677</v>
      </c>
      <c r="D1684" t="s">
        <v>3678</v>
      </c>
      <c r="E1684" t="s">
        <v>16</v>
      </c>
      <c r="F1684" t="s">
        <v>17</v>
      </c>
      <c r="G1684" s="14">
        <v>256000</v>
      </c>
      <c r="H1684" s="14">
        <v>245000</v>
      </c>
      <c r="I1684" t="s">
        <v>22</v>
      </c>
      <c r="J1684" t="s">
        <v>22</v>
      </c>
      <c r="K1684" t="s">
        <v>3679</v>
      </c>
      <c r="L1684" t="s">
        <v>205</v>
      </c>
      <c r="M1684" t="s">
        <v>19</v>
      </c>
      <c r="N1684">
        <v>2</v>
      </c>
      <c r="O1684" t="s">
        <v>50</v>
      </c>
      <c r="P1684" t="s">
        <v>21</v>
      </c>
      <c r="Q1684" t="s">
        <v>30</v>
      </c>
      <c r="R1684" t="str">
        <f>VLOOKUP($O1684,'Mapa Oficinas'!$A$7:$C$46,2,FALSE)</f>
        <v>CABA</v>
      </c>
      <c r="S1684" t="str">
        <f>VLOOKUP($O1684,'Mapa Oficinas'!$A$7:$C$46,3,FALSE)</f>
        <v>Villa Urquiza</v>
      </c>
    </row>
    <row r="1685" spans="1:19" x14ac:dyDescent="0.2">
      <c r="A1685" s="1">
        <v>45947</v>
      </c>
      <c r="B1685" t="s">
        <v>3698</v>
      </c>
      <c r="D1685" t="s">
        <v>3699</v>
      </c>
      <c r="E1685" t="s">
        <v>16</v>
      </c>
      <c r="F1685" t="s">
        <v>17</v>
      </c>
      <c r="G1685" s="14">
        <v>369000</v>
      </c>
      <c r="H1685" s="14">
        <v>320000</v>
      </c>
      <c r="I1685" t="s">
        <v>22</v>
      </c>
      <c r="J1685" t="s">
        <v>22</v>
      </c>
      <c r="K1685" t="s">
        <v>3700</v>
      </c>
      <c r="L1685" t="s">
        <v>191</v>
      </c>
      <c r="M1685" t="s">
        <v>19</v>
      </c>
      <c r="N1685">
        <v>2</v>
      </c>
      <c r="O1685" t="s">
        <v>103</v>
      </c>
      <c r="P1685" t="s">
        <v>21</v>
      </c>
      <c r="Q1685" t="s">
        <v>30</v>
      </c>
      <c r="R1685" t="str">
        <f>VLOOKUP($O1685,'Mapa Oficinas'!$A$7:$C$46,2,FALSE)</f>
        <v>CABA</v>
      </c>
      <c r="S1685" t="str">
        <f>VLOOKUP($O1685,'Mapa Oficinas'!$A$7:$C$46,3,FALSE)</f>
        <v>Barrio Parque</v>
      </c>
    </row>
    <row r="1686" spans="1:19" x14ac:dyDescent="0.2">
      <c r="A1686" s="1">
        <v>45948</v>
      </c>
      <c r="B1686" t="s">
        <v>3666</v>
      </c>
      <c r="D1686" t="s">
        <v>3667</v>
      </c>
      <c r="E1686" t="s">
        <v>16</v>
      </c>
      <c r="F1686" t="s">
        <v>47</v>
      </c>
      <c r="G1686" s="14">
        <v>105000</v>
      </c>
      <c r="H1686" s="14">
        <v>95000</v>
      </c>
      <c r="I1686" t="s">
        <v>22</v>
      </c>
      <c r="J1686" t="s">
        <v>22</v>
      </c>
      <c r="K1686" t="s">
        <v>3668</v>
      </c>
      <c r="L1686" t="s">
        <v>503</v>
      </c>
      <c r="M1686" t="s">
        <v>19</v>
      </c>
      <c r="N1686">
        <v>2</v>
      </c>
      <c r="O1686" t="s">
        <v>142</v>
      </c>
      <c r="P1686" t="s">
        <v>41</v>
      </c>
      <c r="Q1686" t="s">
        <v>30</v>
      </c>
      <c r="R1686" t="str">
        <f>VLOOKUP($O1686,'Mapa Oficinas'!$A$7:$C$46,2,FALSE)</f>
        <v>Zona Norte (GBA)</v>
      </c>
      <c r="S1686" t="str">
        <f>VLOOKUP($O1686,'Mapa Oficinas'!$A$7:$C$46,3,FALSE)</f>
        <v>Nordelta</v>
      </c>
    </row>
    <row r="1687" spans="1:19" x14ac:dyDescent="0.2">
      <c r="A1687" s="1">
        <v>45950</v>
      </c>
      <c r="B1687" t="s">
        <v>3662</v>
      </c>
      <c r="D1687" t="s">
        <v>3663</v>
      </c>
      <c r="E1687" t="s">
        <v>16</v>
      </c>
      <c r="F1687" t="s">
        <v>17</v>
      </c>
      <c r="G1687" s="14">
        <v>100000</v>
      </c>
      <c r="H1687" s="14">
        <v>42500</v>
      </c>
      <c r="I1687" t="s">
        <v>22</v>
      </c>
      <c r="J1687" t="s">
        <v>22</v>
      </c>
      <c r="K1687" t="s">
        <v>3664</v>
      </c>
      <c r="L1687" t="s">
        <v>191</v>
      </c>
      <c r="M1687" t="s">
        <v>19</v>
      </c>
      <c r="N1687">
        <v>2</v>
      </c>
      <c r="O1687" t="s">
        <v>201</v>
      </c>
      <c r="P1687" t="s">
        <v>21</v>
      </c>
      <c r="Q1687" t="s">
        <v>30</v>
      </c>
      <c r="R1687" t="str">
        <f>VLOOKUP($O1687,'Mapa Oficinas'!$A$7:$C$46,2,FALSE)</f>
        <v>CABA</v>
      </c>
      <c r="S1687" t="str">
        <f>VLOOKUP($O1687,'Mapa Oficinas'!$A$7:$C$46,3,FALSE)</f>
        <v>Recoleta</v>
      </c>
    </row>
    <row r="1688" spans="1:19" x14ac:dyDescent="0.2">
      <c r="A1688" s="1">
        <v>45950</v>
      </c>
      <c r="B1688" t="s">
        <v>3652</v>
      </c>
      <c r="D1688" t="s">
        <v>3652</v>
      </c>
      <c r="E1688" t="s">
        <v>16</v>
      </c>
      <c r="F1688" t="s">
        <v>17</v>
      </c>
      <c r="G1688" s="14">
        <v>68000</v>
      </c>
      <c r="H1688" s="14">
        <v>68000</v>
      </c>
      <c r="I1688" t="s">
        <v>22</v>
      </c>
      <c r="J1688" t="s">
        <v>22</v>
      </c>
      <c r="K1688" t="s">
        <v>3652</v>
      </c>
      <c r="L1688" t="s">
        <v>2361</v>
      </c>
      <c r="M1688" t="s">
        <v>19</v>
      </c>
      <c r="N1688">
        <v>1</v>
      </c>
      <c r="O1688" t="s">
        <v>35</v>
      </c>
      <c r="P1688" t="s">
        <v>131</v>
      </c>
      <c r="Q1688" t="s">
        <v>30</v>
      </c>
      <c r="R1688" t="str">
        <f>VLOOKUP($O1688,'Mapa Oficinas'!$A$7:$C$46,2,FALSE)</f>
        <v>Zona Norte (GBA)</v>
      </c>
      <c r="S1688" t="str">
        <f>VLOOKUP($O1688,'Mapa Oficinas'!$A$7:$C$46,3,FALSE)</f>
        <v>Vicente López</v>
      </c>
    </row>
    <row r="1689" spans="1:19" x14ac:dyDescent="0.2">
      <c r="A1689" s="1">
        <v>45950</v>
      </c>
      <c r="B1689" t="s">
        <v>3665</v>
      </c>
      <c r="D1689" t="s">
        <v>3665</v>
      </c>
      <c r="E1689" t="s">
        <v>16</v>
      </c>
      <c r="F1689" t="s">
        <v>17</v>
      </c>
      <c r="G1689" s="14">
        <v>80000</v>
      </c>
      <c r="H1689" s="14">
        <v>80000</v>
      </c>
      <c r="I1689" t="s">
        <v>22</v>
      </c>
      <c r="J1689" t="s">
        <v>22</v>
      </c>
      <c r="L1689" t="s">
        <v>1309</v>
      </c>
      <c r="M1689" t="s">
        <v>19</v>
      </c>
      <c r="N1689">
        <v>1</v>
      </c>
      <c r="O1689" t="s">
        <v>151</v>
      </c>
      <c r="P1689" t="s">
        <v>131</v>
      </c>
      <c r="Q1689" t="s">
        <v>30</v>
      </c>
      <c r="R1689" t="str">
        <f>VLOOKUP($O1689,'Mapa Oficinas'!$A$7:$C$46,2,FALSE)</f>
        <v>Interior - Neuquén</v>
      </c>
      <c r="S1689" t="str">
        <f>VLOOKUP($O1689,'Mapa Oficinas'!$A$7:$C$46,3,FALSE)</f>
        <v>Capital Neuquén</v>
      </c>
    </row>
    <row r="1690" spans="1:19" x14ac:dyDescent="0.2">
      <c r="A1690" s="1">
        <v>45950</v>
      </c>
      <c r="D1690" t="s">
        <v>3660</v>
      </c>
      <c r="E1690" t="s">
        <v>16</v>
      </c>
      <c r="F1690" t="s">
        <v>17</v>
      </c>
      <c r="G1690" s="14">
        <v>85000</v>
      </c>
      <c r="H1690" s="14">
        <v>85000</v>
      </c>
      <c r="I1690" t="s">
        <v>22</v>
      </c>
      <c r="J1690" t="s">
        <v>22</v>
      </c>
      <c r="K1690" t="s">
        <v>3661</v>
      </c>
      <c r="L1690" t="s">
        <v>277</v>
      </c>
      <c r="M1690" t="s">
        <v>19</v>
      </c>
      <c r="N1690">
        <v>1</v>
      </c>
      <c r="O1690" t="s">
        <v>201</v>
      </c>
      <c r="P1690" t="s">
        <v>146</v>
      </c>
      <c r="Q1690" t="s">
        <v>30</v>
      </c>
      <c r="R1690" t="str">
        <f>VLOOKUP($O1690,'Mapa Oficinas'!$A$7:$C$46,2,FALSE)</f>
        <v>CABA</v>
      </c>
      <c r="S1690" t="str">
        <f>VLOOKUP($O1690,'Mapa Oficinas'!$A$7:$C$46,3,FALSE)</f>
        <v>Recoleta</v>
      </c>
    </row>
    <row r="1691" spans="1:19" x14ac:dyDescent="0.2">
      <c r="A1691" s="1">
        <v>45950</v>
      </c>
      <c r="B1691" t="s">
        <v>3657</v>
      </c>
      <c r="D1691" t="s">
        <v>3658</v>
      </c>
      <c r="E1691" t="s">
        <v>16</v>
      </c>
      <c r="F1691" t="s">
        <v>17</v>
      </c>
      <c r="G1691" s="14">
        <v>200000</v>
      </c>
      <c r="H1691" s="14">
        <v>185000</v>
      </c>
      <c r="I1691" t="s">
        <v>22</v>
      </c>
      <c r="J1691" t="s">
        <v>22</v>
      </c>
      <c r="K1691" t="s">
        <v>3659</v>
      </c>
      <c r="L1691" t="s">
        <v>222</v>
      </c>
      <c r="M1691" t="s">
        <v>19</v>
      </c>
      <c r="N1691">
        <v>2</v>
      </c>
      <c r="O1691" t="s">
        <v>142</v>
      </c>
      <c r="P1691" t="s">
        <v>21</v>
      </c>
      <c r="Q1691" t="s">
        <v>30</v>
      </c>
      <c r="R1691" t="str">
        <f>VLOOKUP($O1691,'Mapa Oficinas'!$A$7:$C$46,2,FALSE)</f>
        <v>Zona Norte (GBA)</v>
      </c>
      <c r="S1691" t="str">
        <f>VLOOKUP($O1691,'Mapa Oficinas'!$A$7:$C$46,3,FALSE)</f>
        <v>Nordelta</v>
      </c>
    </row>
    <row r="1692" spans="1:19" x14ac:dyDescent="0.2">
      <c r="A1692" s="1">
        <v>45950</v>
      </c>
      <c r="B1692" t="s">
        <v>3653</v>
      </c>
      <c r="D1692" t="s">
        <v>3654</v>
      </c>
      <c r="E1692" t="s">
        <v>16</v>
      </c>
      <c r="F1692" t="s">
        <v>243</v>
      </c>
      <c r="G1692" s="14">
        <v>210000</v>
      </c>
      <c r="H1692" s="14">
        <v>200000</v>
      </c>
      <c r="I1692" t="s">
        <v>22</v>
      </c>
      <c r="J1692" t="s">
        <v>22</v>
      </c>
      <c r="K1692" t="s">
        <v>3655</v>
      </c>
      <c r="L1692" t="s">
        <v>3656</v>
      </c>
      <c r="M1692" t="s">
        <v>3054</v>
      </c>
      <c r="N1692">
        <v>2</v>
      </c>
      <c r="O1692" t="s">
        <v>246</v>
      </c>
      <c r="P1692" t="s">
        <v>21</v>
      </c>
      <c r="Q1692" t="s">
        <v>30</v>
      </c>
      <c r="R1692" t="str">
        <f>VLOOKUP($O1692,'Mapa Oficinas'!$A$7:$C$46,2,FALSE)</f>
        <v>Interior - Salta</v>
      </c>
      <c r="S1692" t="str">
        <f>VLOOKUP($O1692,'Mapa Oficinas'!$A$7:$C$46,3,FALSE)</f>
        <v>San Lorenzo Chico</v>
      </c>
    </row>
    <row r="1693" spans="1:19" x14ac:dyDescent="0.2">
      <c r="A1693" s="1">
        <v>45951</v>
      </c>
      <c r="B1693" t="s">
        <v>3642</v>
      </c>
      <c r="D1693" t="s">
        <v>3643</v>
      </c>
      <c r="E1693" t="s">
        <v>16</v>
      </c>
      <c r="F1693" t="s">
        <v>17</v>
      </c>
      <c r="G1693" s="14">
        <v>49000</v>
      </c>
      <c r="H1693" s="14">
        <v>46000</v>
      </c>
      <c r="I1693" t="s">
        <v>22</v>
      </c>
      <c r="J1693" t="s">
        <v>22</v>
      </c>
      <c r="K1693" t="s">
        <v>3644</v>
      </c>
      <c r="L1693" t="s">
        <v>71</v>
      </c>
      <c r="M1693" t="s">
        <v>19</v>
      </c>
      <c r="N1693">
        <v>2</v>
      </c>
      <c r="O1693" t="s">
        <v>103</v>
      </c>
      <c r="P1693" t="s">
        <v>21</v>
      </c>
      <c r="Q1693" t="s">
        <v>30</v>
      </c>
      <c r="R1693" t="str">
        <f>VLOOKUP($O1693,'Mapa Oficinas'!$A$7:$C$46,2,FALSE)</f>
        <v>CABA</v>
      </c>
      <c r="S1693" t="str">
        <f>VLOOKUP($O1693,'Mapa Oficinas'!$A$7:$C$46,3,FALSE)</f>
        <v>Barrio Parque</v>
      </c>
    </row>
    <row r="1694" spans="1:19" x14ac:dyDescent="0.2">
      <c r="A1694" s="1">
        <v>45951</v>
      </c>
      <c r="B1694" t="s">
        <v>3645</v>
      </c>
      <c r="D1694" t="s">
        <v>3646</v>
      </c>
      <c r="E1694" t="s">
        <v>16</v>
      </c>
      <c r="F1694" t="s">
        <v>17</v>
      </c>
      <c r="G1694" s="14">
        <v>59900</v>
      </c>
      <c r="H1694" s="14">
        <v>55000</v>
      </c>
      <c r="I1694" t="s">
        <v>22</v>
      </c>
      <c r="J1694" t="s">
        <v>22</v>
      </c>
      <c r="K1694" t="s">
        <v>3647</v>
      </c>
      <c r="L1694" t="s">
        <v>226</v>
      </c>
      <c r="M1694" t="s">
        <v>19</v>
      </c>
      <c r="N1694">
        <v>2</v>
      </c>
      <c r="O1694" t="s">
        <v>103</v>
      </c>
      <c r="P1694" t="s">
        <v>276</v>
      </c>
      <c r="Q1694" t="s">
        <v>30</v>
      </c>
      <c r="R1694" t="str">
        <f>VLOOKUP($O1694,'Mapa Oficinas'!$A$7:$C$46,2,FALSE)</f>
        <v>CABA</v>
      </c>
      <c r="S1694" t="str">
        <f>VLOOKUP($O1694,'Mapa Oficinas'!$A$7:$C$46,3,FALSE)</f>
        <v>Barrio Parque</v>
      </c>
    </row>
    <row r="1695" spans="1:19" x14ac:dyDescent="0.2">
      <c r="A1695" s="1">
        <v>45951</v>
      </c>
      <c r="B1695" t="s">
        <v>3639</v>
      </c>
      <c r="D1695" t="s">
        <v>3640</v>
      </c>
      <c r="E1695" t="s">
        <v>16</v>
      </c>
      <c r="F1695" t="s">
        <v>1708</v>
      </c>
      <c r="G1695" s="14">
        <v>55000</v>
      </c>
      <c r="H1695" s="14">
        <v>55000</v>
      </c>
      <c r="I1695" t="s">
        <v>22</v>
      </c>
      <c r="J1695" t="s">
        <v>22</v>
      </c>
      <c r="K1695" t="s">
        <v>3641</v>
      </c>
      <c r="L1695" t="s">
        <v>1170</v>
      </c>
      <c r="M1695" t="s">
        <v>19</v>
      </c>
      <c r="N1695">
        <v>2</v>
      </c>
      <c r="O1695" t="s">
        <v>98</v>
      </c>
      <c r="P1695" t="s">
        <v>21</v>
      </c>
      <c r="Q1695" t="s">
        <v>30</v>
      </c>
      <c r="R1695" t="str">
        <f>VLOOKUP($O1695,'Mapa Oficinas'!$A$7:$C$46,2,FALSE)</f>
        <v>Interior - Neuquén</v>
      </c>
      <c r="S1695" t="str">
        <f>VLOOKUP($O1695,'Mapa Oficinas'!$A$7:$C$46,3,FALSE)</f>
        <v>Villa La Angostura</v>
      </c>
    </row>
    <row r="1696" spans="1:19" x14ac:dyDescent="0.2">
      <c r="A1696" s="1">
        <v>45951</v>
      </c>
      <c r="B1696" t="s">
        <v>3649</v>
      </c>
      <c r="D1696" t="s">
        <v>3650</v>
      </c>
      <c r="E1696" t="s">
        <v>16</v>
      </c>
      <c r="F1696" t="s">
        <v>17</v>
      </c>
      <c r="G1696" s="14">
        <v>69500</v>
      </c>
      <c r="H1696" s="14">
        <v>60000</v>
      </c>
      <c r="I1696" t="s">
        <v>22</v>
      </c>
      <c r="J1696" t="s">
        <v>22</v>
      </c>
      <c r="K1696" t="s">
        <v>3651</v>
      </c>
      <c r="L1696" t="s">
        <v>318</v>
      </c>
      <c r="M1696" t="s">
        <v>19</v>
      </c>
      <c r="N1696">
        <v>2</v>
      </c>
      <c r="O1696" t="s">
        <v>103</v>
      </c>
      <c r="P1696" t="s">
        <v>21</v>
      </c>
      <c r="Q1696" t="s">
        <v>30</v>
      </c>
      <c r="R1696" t="str">
        <f>VLOOKUP($O1696,'Mapa Oficinas'!$A$7:$C$46,2,FALSE)</f>
        <v>CABA</v>
      </c>
      <c r="S1696" t="str">
        <f>VLOOKUP($O1696,'Mapa Oficinas'!$A$7:$C$46,3,FALSE)</f>
        <v>Barrio Parque</v>
      </c>
    </row>
    <row r="1697" spans="1:19" x14ac:dyDescent="0.2">
      <c r="A1697" s="1">
        <v>45951</v>
      </c>
      <c r="B1697" t="s">
        <v>3625</v>
      </c>
      <c r="D1697" t="s">
        <v>3626</v>
      </c>
      <c r="E1697" t="s">
        <v>16</v>
      </c>
      <c r="F1697" t="s">
        <v>17</v>
      </c>
      <c r="G1697" s="14">
        <v>89900</v>
      </c>
      <c r="H1697" s="14">
        <v>88000</v>
      </c>
      <c r="I1697" t="s">
        <v>22</v>
      </c>
      <c r="J1697" t="s">
        <v>22</v>
      </c>
      <c r="K1697" t="s">
        <v>3627</v>
      </c>
      <c r="L1697" t="s">
        <v>1672</v>
      </c>
      <c r="M1697" t="s">
        <v>19</v>
      </c>
      <c r="N1697">
        <v>2</v>
      </c>
      <c r="O1697" t="s">
        <v>35</v>
      </c>
      <c r="P1697" t="s">
        <v>21</v>
      </c>
      <c r="Q1697" t="s">
        <v>30</v>
      </c>
      <c r="R1697" t="str">
        <f>VLOOKUP($O1697,'Mapa Oficinas'!$A$7:$C$46,2,FALSE)</f>
        <v>Zona Norte (GBA)</v>
      </c>
      <c r="S1697" t="str">
        <f>VLOOKUP($O1697,'Mapa Oficinas'!$A$7:$C$46,3,FALSE)</f>
        <v>Vicente López</v>
      </c>
    </row>
    <row r="1698" spans="1:19" x14ac:dyDescent="0.2">
      <c r="A1698" s="1">
        <v>45951</v>
      </c>
      <c r="B1698" t="s">
        <v>3648</v>
      </c>
      <c r="D1698" t="s">
        <v>1560</v>
      </c>
      <c r="E1698" t="s">
        <v>16</v>
      </c>
      <c r="F1698" t="s">
        <v>17</v>
      </c>
      <c r="G1698" s="14">
        <v>100000</v>
      </c>
      <c r="H1698" s="14">
        <v>100000</v>
      </c>
      <c r="I1698" t="s">
        <v>22</v>
      </c>
      <c r="J1698" t="s">
        <v>22</v>
      </c>
      <c r="K1698" t="s">
        <v>1561</v>
      </c>
      <c r="L1698" t="s">
        <v>200</v>
      </c>
      <c r="M1698" t="s">
        <v>19</v>
      </c>
      <c r="N1698">
        <v>2</v>
      </c>
      <c r="O1698" t="s">
        <v>103</v>
      </c>
      <c r="P1698" t="s">
        <v>21</v>
      </c>
      <c r="Q1698" t="s">
        <v>30</v>
      </c>
      <c r="R1698" t="str">
        <f>VLOOKUP($O1698,'Mapa Oficinas'!$A$7:$C$46,2,FALSE)</f>
        <v>CABA</v>
      </c>
      <c r="S1698" t="str">
        <f>VLOOKUP($O1698,'Mapa Oficinas'!$A$7:$C$46,3,FALSE)</f>
        <v>Barrio Parque</v>
      </c>
    </row>
    <row r="1699" spans="1:19" x14ac:dyDescent="0.2">
      <c r="A1699" s="1">
        <v>45951</v>
      </c>
      <c r="B1699" t="s">
        <v>3634</v>
      </c>
      <c r="D1699" t="s">
        <v>3635</v>
      </c>
      <c r="E1699" t="s">
        <v>16</v>
      </c>
      <c r="F1699" t="s">
        <v>17</v>
      </c>
      <c r="G1699" s="14">
        <v>185000</v>
      </c>
      <c r="H1699" s="14">
        <v>167000</v>
      </c>
      <c r="I1699" t="s">
        <v>22</v>
      </c>
      <c r="J1699" t="s">
        <v>22</v>
      </c>
      <c r="K1699" t="s">
        <v>3636</v>
      </c>
      <c r="L1699" t="s">
        <v>2002</v>
      </c>
      <c r="M1699" t="s">
        <v>97</v>
      </c>
      <c r="N1699">
        <v>2</v>
      </c>
      <c r="O1699" t="s">
        <v>29</v>
      </c>
      <c r="P1699" t="s">
        <v>21</v>
      </c>
      <c r="Q1699" t="s">
        <v>30</v>
      </c>
      <c r="R1699" t="str">
        <f>VLOOKUP($O1699,'Mapa Oficinas'!$A$7:$C$46,2,FALSE)</f>
        <v>CABA</v>
      </c>
      <c r="S1699" t="str">
        <f>VLOOKUP($O1699,'Mapa Oficinas'!$A$7:$C$46,3,FALSE)</f>
        <v>Núñez</v>
      </c>
    </row>
    <row r="1700" spans="1:19" x14ac:dyDescent="0.2">
      <c r="A1700" s="1">
        <v>45951</v>
      </c>
      <c r="B1700" t="s">
        <v>3628</v>
      </c>
      <c r="D1700" t="s">
        <v>3629</v>
      </c>
      <c r="E1700" t="s">
        <v>16</v>
      </c>
      <c r="F1700" t="s">
        <v>17</v>
      </c>
      <c r="G1700" s="14">
        <v>220000</v>
      </c>
      <c r="H1700" s="14">
        <v>205000</v>
      </c>
      <c r="I1700" t="s">
        <v>22</v>
      </c>
      <c r="J1700" t="s">
        <v>22</v>
      </c>
      <c r="K1700" t="s">
        <v>3630</v>
      </c>
      <c r="L1700" t="s">
        <v>933</v>
      </c>
      <c r="M1700" t="s">
        <v>19</v>
      </c>
      <c r="N1700">
        <v>2</v>
      </c>
      <c r="O1700" t="s">
        <v>35</v>
      </c>
      <c r="P1700" t="s">
        <v>21</v>
      </c>
      <c r="Q1700" t="s">
        <v>30</v>
      </c>
      <c r="R1700" t="str">
        <f>VLOOKUP($O1700,'Mapa Oficinas'!$A$7:$C$46,2,FALSE)</f>
        <v>Zona Norte (GBA)</v>
      </c>
      <c r="S1700" t="str">
        <f>VLOOKUP($O1700,'Mapa Oficinas'!$A$7:$C$46,3,FALSE)</f>
        <v>Vicente López</v>
      </c>
    </row>
    <row r="1701" spans="1:19" x14ac:dyDescent="0.2">
      <c r="A1701" s="1">
        <v>45951</v>
      </c>
      <c r="D1701" t="s">
        <v>3637</v>
      </c>
      <c r="E1701" t="s">
        <v>16</v>
      </c>
      <c r="F1701" t="s">
        <v>17</v>
      </c>
      <c r="G1701" s="14">
        <v>0</v>
      </c>
      <c r="H1701" s="14">
        <v>228000</v>
      </c>
      <c r="I1701" t="s">
        <v>22</v>
      </c>
      <c r="J1701" t="s">
        <v>22</v>
      </c>
      <c r="K1701" t="s">
        <v>3638</v>
      </c>
      <c r="L1701" t="s">
        <v>141</v>
      </c>
      <c r="M1701" t="s">
        <v>19</v>
      </c>
      <c r="N1701">
        <v>1</v>
      </c>
      <c r="O1701" t="s">
        <v>103</v>
      </c>
      <c r="P1701" t="s">
        <v>146</v>
      </c>
      <c r="Q1701" t="s">
        <v>30</v>
      </c>
      <c r="R1701" t="str">
        <f>VLOOKUP($O1701,'Mapa Oficinas'!$A$7:$C$46,2,FALSE)</f>
        <v>CABA</v>
      </c>
      <c r="S1701" t="str">
        <f>VLOOKUP($O1701,'Mapa Oficinas'!$A$7:$C$46,3,FALSE)</f>
        <v>Barrio Parque</v>
      </c>
    </row>
    <row r="1702" spans="1:19" x14ac:dyDescent="0.2">
      <c r="A1702" s="1">
        <v>45952</v>
      </c>
      <c r="B1702" t="s">
        <v>3594</v>
      </c>
      <c r="D1702" t="s">
        <v>3594</v>
      </c>
      <c r="E1702" t="s">
        <v>16</v>
      </c>
      <c r="F1702" t="s">
        <v>47</v>
      </c>
      <c r="G1702" s="14">
        <v>73000</v>
      </c>
      <c r="H1702" s="14">
        <v>36500</v>
      </c>
      <c r="I1702" t="s">
        <v>22</v>
      </c>
      <c r="J1702" t="s">
        <v>22</v>
      </c>
      <c r="K1702" t="s">
        <v>3594</v>
      </c>
      <c r="L1702" t="s">
        <v>523</v>
      </c>
      <c r="M1702" t="s">
        <v>19</v>
      </c>
      <c r="N1702">
        <v>2</v>
      </c>
      <c r="O1702" t="s">
        <v>50</v>
      </c>
      <c r="P1702" t="s">
        <v>21</v>
      </c>
      <c r="Q1702" t="s">
        <v>30</v>
      </c>
      <c r="R1702" t="str">
        <f>VLOOKUP($O1702,'Mapa Oficinas'!$A$7:$C$46,2,FALSE)</f>
        <v>CABA</v>
      </c>
      <c r="S1702" t="str">
        <f>VLOOKUP($O1702,'Mapa Oficinas'!$A$7:$C$46,3,FALSE)</f>
        <v>Villa Urquiza</v>
      </c>
    </row>
    <row r="1703" spans="1:19" x14ac:dyDescent="0.2">
      <c r="A1703" s="1">
        <v>45952</v>
      </c>
      <c r="B1703" t="s">
        <v>3580</v>
      </c>
      <c r="D1703" t="s">
        <v>3581</v>
      </c>
      <c r="E1703" t="s">
        <v>16</v>
      </c>
      <c r="F1703" t="s">
        <v>243</v>
      </c>
      <c r="G1703" s="14">
        <v>47000</v>
      </c>
      <c r="H1703" s="14">
        <v>43000</v>
      </c>
      <c r="I1703" t="s">
        <v>22</v>
      </c>
      <c r="J1703" t="s">
        <v>22</v>
      </c>
      <c r="K1703" t="s">
        <v>3582</v>
      </c>
      <c r="L1703" t="s">
        <v>593</v>
      </c>
      <c r="M1703" t="s">
        <v>19</v>
      </c>
      <c r="N1703">
        <v>2</v>
      </c>
      <c r="O1703" t="s">
        <v>65</v>
      </c>
      <c r="P1703" t="s">
        <v>21</v>
      </c>
      <c r="Q1703" t="s">
        <v>30</v>
      </c>
      <c r="R1703" t="str">
        <f>VLOOKUP($O1703,'Mapa Oficinas'!$A$7:$C$46,2,FALSE)</f>
        <v>Interior - Mendoza</v>
      </c>
      <c r="S1703" t="str">
        <f>VLOOKUP($O1703,'Mapa Oficinas'!$A$7:$C$46,3,FALSE)</f>
        <v>Capital Mendoza</v>
      </c>
    </row>
    <row r="1704" spans="1:19" x14ac:dyDescent="0.2">
      <c r="A1704" s="1">
        <v>45952</v>
      </c>
      <c r="B1704" t="s">
        <v>3598</v>
      </c>
      <c r="D1704" t="s">
        <v>3599</v>
      </c>
      <c r="E1704" t="s">
        <v>16</v>
      </c>
      <c r="F1704" t="s">
        <v>17</v>
      </c>
      <c r="G1704" s="14">
        <v>52000</v>
      </c>
      <c r="H1704" s="14">
        <v>50000</v>
      </c>
      <c r="I1704" t="s">
        <v>22</v>
      </c>
      <c r="J1704" t="s">
        <v>22</v>
      </c>
      <c r="K1704" t="s">
        <v>3600</v>
      </c>
      <c r="L1704" t="s">
        <v>2667</v>
      </c>
      <c r="M1704" t="s">
        <v>19</v>
      </c>
      <c r="N1704">
        <v>2</v>
      </c>
      <c r="O1704" t="s">
        <v>389</v>
      </c>
      <c r="P1704" t="s">
        <v>21</v>
      </c>
      <c r="Q1704" t="s">
        <v>30</v>
      </c>
      <c r="R1704" t="str">
        <f>VLOOKUP($O1704,'Mapa Oficinas'!$A$7:$C$46,2,FALSE)</f>
        <v>Zona Norte (GBA)</v>
      </c>
      <c r="S1704" t="str">
        <f>VLOOKUP($O1704,'Mapa Oficinas'!$A$7:$C$46,3,FALSE)</f>
        <v>Escobar</v>
      </c>
    </row>
    <row r="1705" spans="1:19" x14ac:dyDescent="0.2">
      <c r="A1705" s="1">
        <v>45952</v>
      </c>
      <c r="B1705" t="s">
        <v>3592</v>
      </c>
      <c r="D1705" t="s">
        <v>3593</v>
      </c>
      <c r="E1705" t="s">
        <v>16</v>
      </c>
      <c r="F1705" t="s">
        <v>17</v>
      </c>
      <c r="G1705" s="14">
        <v>52500</v>
      </c>
      <c r="H1705" s="14">
        <v>52500</v>
      </c>
      <c r="I1705" t="s">
        <v>22</v>
      </c>
      <c r="J1705" t="s">
        <v>22</v>
      </c>
      <c r="L1705" t="s">
        <v>79</v>
      </c>
      <c r="M1705" t="s">
        <v>19</v>
      </c>
      <c r="N1705">
        <v>2</v>
      </c>
      <c r="O1705" t="s">
        <v>359</v>
      </c>
      <c r="P1705" t="s">
        <v>21</v>
      </c>
      <c r="Q1705" t="s">
        <v>30</v>
      </c>
      <c r="R1705" t="str">
        <f>VLOOKUP($O1705,'Mapa Oficinas'!$A$7:$C$46,2,FALSE)</f>
        <v>CABA</v>
      </c>
      <c r="S1705" t="str">
        <f>VLOOKUP($O1705,'Mapa Oficinas'!$A$7:$C$46,3,FALSE)</f>
        <v>Palermo</v>
      </c>
    </row>
    <row r="1706" spans="1:19" x14ac:dyDescent="0.2">
      <c r="A1706" s="1">
        <v>45952</v>
      </c>
      <c r="B1706" t="s">
        <v>3607</v>
      </c>
      <c r="D1706" t="s">
        <v>3608</v>
      </c>
      <c r="E1706" t="s">
        <v>16</v>
      </c>
      <c r="F1706" t="s">
        <v>38</v>
      </c>
      <c r="G1706" s="14">
        <v>58000</v>
      </c>
      <c r="H1706" s="14">
        <v>55000</v>
      </c>
      <c r="I1706" t="s">
        <v>22</v>
      </c>
      <c r="J1706" t="s">
        <v>22</v>
      </c>
      <c r="K1706" t="s">
        <v>3609</v>
      </c>
      <c r="L1706" t="s">
        <v>3123</v>
      </c>
      <c r="M1706" t="s">
        <v>97</v>
      </c>
      <c r="N1706">
        <v>2</v>
      </c>
      <c r="O1706" t="s">
        <v>98</v>
      </c>
      <c r="P1706" t="s">
        <v>256</v>
      </c>
      <c r="Q1706" t="s">
        <v>30</v>
      </c>
      <c r="R1706" t="str">
        <f>VLOOKUP($O1706,'Mapa Oficinas'!$A$7:$C$46,2,FALSE)</f>
        <v>Interior - Neuquén</v>
      </c>
      <c r="S1706" t="str">
        <f>VLOOKUP($O1706,'Mapa Oficinas'!$A$7:$C$46,3,FALSE)</f>
        <v>Villa La Angostura</v>
      </c>
    </row>
    <row r="1707" spans="1:19" x14ac:dyDescent="0.2">
      <c r="A1707" s="1">
        <v>45952</v>
      </c>
      <c r="B1707">
        <v>10573</v>
      </c>
      <c r="D1707" t="s">
        <v>3610</v>
      </c>
      <c r="E1707" t="s">
        <v>16</v>
      </c>
      <c r="F1707" t="s">
        <v>17</v>
      </c>
      <c r="G1707" s="14">
        <v>84000</v>
      </c>
      <c r="H1707" s="14">
        <v>84000</v>
      </c>
      <c r="I1707" t="s">
        <v>22</v>
      </c>
      <c r="J1707" t="s">
        <v>22</v>
      </c>
      <c r="K1707" t="s">
        <v>3610</v>
      </c>
      <c r="L1707" t="s">
        <v>271</v>
      </c>
      <c r="M1707" t="s">
        <v>19</v>
      </c>
      <c r="N1707">
        <v>2</v>
      </c>
      <c r="O1707" t="s">
        <v>103</v>
      </c>
      <c r="P1707" t="s">
        <v>21</v>
      </c>
      <c r="Q1707" t="s">
        <v>30</v>
      </c>
      <c r="R1707" t="str">
        <f>VLOOKUP($O1707,'Mapa Oficinas'!$A$7:$C$46,2,FALSE)</f>
        <v>CABA</v>
      </c>
      <c r="S1707" t="str">
        <f>VLOOKUP($O1707,'Mapa Oficinas'!$A$7:$C$46,3,FALSE)</f>
        <v>Barrio Parque</v>
      </c>
    </row>
    <row r="1708" spans="1:19" x14ac:dyDescent="0.2">
      <c r="A1708" s="1">
        <v>45952</v>
      </c>
      <c r="B1708" t="s">
        <v>3597</v>
      </c>
      <c r="D1708" t="s">
        <v>3597</v>
      </c>
      <c r="E1708" t="s">
        <v>16</v>
      </c>
      <c r="F1708" t="s">
        <v>17</v>
      </c>
      <c r="G1708" s="14">
        <v>85000</v>
      </c>
      <c r="H1708" s="14">
        <v>84000</v>
      </c>
      <c r="I1708" t="s">
        <v>22</v>
      </c>
      <c r="J1708" t="s">
        <v>22</v>
      </c>
      <c r="K1708" t="s">
        <v>3597</v>
      </c>
      <c r="L1708" t="s">
        <v>102</v>
      </c>
      <c r="M1708" t="s">
        <v>19</v>
      </c>
      <c r="N1708">
        <v>1</v>
      </c>
      <c r="O1708" t="s">
        <v>389</v>
      </c>
      <c r="P1708" t="s">
        <v>131</v>
      </c>
      <c r="Q1708" t="s">
        <v>30</v>
      </c>
      <c r="R1708" t="str">
        <f>VLOOKUP($O1708,'Mapa Oficinas'!$A$7:$C$46,2,FALSE)</f>
        <v>Zona Norte (GBA)</v>
      </c>
      <c r="S1708" t="str">
        <f>VLOOKUP($O1708,'Mapa Oficinas'!$A$7:$C$46,3,FALSE)</f>
        <v>Escobar</v>
      </c>
    </row>
    <row r="1709" spans="1:19" x14ac:dyDescent="0.2">
      <c r="A1709" s="1">
        <v>45952</v>
      </c>
      <c r="B1709" t="s">
        <v>3577</v>
      </c>
      <c r="D1709" t="s">
        <v>3578</v>
      </c>
      <c r="E1709" t="s">
        <v>16</v>
      </c>
      <c r="F1709" t="s">
        <v>17</v>
      </c>
      <c r="G1709" s="14">
        <v>90000</v>
      </c>
      <c r="H1709" s="14">
        <v>90000</v>
      </c>
      <c r="I1709" t="s">
        <v>22</v>
      </c>
      <c r="J1709" t="s">
        <v>22</v>
      </c>
      <c r="K1709" t="s">
        <v>3579</v>
      </c>
      <c r="L1709" t="s">
        <v>2712</v>
      </c>
      <c r="M1709" t="s">
        <v>19</v>
      </c>
      <c r="N1709">
        <v>2</v>
      </c>
      <c r="O1709" t="s">
        <v>65</v>
      </c>
      <c r="P1709" t="s">
        <v>21</v>
      </c>
      <c r="Q1709" t="s">
        <v>30</v>
      </c>
      <c r="R1709" t="str">
        <f>VLOOKUP($O1709,'Mapa Oficinas'!$A$7:$C$46,2,FALSE)</f>
        <v>Interior - Mendoza</v>
      </c>
      <c r="S1709" t="str">
        <f>VLOOKUP($O1709,'Mapa Oficinas'!$A$7:$C$46,3,FALSE)</f>
        <v>Capital Mendoza</v>
      </c>
    </row>
    <row r="1710" spans="1:19" x14ac:dyDescent="0.2">
      <c r="A1710" s="1">
        <v>45952</v>
      </c>
      <c r="D1710" t="s">
        <v>3617</v>
      </c>
      <c r="E1710" t="s">
        <v>16</v>
      </c>
      <c r="F1710" t="s">
        <v>17</v>
      </c>
      <c r="G1710" s="14">
        <v>92000</v>
      </c>
      <c r="H1710" s="14">
        <v>92000</v>
      </c>
      <c r="I1710" t="s">
        <v>22</v>
      </c>
      <c r="J1710" t="s">
        <v>22</v>
      </c>
      <c r="M1710" t="s">
        <v>19</v>
      </c>
      <c r="N1710">
        <v>1</v>
      </c>
      <c r="O1710" t="s">
        <v>171</v>
      </c>
      <c r="P1710" t="s">
        <v>66</v>
      </c>
      <c r="Q1710" t="s">
        <v>30</v>
      </c>
      <c r="R1710" t="str">
        <f>VLOOKUP($O1710,'Mapa Oficinas'!$A$7:$C$46,2,FALSE)</f>
        <v>Zona Sur (GBA)</v>
      </c>
      <c r="S1710" t="str">
        <f>VLOOKUP($O1710,'Mapa Oficinas'!$A$7:$C$46,3,FALSE)</f>
        <v>La Plata</v>
      </c>
    </row>
    <row r="1711" spans="1:19" x14ac:dyDescent="0.2">
      <c r="A1711" s="1">
        <v>45952</v>
      </c>
      <c r="B1711" t="s">
        <v>3595</v>
      </c>
      <c r="D1711" t="s">
        <v>3596</v>
      </c>
      <c r="E1711" t="s">
        <v>16</v>
      </c>
      <c r="F1711" t="s">
        <v>82</v>
      </c>
      <c r="G1711" s="14">
        <v>94000</v>
      </c>
      <c r="H1711" s="14">
        <v>94050</v>
      </c>
      <c r="I1711" t="s">
        <v>22</v>
      </c>
      <c r="J1711" t="s">
        <v>22</v>
      </c>
      <c r="M1711" t="s">
        <v>19</v>
      </c>
      <c r="N1711">
        <v>1</v>
      </c>
      <c r="O1711" t="s">
        <v>87</v>
      </c>
      <c r="P1711" t="s">
        <v>146</v>
      </c>
      <c r="Q1711" t="s">
        <v>30</v>
      </c>
      <c r="R1711" t="str">
        <f>VLOOKUP($O1711,'Mapa Oficinas'!$A$7:$C$46,2,FALSE)</f>
        <v>Zona Norte (GBA)</v>
      </c>
      <c r="S1711" t="str">
        <f>VLOOKUP($O1711,'Mapa Oficinas'!$A$7:$C$46,3,FALSE)</f>
        <v>Tigre</v>
      </c>
    </row>
    <row r="1712" spans="1:19" x14ac:dyDescent="0.2">
      <c r="A1712" s="1">
        <v>45952</v>
      </c>
      <c r="B1712" t="s">
        <v>3604</v>
      </c>
      <c r="D1712" t="s">
        <v>3605</v>
      </c>
      <c r="E1712" t="s">
        <v>16</v>
      </c>
      <c r="F1712" t="s">
        <v>17</v>
      </c>
      <c r="G1712" s="14">
        <v>100000</v>
      </c>
      <c r="H1712" s="14">
        <v>97500</v>
      </c>
      <c r="I1712" t="s">
        <v>22</v>
      </c>
      <c r="J1712" t="s">
        <v>22</v>
      </c>
      <c r="K1712" t="s">
        <v>3606</v>
      </c>
      <c r="L1712" t="s">
        <v>205</v>
      </c>
      <c r="M1712" t="s">
        <v>19</v>
      </c>
      <c r="N1712">
        <v>2</v>
      </c>
      <c r="O1712" t="s">
        <v>103</v>
      </c>
      <c r="P1712" t="s">
        <v>21</v>
      </c>
      <c r="Q1712" t="s">
        <v>30</v>
      </c>
      <c r="R1712" t="str">
        <f>VLOOKUP($O1712,'Mapa Oficinas'!$A$7:$C$46,2,FALSE)</f>
        <v>CABA</v>
      </c>
      <c r="S1712" t="str">
        <f>VLOOKUP($O1712,'Mapa Oficinas'!$A$7:$C$46,3,FALSE)</f>
        <v>Barrio Parque</v>
      </c>
    </row>
    <row r="1713" spans="1:19" x14ac:dyDescent="0.2">
      <c r="A1713" s="1">
        <v>45952</v>
      </c>
      <c r="B1713">
        <v>31</v>
      </c>
      <c r="D1713" t="s">
        <v>3575</v>
      </c>
      <c r="E1713" t="s">
        <v>16</v>
      </c>
      <c r="F1713" t="s">
        <v>17</v>
      </c>
      <c r="G1713" s="14">
        <v>115000</v>
      </c>
      <c r="H1713" s="14">
        <v>122500</v>
      </c>
      <c r="I1713" t="s">
        <v>22</v>
      </c>
      <c r="J1713" t="s">
        <v>22</v>
      </c>
      <c r="K1713" t="s">
        <v>3576</v>
      </c>
      <c r="L1713" t="s">
        <v>1004</v>
      </c>
      <c r="M1713" t="s">
        <v>19</v>
      </c>
      <c r="N1713">
        <v>1</v>
      </c>
      <c r="O1713" t="s">
        <v>116</v>
      </c>
      <c r="P1713" t="s">
        <v>146</v>
      </c>
      <c r="Q1713" t="s">
        <v>30</v>
      </c>
      <c r="R1713" t="str">
        <f>VLOOKUP($O1713,'Mapa Oficinas'!$A$7:$C$46,2,FALSE)</f>
        <v>CABA</v>
      </c>
      <c r="S1713" t="str">
        <f>VLOOKUP($O1713,'Mapa Oficinas'!$A$7:$C$46,3,FALSE)</f>
        <v>Puerto Madero</v>
      </c>
    </row>
    <row r="1714" spans="1:19" x14ac:dyDescent="0.2">
      <c r="A1714" s="1">
        <v>45952</v>
      </c>
      <c r="B1714" t="s">
        <v>3589</v>
      </c>
      <c r="D1714" t="s">
        <v>3590</v>
      </c>
      <c r="E1714" t="s">
        <v>16</v>
      </c>
      <c r="F1714" t="s">
        <v>82</v>
      </c>
      <c r="G1714" s="14">
        <v>130000</v>
      </c>
      <c r="H1714" s="14">
        <v>130000</v>
      </c>
      <c r="I1714" t="s">
        <v>22</v>
      </c>
      <c r="J1714" t="s">
        <v>22</v>
      </c>
      <c r="K1714" t="s">
        <v>3590</v>
      </c>
      <c r="L1714" t="s">
        <v>3591</v>
      </c>
      <c r="M1714" t="s">
        <v>28</v>
      </c>
      <c r="N1714">
        <v>2</v>
      </c>
      <c r="O1714" t="s">
        <v>65</v>
      </c>
      <c r="P1714" t="s">
        <v>41</v>
      </c>
      <c r="Q1714" t="s">
        <v>30</v>
      </c>
      <c r="R1714" t="str">
        <f>VLOOKUP($O1714,'Mapa Oficinas'!$A$7:$C$46,2,FALSE)</f>
        <v>Interior - Mendoza</v>
      </c>
      <c r="S1714" t="str">
        <f>VLOOKUP($O1714,'Mapa Oficinas'!$A$7:$C$46,3,FALSE)</f>
        <v>Capital Mendoza</v>
      </c>
    </row>
    <row r="1715" spans="1:19" x14ac:dyDescent="0.2">
      <c r="A1715" s="1">
        <v>45952</v>
      </c>
      <c r="B1715" t="s">
        <v>1648</v>
      </c>
      <c r="D1715" t="s">
        <v>1649</v>
      </c>
      <c r="E1715" t="s">
        <v>16</v>
      </c>
      <c r="F1715" t="s">
        <v>17</v>
      </c>
      <c r="G1715" s="14">
        <v>650</v>
      </c>
      <c r="H1715" s="14">
        <v>135000</v>
      </c>
      <c r="I1715" t="s">
        <v>22</v>
      </c>
      <c r="J1715" t="s">
        <v>22</v>
      </c>
      <c r="K1715" t="s">
        <v>1650</v>
      </c>
      <c r="L1715" t="s">
        <v>39</v>
      </c>
      <c r="M1715" t="s">
        <v>19</v>
      </c>
      <c r="N1715">
        <v>2</v>
      </c>
      <c r="O1715" t="s">
        <v>40</v>
      </c>
      <c r="P1715" t="s">
        <v>44</v>
      </c>
      <c r="Q1715" t="s">
        <v>30</v>
      </c>
      <c r="R1715" t="str">
        <f>VLOOKUP($O1715,'Mapa Oficinas'!$A$7:$C$46,2,FALSE)</f>
        <v>Zona Norte (GBA)</v>
      </c>
      <c r="S1715" t="str">
        <f>VLOOKUP($O1715,'Mapa Oficinas'!$A$7:$C$46,3,FALSE)</f>
        <v>Pilar</v>
      </c>
    </row>
    <row r="1716" spans="1:19" x14ac:dyDescent="0.2">
      <c r="A1716" s="1">
        <v>45952</v>
      </c>
      <c r="B1716" t="s">
        <v>3586</v>
      </c>
      <c r="D1716" t="s">
        <v>3587</v>
      </c>
      <c r="E1716" t="s">
        <v>16</v>
      </c>
      <c r="F1716" t="s">
        <v>17</v>
      </c>
      <c r="G1716" s="14">
        <v>155000</v>
      </c>
      <c r="H1716" s="14">
        <v>148000</v>
      </c>
      <c r="I1716" t="s">
        <v>22</v>
      </c>
      <c r="J1716" t="s">
        <v>22</v>
      </c>
      <c r="K1716" t="s">
        <v>3588</v>
      </c>
      <c r="L1716" t="s">
        <v>593</v>
      </c>
      <c r="M1716" t="s">
        <v>19</v>
      </c>
      <c r="N1716">
        <v>2</v>
      </c>
      <c r="O1716" t="s">
        <v>65</v>
      </c>
      <c r="P1716" t="s">
        <v>41</v>
      </c>
      <c r="Q1716" t="s">
        <v>30</v>
      </c>
      <c r="R1716" t="str">
        <f>VLOOKUP($O1716,'Mapa Oficinas'!$A$7:$C$46,2,FALSE)</f>
        <v>Interior - Mendoza</v>
      </c>
      <c r="S1716" t="str">
        <f>VLOOKUP($O1716,'Mapa Oficinas'!$A$7:$C$46,3,FALSE)</f>
        <v>Capital Mendoza</v>
      </c>
    </row>
    <row r="1717" spans="1:19" x14ac:dyDescent="0.2">
      <c r="A1717" s="1">
        <v>45952</v>
      </c>
      <c r="B1717" t="s">
        <v>3618</v>
      </c>
      <c r="D1717" t="s">
        <v>3619</v>
      </c>
      <c r="E1717" t="s">
        <v>16</v>
      </c>
      <c r="F1717" t="s">
        <v>17</v>
      </c>
      <c r="G1717" s="14">
        <v>160000</v>
      </c>
      <c r="H1717" s="14">
        <v>160000</v>
      </c>
      <c r="I1717" t="s">
        <v>22</v>
      </c>
      <c r="J1717" t="s">
        <v>22</v>
      </c>
      <c r="K1717" t="s">
        <v>3619</v>
      </c>
      <c r="L1717" t="s">
        <v>1811</v>
      </c>
      <c r="M1717" t="s">
        <v>28</v>
      </c>
      <c r="N1717">
        <v>2</v>
      </c>
      <c r="O1717" t="s">
        <v>171</v>
      </c>
      <c r="P1717" t="s">
        <v>21</v>
      </c>
      <c r="Q1717" t="s">
        <v>30</v>
      </c>
      <c r="R1717" t="str">
        <f>VLOOKUP($O1717,'Mapa Oficinas'!$A$7:$C$46,2,FALSE)</f>
        <v>Zona Sur (GBA)</v>
      </c>
      <c r="S1717" t="str">
        <f>VLOOKUP($O1717,'Mapa Oficinas'!$A$7:$C$46,3,FALSE)</f>
        <v>La Plata</v>
      </c>
    </row>
    <row r="1718" spans="1:19" x14ac:dyDescent="0.2">
      <c r="A1718" s="1">
        <v>45952</v>
      </c>
      <c r="B1718" t="s">
        <v>3601</v>
      </c>
      <c r="D1718" t="s">
        <v>3602</v>
      </c>
      <c r="E1718" t="s">
        <v>16</v>
      </c>
      <c r="F1718" t="s">
        <v>17</v>
      </c>
      <c r="G1718" s="14">
        <v>199900</v>
      </c>
      <c r="H1718" s="14">
        <v>190000</v>
      </c>
      <c r="I1718" t="s">
        <v>22</v>
      </c>
      <c r="J1718" t="s">
        <v>22</v>
      </c>
      <c r="K1718" t="s">
        <v>3603</v>
      </c>
      <c r="L1718" t="s">
        <v>1077</v>
      </c>
      <c r="M1718" t="s">
        <v>19</v>
      </c>
      <c r="N1718">
        <v>2</v>
      </c>
      <c r="O1718" t="s">
        <v>103</v>
      </c>
      <c r="P1718" t="s">
        <v>276</v>
      </c>
      <c r="Q1718" t="s">
        <v>30</v>
      </c>
      <c r="R1718" t="str">
        <f>VLOOKUP($O1718,'Mapa Oficinas'!$A$7:$C$46,2,FALSE)</f>
        <v>CABA</v>
      </c>
      <c r="S1718" t="str">
        <f>VLOOKUP($O1718,'Mapa Oficinas'!$A$7:$C$46,3,FALSE)</f>
        <v>Barrio Parque</v>
      </c>
    </row>
    <row r="1719" spans="1:19" x14ac:dyDescent="0.2">
      <c r="A1719" s="1">
        <v>45952</v>
      </c>
      <c r="B1719" t="s">
        <v>3611</v>
      </c>
      <c r="D1719" t="s">
        <v>3612</v>
      </c>
      <c r="E1719" t="s">
        <v>16</v>
      </c>
      <c r="F1719" t="s">
        <v>17</v>
      </c>
      <c r="G1719" s="14">
        <v>209000</v>
      </c>
      <c r="H1719" s="14">
        <v>190000</v>
      </c>
      <c r="I1719" t="s">
        <v>22</v>
      </c>
      <c r="J1719" t="s">
        <v>22</v>
      </c>
      <c r="K1719" t="s">
        <v>3613</v>
      </c>
      <c r="L1719" t="s">
        <v>727</v>
      </c>
      <c r="M1719" t="s">
        <v>72</v>
      </c>
      <c r="N1719">
        <v>2</v>
      </c>
      <c r="O1719" t="s">
        <v>20</v>
      </c>
      <c r="P1719" t="s">
        <v>276</v>
      </c>
      <c r="Q1719" t="s">
        <v>30</v>
      </c>
      <c r="R1719" t="str">
        <f>VLOOKUP($O1719,'Mapa Oficinas'!$A$7:$C$46,2,FALSE)</f>
        <v>CABA</v>
      </c>
      <c r="S1719" t="str">
        <f>VLOOKUP($O1719,'Mapa Oficinas'!$A$7:$C$46,3,FALSE)</f>
        <v>Palermo</v>
      </c>
    </row>
    <row r="1720" spans="1:19" x14ac:dyDescent="0.2">
      <c r="A1720" s="1">
        <v>45953</v>
      </c>
      <c r="B1720" t="s">
        <v>3569</v>
      </c>
      <c r="D1720" t="s">
        <v>3570</v>
      </c>
      <c r="E1720" t="s">
        <v>16</v>
      </c>
      <c r="F1720" t="s">
        <v>17</v>
      </c>
      <c r="G1720" s="14">
        <v>44000</v>
      </c>
      <c r="H1720" s="14">
        <v>39000</v>
      </c>
      <c r="I1720" t="s">
        <v>22</v>
      </c>
      <c r="J1720" t="s">
        <v>22</v>
      </c>
      <c r="K1720" t="s">
        <v>1412</v>
      </c>
      <c r="L1720" t="s">
        <v>164</v>
      </c>
      <c r="M1720" t="s">
        <v>72</v>
      </c>
      <c r="N1720">
        <v>2</v>
      </c>
      <c r="O1720" t="s">
        <v>103</v>
      </c>
      <c r="P1720" t="s">
        <v>21</v>
      </c>
      <c r="Q1720" t="s">
        <v>30</v>
      </c>
      <c r="R1720" t="str">
        <f>VLOOKUP($O1720,'Mapa Oficinas'!$A$7:$C$46,2,FALSE)</f>
        <v>CABA</v>
      </c>
      <c r="S1720" t="str">
        <f>VLOOKUP($O1720,'Mapa Oficinas'!$A$7:$C$46,3,FALSE)</f>
        <v>Barrio Parque</v>
      </c>
    </row>
    <row r="1721" spans="1:19" x14ac:dyDescent="0.2">
      <c r="A1721" s="1">
        <v>45953</v>
      </c>
      <c r="D1721" t="s">
        <v>3567</v>
      </c>
      <c r="E1721" t="s">
        <v>16</v>
      </c>
      <c r="F1721" t="s">
        <v>17</v>
      </c>
      <c r="G1721" s="14">
        <v>95000</v>
      </c>
      <c r="H1721" s="14">
        <v>95000</v>
      </c>
      <c r="I1721" t="s">
        <v>22</v>
      </c>
      <c r="J1721" t="s">
        <v>22</v>
      </c>
      <c r="K1721" t="s">
        <v>3568</v>
      </c>
      <c r="L1721" t="s">
        <v>1695</v>
      </c>
      <c r="M1721" t="s">
        <v>19</v>
      </c>
      <c r="N1721">
        <v>1</v>
      </c>
      <c r="O1721" t="s">
        <v>201</v>
      </c>
      <c r="P1721" t="s">
        <v>146</v>
      </c>
      <c r="Q1721" t="s">
        <v>30</v>
      </c>
      <c r="R1721" t="str">
        <f>VLOOKUP($O1721,'Mapa Oficinas'!$A$7:$C$46,2,FALSE)</f>
        <v>CABA</v>
      </c>
      <c r="S1721" t="str">
        <f>VLOOKUP($O1721,'Mapa Oficinas'!$A$7:$C$46,3,FALSE)</f>
        <v>Recoleta</v>
      </c>
    </row>
    <row r="1722" spans="1:19" x14ac:dyDescent="0.2">
      <c r="A1722" s="1">
        <v>45953</v>
      </c>
      <c r="D1722" t="s">
        <v>3571</v>
      </c>
      <c r="E1722" t="s">
        <v>16</v>
      </c>
      <c r="F1722" t="s">
        <v>82</v>
      </c>
      <c r="G1722" s="14">
        <v>105000</v>
      </c>
      <c r="H1722" s="14">
        <v>105000</v>
      </c>
      <c r="I1722" t="s">
        <v>22</v>
      </c>
      <c r="J1722" t="s">
        <v>22</v>
      </c>
      <c r="K1722" t="s">
        <v>3572</v>
      </c>
      <c r="L1722" t="s">
        <v>1931</v>
      </c>
      <c r="M1722" t="s">
        <v>19</v>
      </c>
      <c r="N1722">
        <v>2</v>
      </c>
      <c r="O1722" t="s">
        <v>98</v>
      </c>
      <c r="P1722" t="s">
        <v>41</v>
      </c>
      <c r="Q1722" t="s">
        <v>30</v>
      </c>
      <c r="R1722" t="str">
        <f>VLOOKUP($O1722,'Mapa Oficinas'!$A$7:$C$46,2,FALSE)</f>
        <v>Interior - Neuquén</v>
      </c>
      <c r="S1722" t="str">
        <f>VLOOKUP($O1722,'Mapa Oficinas'!$A$7:$C$46,3,FALSE)</f>
        <v>Villa La Angostura</v>
      </c>
    </row>
    <row r="1723" spans="1:19" x14ac:dyDescent="0.2">
      <c r="A1723" s="1">
        <v>45953</v>
      </c>
      <c r="D1723" t="s">
        <v>3562</v>
      </c>
      <c r="E1723" t="s">
        <v>16</v>
      </c>
      <c r="F1723" t="s">
        <v>17</v>
      </c>
      <c r="G1723" s="14">
        <v>108000</v>
      </c>
      <c r="H1723" s="14">
        <v>108000</v>
      </c>
      <c r="I1723" t="s">
        <v>22</v>
      </c>
      <c r="J1723" t="s">
        <v>22</v>
      </c>
      <c r="K1723" t="s">
        <v>3563</v>
      </c>
      <c r="L1723" t="s">
        <v>191</v>
      </c>
      <c r="M1723" t="s">
        <v>19</v>
      </c>
      <c r="N1723">
        <v>1</v>
      </c>
      <c r="O1723" t="s">
        <v>201</v>
      </c>
      <c r="P1723" t="s">
        <v>146</v>
      </c>
      <c r="Q1723" t="s">
        <v>30</v>
      </c>
      <c r="R1723" t="str">
        <f>VLOOKUP($O1723,'Mapa Oficinas'!$A$7:$C$46,2,FALSE)</f>
        <v>CABA</v>
      </c>
      <c r="S1723" t="str">
        <f>VLOOKUP($O1723,'Mapa Oficinas'!$A$7:$C$46,3,FALSE)</f>
        <v>Recoleta</v>
      </c>
    </row>
    <row r="1724" spans="1:19" x14ac:dyDescent="0.2">
      <c r="A1724" s="1">
        <v>45953</v>
      </c>
      <c r="B1724" t="s">
        <v>3564</v>
      </c>
      <c r="D1724" t="s">
        <v>3565</v>
      </c>
      <c r="E1724" t="s">
        <v>16</v>
      </c>
      <c r="F1724" t="s">
        <v>17</v>
      </c>
      <c r="G1724" s="14">
        <v>190000</v>
      </c>
      <c r="H1724" s="14">
        <v>179000</v>
      </c>
      <c r="I1724" t="s">
        <v>22</v>
      </c>
      <c r="J1724" t="s">
        <v>22</v>
      </c>
      <c r="K1724" t="s">
        <v>3566</v>
      </c>
      <c r="L1724" t="s">
        <v>277</v>
      </c>
      <c r="M1724" t="s">
        <v>19</v>
      </c>
      <c r="N1724">
        <v>2</v>
      </c>
      <c r="O1724" t="s">
        <v>201</v>
      </c>
      <c r="P1724" t="s">
        <v>276</v>
      </c>
      <c r="Q1724" t="s">
        <v>30</v>
      </c>
      <c r="R1724" t="str">
        <f>VLOOKUP($O1724,'Mapa Oficinas'!$A$7:$C$46,2,FALSE)</f>
        <v>CABA</v>
      </c>
      <c r="S1724" t="str">
        <f>VLOOKUP($O1724,'Mapa Oficinas'!$A$7:$C$46,3,FALSE)</f>
        <v>Recoleta</v>
      </c>
    </row>
    <row r="1725" spans="1:19" x14ac:dyDescent="0.2">
      <c r="A1725" s="1">
        <v>45953</v>
      </c>
      <c r="D1725" t="s">
        <v>3557</v>
      </c>
      <c r="E1725" t="s">
        <v>16</v>
      </c>
      <c r="F1725" t="s">
        <v>17</v>
      </c>
      <c r="G1725" s="14">
        <v>190000</v>
      </c>
      <c r="H1725" s="14">
        <v>190000</v>
      </c>
      <c r="I1725" t="s">
        <v>22</v>
      </c>
      <c r="J1725" t="s">
        <v>22</v>
      </c>
      <c r="K1725" t="s">
        <v>3558</v>
      </c>
      <c r="L1725" t="s">
        <v>191</v>
      </c>
      <c r="M1725" t="s">
        <v>19</v>
      </c>
      <c r="N1725">
        <v>1</v>
      </c>
      <c r="O1725" t="s">
        <v>201</v>
      </c>
      <c r="P1725" t="s">
        <v>146</v>
      </c>
      <c r="Q1725" t="s">
        <v>30</v>
      </c>
      <c r="R1725" t="str">
        <f>VLOOKUP($O1725,'Mapa Oficinas'!$A$7:$C$46,2,FALSE)</f>
        <v>CABA</v>
      </c>
      <c r="S1725" t="str">
        <f>VLOOKUP($O1725,'Mapa Oficinas'!$A$7:$C$46,3,FALSE)</f>
        <v>Recoleta</v>
      </c>
    </row>
    <row r="1726" spans="1:19" x14ac:dyDescent="0.2">
      <c r="A1726" s="1">
        <v>45953</v>
      </c>
      <c r="D1726" t="s">
        <v>3573</v>
      </c>
      <c r="E1726" t="s">
        <v>16</v>
      </c>
      <c r="F1726" t="s">
        <v>184</v>
      </c>
      <c r="G1726" s="14">
        <v>235000</v>
      </c>
      <c r="H1726" s="14">
        <v>235000</v>
      </c>
      <c r="I1726" t="s">
        <v>22</v>
      </c>
      <c r="J1726" t="s">
        <v>22</v>
      </c>
      <c r="K1726" t="s">
        <v>3574</v>
      </c>
      <c r="L1726" t="s">
        <v>649</v>
      </c>
      <c r="M1726" t="s">
        <v>97</v>
      </c>
      <c r="N1726">
        <v>1</v>
      </c>
      <c r="O1726" t="s">
        <v>98</v>
      </c>
      <c r="P1726" t="s">
        <v>131</v>
      </c>
      <c r="Q1726" t="s">
        <v>30</v>
      </c>
      <c r="R1726" t="str">
        <f>VLOOKUP($O1726,'Mapa Oficinas'!$A$7:$C$46,2,FALSE)</f>
        <v>Interior - Neuquén</v>
      </c>
      <c r="S1726" t="str">
        <f>VLOOKUP($O1726,'Mapa Oficinas'!$A$7:$C$46,3,FALSE)</f>
        <v>Villa La Angostura</v>
      </c>
    </row>
    <row r="1727" spans="1:19" x14ac:dyDescent="0.2">
      <c r="A1727" s="1">
        <v>45954</v>
      </c>
      <c r="B1727" t="s">
        <v>3509</v>
      </c>
      <c r="D1727" t="s">
        <v>3509</v>
      </c>
      <c r="E1727" t="s">
        <v>16</v>
      </c>
      <c r="F1727" t="s">
        <v>47</v>
      </c>
      <c r="G1727" s="14">
        <v>38000</v>
      </c>
      <c r="H1727" s="14">
        <v>38000</v>
      </c>
      <c r="I1727" t="s">
        <v>22</v>
      </c>
      <c r="J1727" t="s">
        <v>22</v>
      </c>
      <c r="K1727" t="s">
        <v>3509</v>
      </c>
      <c r="L1727" t="s">
        <v>3510</v>
      </c>
      <c r="M1727" t="s">
        <v>19</v>
      </c>
      <c r="N1727">
        <v>2</v>
      </c>
      <c r="O1727" t="s">
        <v>50</v>
      </c>
      <c r="P1727" t="s">
        <v>21</v>
      </c>
      <c r="Q1727" t="s">
        <v>30</v>
      </c>
      <c r="R1727" t="str">
        <f>VLOOKUP($O1727,'Mapa Oficinas'!$A$7:$C$46,2,FALSE)</f>
        <v>CABA</v>
      </c>
      <c r="S1727" t="str">
        <f>VLOOKUP($O1727,'Mapa Oficinas'!$A$7:$C$46,3,FALSE)</f>
        <v>Villa Urquiza</v>
      </c>
    </row>
    <row r="1728" spans="1:19" x14ac:dyDescent="0.2">
      <c r="A1728" s="1">
        <v>45954</v>
      </c>
      <c r="B1728" t="s">
        <v>3532</v>
      </c>
      <c r="D1728" t="s">
        <v>3533</v>
      </c>
      <c r="E1728" t="s">
        <v>16</v>
      </c>
      <c r="F1728" t="s">
        <v>134</v>
      </c>
      <c r="G1728" s="14">
        <v>45000</v>
      </c>
      <c r="H1728" s="14">
        <v>40000</v>
      </c>
      <c r="I1728" t="s">
        <v>22</v>
      </c>
      <c r="J1728" t="s">
        <v>22</v>
      </c>
      <c r="K1728" t="s">
        <v>3534</v>
      </c>
      <c r="L1728" t="s">
        <v>313</v>
      </c>
      <c r="M1728" t="s">
        <v>212</v>
      </c>
      <c r="N1728">
        <v>2</v>
      </c>
      <c r="O1728" t="s">
        <v>213</v>
      </c>
      <c r="P1728" t="s">
        <v>21</v>
      </c>
      <c r="Q1728" t="s">
        <v>30</v>
      </c>
      <c r="R1728" t="str">
        <f>VLOOKUP($O1728,'Mapa Oficinas'!$A$7:$C$46,2,FALSE)</f>
        <v>Interior - Mendoza</v>
      </c>
      <c r="S1728" t="str">
        <f>VLOOKUP($O1728,'Mapa Oficinas'!$A$7:$C$46,3,FALSE)</f>
        <v>San Rafael</v>
      </c>
    </row>
    <row r="1729" spans="1:19" x14ac:dyDescent="0.2">
      <c r="A1729" s="1">
        <v>45954</v>
      </c>
      <c r="B1729" t="s">
        <v>3535</v>
      </c>
      <c r="D1729" t="s">
        <v>3536</v>
      </c>
      <c r="E1729" t="s">
        <v>16</v>
      </c>
      <c r="F1729" t="s">
        <v>17</v>
      </c>
      <c r="G1729" s="14">
        <v>43000</v>
      </c>
      <c r="H1729" s="14">
        <v>42000</v>
      </c>
      <c r="I1729" t="s">
        <v>22</v>
      </c>
      <c r="J1729" t="s">
        <v>22</v>
      </c>
      <c r="K1729" t="s">
        <v>3537</v>
      </c>
      <c r="L1729" t="s">
        <v>141</v>
      </c>
      <c r="M1729" t="s">
        <v>19</v>
      </c>
      <c r="N1729">
        <v>2</v>
      </c>
      <c r="O1729" t="s">
        <v>206</v>
      </c>
      <c r="P1729" t="s">
        <v>276</v>
      </c>
      <c r="Q1729" t="s">
        <v>30</v>
      </c>
      <c r="R1729" t="str">
        <f>VLOOKUP($O1729,'Mapa Oficinas'!$A$7:$C$46,2,FALSE)</f>
        <v>CABA</v>
      </c>
      <c r="S1729" t="str">
        <f>VLOOKUP($O1729,'Mapa Oficinas'!$A$7:$C$46,3,FALSE)</f>
        <v>Belgrano</v>
      </c>
    </row>
    <row r="1730" spans="1:19" x14ac:dyDescent="0.2">
      <c r="A1730" s="1">
        <v>45954</v>
      </c>
      <c r="B1730" t="s">
        <v>3538</v>
      </c>
      <c r="D1730" t="s">
        <v>3539</v>
      </c>
      <c r="E1730" t="s">
        <v>16</v>
      </c>
      <c r="F1730" t="s">
        <v>17</v>
      </c>
      <c r="G1730" s="14">
        <v>66000</v>
      </c>
      <c r="H1730" s="14">
        <v>60000</v>
      </c>
      <c r="I1730" t="s">
        <v>22</v>
      </c>
      <c r="J1730" t="s">
        <v>22</v>
      </c>
      <c r="K1730" t="s">
        <v>3540</v>
      </c>
      <c r="L1730" t="s">
        <v>1719</v>
      </c>
      <c r="M1730" t="s">
        <v>19</v>
      </c>
      <c r="N1730">
        <v>2</v>
      </c>
      <c r="O1730" t="s">
        <v>103</v>
      </c>
      <c r="P1730" t="s">
        <v>21</v>
      </c>
      <c r="Q1730" t="s">
        <v>30</v>
      </c>
      <c r="R1730" t="str">
        <f>VLOOKUP($O1730,'Mapa Oficinas'!$A$7:$C$46,2,FALSE)</f>
        <v>CABA</v>
      </c>
      <c r="S1730" t="str">
        <f>VLOOKUP($O1730,'Mapa Oficinas'!$A$7:$C$46,3,FALSE)</f>
        <v>Barrio Parque</v>
      </c>
    </row>
    <row r="1731" spans="1:19" x14ac:dyDescent="0.2">
      <c r="A1731" s="1">
        <v>45954</v>
      </c>
      <c r="B1731" t="s">
        <v>3553</v>
      </c>
      <c r="D1731" t="s">
        <v>3554</v>
      </c>
      <c r="E1731" t="s">
        <v>16</v>
      </c>
      <c r="F1731" t="s">
        <v>17</v>
      </c>
      <c r="G1731" s="14">
        <v>65000</v>
      </c>
      <c r="H1731" s="14">
        <v>64000</v>
      </c>
      <c r="I1731" t="s">
        <v>22</v>
      </c>
      <c r="J1731" t="s">
        <v>22</v>
      </c>
      <c r="K1731" t="s">
        <v>3555</v>
      </c>
      <c r="L1731" t="s">
        <v>170</v>
      </c>
      <c r="M1731" t="s">
        <v>19</v>
      </c>
      <c r="N1731">
        <v>2</v>
      </c>
      <c r="O1731" t="s">
        <v>171</v>
      </c>
      <c r="P1731" t="s">
        <v>21</v>
      </c>
      <c r="Q1731" t="s">
        <v>30</v>
      </c>
      <c r="R1731" t="str">
        <f>VLOOKUP($O1731,'Mapa Oficinas'!$A$7:$C$46,2,FALSE)</f>
        <v>Zona Sur (GBA)</v>
      </c>
      <c r="S1731" t="str">
        <f>VLOOKUP($O1731,'Mapa Oficinas'!$A$7:$C$46,3,FALSE)</f>
        <v>La Plata</v>
      </c>
    </row>
    <row r="1732" spans="1:19" x14ac:dyDescent="0.2">
      <c r="A1732" s="1">
        <v>45954</v>
      </c>
      <c r="B1732" t="s">
        <v>3527</v>
      </c>
      <c r="D1732" t="s">
        <v>3528</v>
      </c>
      <c r="E1732" t="s">
        <v>16</v>
      </c>
      <c r="F1732" t="s">
        <v>17</v>
      </c>
      <c r="G1732" s="14">
        <v>79000</v>
      </c>
      <c r="H1732" s="14">
        <v>78000</v>
      </c>
      <c r="I1732" t="s">
        <v>22</v>
      </c>
      <c r="J1732" t="s">
        <v>22</v>
      </c>
      <c r="K1732" t="s">
        <v>3529</v>
      </c>
      <c r="L1732" t="s">
        <v>191</v>
      </c>
      <c r="M1732" t="s">
        <v>19</v>
      </c>
      <c r="N1732">
        <v>2</v>
      </c>
      <c r="O1732" t="s">
        <v>201</v>
      </c>
      <c r="P1732" t="s">
        <v>276</v>
      </c>
      <c r="Q1732" t="s">
        <v>30</v>
      </c>
      <c r="R1732" t="str">
        <f>VLOOKUP($O1732,'Mapa Oficinas'!$A$7:$C$46,2,FALSE)</f>
        <v>CABA</v>
      </c>
      <c r="S1732" t="str">
        <f>VLOOKUP($O1732,'Mapa Oficinas'!$A$7:$C$46,3,FALSE)</f>
        <v>Recoleta</v>
      </c>
    </row>
    <row r="1733" spans="1:19" x14ac:dyDescent="0.2">
      <c r="A1733" s="1">
        <v>45954</v>
      </c>
      <c r="B1733">
        <v>10572</v>
      </c>
      <c r="D1733" t="s">
        <v>3546</v>
      </c>
      <c r="E1733" t="s">
        <v>16</v>
      </c>
      <c r="F1733" t="s">
        <v>17</v>
      </c>
      <c r="G1733" s="14">
        <v>85000</v>
      </c>
      <c r="H1733" s="14">
        <v>85000</v>
      </c>
      <c r="I1733" t="s">
        <v>22</v>
      </c>
      <c r="J1733" t="s">
        <v>22</v>
      </c>
      <c r="K1733" t="s">
        <v>3546</v>
      </c>
      <c r="L1733" t="s">
        <v>277</v>
      </c>
      <c r="M1733" t="s">
        <v>19</v>
      </c>
      <c r="N1733">
        <v>1</v>
      </c>
      <c r="O1733" t="s">
        <v>103</v>
      </c>
      <c r="P1733" t="s">
        <v>146</v>
      </c>
      <c r="Q1733" t="s">
        <v>30</v>
      </c>
      <c r="R1733" t="str">
        <f>VLOOKUP($O1733,'Mapa Oficinas'!$A$7:$C$46,2,FALSE)</f>
        <v>CABA</v>
      </c>
      <c r="S1733" t="str">
        <f>VLOOKUP($O1733,'Mapa Oficinas'!$A$7:$C$46,3,FALSE)</f>
        <v>Barrio Parque</v>
      </c>
    </row>
    <row r="1734" spans="1:19" x14ac:dyDescent="0.2">
      <c r="A1734" s="1">
        <v>45954</v>
      </c>
      <c r="B1734" t="s">
        <v>3514</v>
      </c>
      <c r="D1734" t="s">
        <v>3515</v>
      </c>
      <c r="E1734" t="s">
        <v>16</v>
      </c>
      <c r="F1734" t="s">
        <v>17</v>
      </c>
      <c r="G1734" s="14">
        <v>105000</v>
      </c>
      <c r="H1734" s="14">
        <v>103000</v>
      </c>
      <c r="I1734" t="s">
        <v>22</v>
      </c>
      <c r="J1734" t="s">
        <v>22</v>
      </c>
      <c r="K1734" t="s">
        <v>3516</v>
      </c>
      <c r="L1734" t="s">
        <v>1077</v>
      </c>
      <c r="M1734" t="s">
        <v>19</v>
      </c>
      <c r="N1734">
        <v>2</v>
      </c>
      <c r="O1734" t="s">
        <v>73</v>
      </c>
      <c r="P1734" t="s">
        <v>21</v>
      </c>
      <c r="Q1734" t="s">
        <v>30</v>
      </c>
      <c r="R1734" t="str">
        <f>VLOOKUP($O1734,'Mapa Oficinas'!$A$7:$C$46,2,FALSE)</f>
        <v>CABA</v>
      </c>
      <c r="S1734" t="str">
        <f>VLOOKUP($O1734,'Mapa Oficinas'!$A$7:$C$46,3,FALSE)</f>
        <v>Recoleta</v>
      </c>
    </row>
    <row r="1735" spans="1:19" x14ac:dyDescent="0.2">
      <c r="A1735" s="1">
        <v>45954</v>
      </c>
      <c r="B1735" t="s">
        <v>3530</v>
      </c>
      <c r="D1735" t="s">
        <v>1158</v>
      </c>
      <c r="E1735" t="s">
        <v>16</v>
      </c>
      <c r="F1735" t="s">
        <v>17</v>
      </c>
      <c r="G1735" s="14">
        <v>119000</v>
      </c>
      <c r="H1735" s="14">
        <v>108000</v>
      </c>
      <c r="I1735" t="s">
        <v>22</v>
      </c>
      <c r="J1735" t="s">
        <v>22</v>
      </c>
      <c r="K1735" t="s">
        <v>3531</v>
      </c>
      <c r="L1735" t="s">
        <v>191</v>
      </c>
      <c r="M1735" t="s">
        <v>19</v>
      </c>
      <c r="N1735">
        <v>2</v>
      </c>
      <c r="O1735" t="s">
        <v>201</v>
      </c>
      <c r="P1735" t="s">
        <v>41</v>
      </c>
      <c r="Q1735" t="s">
        <v>30</v>
      </c>
      <c r="R1735" t="str">
        <f>VLOOKUP($O1735,'Mapa Oficinas'!$A$7:$C$46,2,FALSE)</f>
        <v>CABA</v>
      </c>
      <c r="S1735" t="str">
        <f>VLOOKUP($O1735,'Mapa Oficinas'!$A$7:$C$46,3,FALSE)</f>
        <v>Recoleta</v>
      </c>
    </row>
    <row r="1736" spans="1:19" x14ac:dyDescent="0.2">
      <c r="A1736" s="1">
        <v>45954</v>
      </c>
      <c r="D1736" t="s">
        <v>3517</v>
      </c>
      <c r="E1736" t="s">
        <v>16</v>
      </c>
      <c r="F1736" t="s">
        <v>17</v>
      </c>
      <c r="G1736" s="14">
        <v>120000</v>
      </c>
      <c r="H1736" s="14">
        <v>120000</v>
      </c>
      <c r="I1736" t="s">
        <v>22</v>
      </c>
      <c r="J1736" t="s">
        <v>22</v>
      </c>
      <c r="K1736" t="s">
        <v>3518</v>
      </c>
      <c r="L1736" t="s">
        <v>1927</v>
      </c>
      <c r="M1736" t="s">
        <v>97</v>
      </c>
      <c r="N1736">
        <v>1</v>
      </c>
      <c r="O1736" t="s">
        <v>98</v>
      </c>
      <c r="P1736" t="s">
        <v>131</v>
      </c>
      <c r="Q1736" t="s">
        <v>30</v>
      </c>
      <c r="R1736" t="str">
        <f>VLOOKUP($O1736,'Mapa Oficinas'!$A$7:$C$46,2,FALSE)</f>
        <v>Interior - Neuquén</v>
      </c>
      <c r="S1736" t="str">
        <f>VLOOKUP($O1736,'Mapa Oficinas'!$A$7:$C$46,3,FALSE)</f>
        <v>Villa La Angostura</v>
      </c>
    </row>
    <row r="1737" spans="1:19" x14ac:dyDescent="0.2">
      <c r="A1737" s="1">
        <v>45954</v>
      </c>
      <c r="B1737" t="s">
        <v>3513</v>
      </c>
      <c r="D1737" t="s">
        <v>3512</v>
      </c>
      <c r="E1737" t="s">
        <v>16</v>
      </c>
      <c r="F1737" t="s">
        <v>17</v>
      </c>
      <c r="G1737" s="14">
        <v>146000</v>
      </c>
      <c r="H1737" s="14">
        <v>140000</v>
      </c>
      <c r="I1737" t="s">
        <v>22</v>
      </c>
      <c r="J1737" t="s">
        <v>22</v>
      </c>
      <c r="K1737" t="s">
        <v>2937</v>
      </c>
      <c r="L1737" t="s">
        <v>318</v>
      </c>
      <c r="M1737" t="s">
        <v>19</v>
      </c>
      <c r="N1737">
        <v>2</v>
      </c>
      <c r="O1737" t="s">
        <v>73</v>
      </c>
      <c r="P1737" t="s">
        <v>21</v>
      </c>
      <c r="Q1737" t="s">
        <v>30</v>
      </c>
      <c r="R1737" t="str">
        <f>VLOOKUP($O1737,'Mapa Oficinas'!$A$7:$C$46,2,FALSE)</f>
        <v>CABA</v>
      </c>
      <c r="S1737" t="str">
        <f>VLOOKUP($O1737,'Mapa Oficinas'!$A$7:$C$46,3,FALSE)</f>
        <v>Recoleta</v>
      </c>
    </row>
    <row r="1738" spans="1:19" x14ac:dyDescent="0.2">
      <c r="A1738" s="1">
        <v>45954</v>
      </c>
      <c r="B1738" t="s">
        <v>3547</v>
      </c>
      <c r="D1738" t="s">
        <v>3548</v>
      </c>
      <c r="E1738" t="s">
        <v>16</v>
      </c>
      <c r="F1738" t="s">
        <v>58</v>
      </c>
      <c r="G1738" s="14">
        <v>145000</v>
      </c>
      <c r="H1738" s="14">
        <v>140000</v>
      </c>
      <c r="I1738" t="s">
        <v>22</v>
      </c>
      <c r="J1738" t="s">
        <v>22</v>
      </c>
      <c r="K1738" t="s">
        <v>3549</v>
      </c>
      <c r="L1738" t="s">
        <v>205</v>
      </c>
      <c r="M1738" t="s">
        <v>72</v>
      </c>
      <c r="N1738">
        <v>2</v>
      </c>
      <c r="O1738" t="s">
        <v>103</v>
      </c>
      <c r="P1738" t="s">
        <v>276</v>
      </c>
      <c r="Q1738" t="s">
        <v>30</v>
      </c>
      <c r="R1738" t="str">
        <f>VLOOKUP($O1738,'Mapa Oficinas'!$A$7:$C$46,2,FALSE)</f>
        <v>CABA</v>
      </c>
      <c r="S1738" t="str">
        <f>VLOOKUP($O1738,'Mapa Oficinas'!$A$7:$C$46,3,FALSE)</f>
        <v>Barrio Parque</v>
      </c>
    </row>
    <row r="1739" spans="1:19" x14ac:dyDescent="0.2">
      <c r="A1739" s="1">
        <v>45954</v>
      </c>
      <c r="B1739" t="s">
        <v>3519</v>
      </c>
      <c r="D1739" t="s">
        <v>3520</v>
      </c>
      <c r="E1739" t="s">
        <v>16</v>
      </c>
      <c r="F1739" t="s">
        <v>134</v>
      </c>
      <c r="G1739" s="14">
        <v>156000</v>
      </c>
      <c r="H1739" s="14">
        <v>154000</v>
      </c>
      <c r="I1739" t="s">
        <v>22</v>
      </c>
      <c r="J1739" t="s">
        <v>22</v>
      </c>
      <c r="K1739" t="s">
        <v>1774</v>
      </c>
      <c r="L1739" t="s">
        <v>1775</v>
      </c>
      <c r="M1739" t="s">
        <v>28</v>
      </c>
      <c r="N1739">
        <v>2</v>
      </c>
      <c r="O1739" t="s">
        <v>130</v>
      </c>
      <c r="P1739" t="s">
        <v>41</v>
      </c>
      <c r="Q1739" t="s">
        <v>30</v>
      </c>
      <c r="R1739" t="str">
        <f>VLOOKUP($O1739,'Mapa Oficinas'!$A$7:$C$46,2,FALSE)</f>
        <v>Interior - Río Negro</v>
      </c>
      <c r="S1739" t="str">
        <f>VLOOKUP($O1739,'Mapa Oficinas'!$A$7:$C$46,3,FALSE)</f>
        <v>Bariloche</v>
      </c>
    </row>
    <row r="1740" spans="1:19" x14ac:dyDescent="0.2">
      <c r="A1740" s="1">
        <v>45954</v>
      </c>
      <c r="B1740">
        <v>24102025</v>
      </c>
      <c r="D1740" t="s">
        <v>3521</v>
      </c>
      <c r="E1740" t="s">
        <v>16</v>
      </c>
      <c r="F1740" t="s">
        <v>134</v>
      </c>
      <c r="G1740" s="14">
        <v>180000</v>
      </c>
      <c r="H1740" s="14">
        <v>180000</v>
      </c>
      <c r="I1740" t="s">
        <v>22</v>
      </c>
      <c r="J1740" t="s">
        <v>22</v>
      </c>
      <c r="K1740" t="s">
        <v>3522</v>
      </c>
      <c r="L1740" t="s">
        <v>995</v>
      </c>
      <c r="M1740" t="s">
        <v>28</v>
      </c>
      <c r="N1740">
        <v>2</v>
      </c>
      <c r="O1740" t="s">
        <v>130</v>
      </c>
      <c r="P1740" t="s">
        <v>41</v>
      </c>
      <c r="Q1740" t="s">
        <v>30</v>
      </c>
      <c r="R1740" t="str">
        <f>VLOOKUP($O1740,'Mapa Oficinas'!$A$7:$C$46,2,FALSE)</f>
        <v>Interior - Río Negro</v>
      </c>
      <c r="S1740" t="str">
        <f>VLOOKUP($O1740,'Mapa Oficinas'!$A$7:$C$46,3,FALSE)</f>
        <v>Bariloche</v>
      </c>
    </row>
    <row r="1741" spans="1:19" x14ac:dyDescent="0.2">
      <c r="A1741" s="1">
        <v>45954</v>
      </c>
      <c r="B1741" t="s">
        <v>3541</v>
      </c>
      <c r="D1741" t="s">
        <v>3542</v>
      </c>
      <c r="E1741" t="s">
        <v>16</v>
      </c>
      <c r="F1741" t="s">
        <v>17</v>
      </c>
      <c r="G1741" s="14">
        <v>185000</v>
      </c>
      <c r="H1741" s="14">
        <v>180000</v>
      </c>
      <c r="I1741" t="s">
        <v>22</v>
      </c>
      <c r="J1741" t="s">
        <v>22</v>
      </c>
      <c r="K1741" t="s">
        <v>3543</v>
      </c>
      <c r="L1741" t="s">
        <v>217</v>
      </c>
      <c r="M1741" t="s">
        <v>19</v>
      </c>
      <c r="N1741">
        <v>2</v>
      </c>
      <c r="O1741" t="s">
        <v>103</v>
      </c>
      <c r="P1741" t="s">
        <v>21</v>
      </c>
      <c r="Q1741" t="s">
        <v>30</v>
      </c>
      <c r="R1741" t="str">
        <f>VLOOKUP($O1741,'Mapa Oficinas'!$A$7:$C$46,2,FALSE)</f>
        <v>CABA</v>
      </c>
      <c r="S1741" t="str">
        <f>VLOOKUP($O1741,'Mapa Oficinas'!$A$7:$C$46,3,FALSE)</f>
        <v>Barrio Parque</v>
      </c>
    </row>
    <row r="1742" spans="1:19" x14ac:dyDescent="0.2">
      <c r="A1742" s="1">
        <v>45954</v>
      </c>
      <c r="B1742" t="s">
        <v>3511</v>
      </c>
      <c r="D1742" t="s">
        <v>3512</v>
      </c>
      <c r="E1742" t="s">
        <v>16</v>
      </c>
      <c r="F1742" t="s">
        <v>17</v>
      </c>
      <c r="G1742" s="14">
        <v>185000</v>
      </c>
      <c r="H1742" s="14">
        <v>180000</v>
      </c>
      <c r="I1742" t="s">
        <v>22</v>
      </c>
      <c r="J1742" t="s">
        <v>22</v>
      </c>
      <c r="K1742" t="s">
        <v>2937</v>
      </c>
      <c r="L1742" t="s">
        <v>318</v>
      </c>
      <c r="M1742" t="s">
        <v>19</v>
      </c>
      <c r="N1742">
        <v>2</v>
      </c>
      <c r="O1742" t="s">
        <v>73</v>
      </c>
      <c r="P1742" t="s">
        <v>21</v>
      </c>
      <c r="Q1742" t="s">
        <v>30</v>
      </c>
      <c r="R1742" t="str">
        <f>VLOOKUP($O1742,'Mapa Oficinas'!$A$7:$C$46,2,FALSE)</f>
        <v>CABA</v>
      </c>
      <c r="S1742" t="str">
        <f>VLOOKUP($O1742,'Mapa Oficinas'!$A$7:$C$46,3,FALSE)</f>
        <v>Recoleta</v>
      </c>
    </row>
    <row r="1743" spans="1:19" x14ac:dyDescent="0.2">
      <c r="A1743" s="1">
        <v>45954</v>
      </c>
      <c r="B1743" t="s">
        <v>3526</v>
      </c>
      <c r="D1743" t="s">
        <v>3526</v>
      </c>
      <c r="E1743" t="s">
        <v>16</v>
      </c>
      <c r="F1743" t="s">
        <v>58</v>
      </c>
      <c r="G1743" s="14">
        <v>270000</v>
      </c>
      <c r="H1743" s="14">
        <v>270000</v>
      </c>
      <c r="I1743" t="s">
        <v>22</v>
      </c>
      <c r="J1743" t="s">
        <v>22</v>
      </c>
      <c r="K1743" t="s">
        <v>3526</v>
      </c>
      <c r="L1743" t="s">
        <v>107</v>
      </c>
      <c r="M1743" t="s">
        <v>72</v>
      </c>
      <c r="N1743">
        <v>1</v>
      </c>
      <c r="O1743" t="s">
        <v>35</v>
      </c>
      <c r="P1743" t="s">
        <v>131</v>
      </c>
      <c r="Q1743" t="s">
        <v>30</v>
      </c>
      <c r="R1743" t="str">
        <f>VLOOKUP($O1743,'Mapa Oficinas'!$A$7:$C$46,2,FALSE)</f>
        <v>Zona Norte (GBA)</v>
      </c>
      <c r="S1743" t="str">
        <f>VLOOKUP($O1743,'Mapa Oficinas'!$A$7:$C$46,3,FALSE)</f>
        <v>Vicente López</v>
      </c>
    </row>
    <row r="1744" spans="1:19" x14ac:dyDescent="0.2">
      <c r="A1744" s="1">
        <v>45954</v>
      </c>
      <c r="B1744">
        <v>10508</v>
      </c>
      <c r="D1744" t="s">
        <v>3544</v>
      </c>
      <c r="E1744" t="s">
        <v>16</v>
      </c>
      <c r="F1744" t="s">
        <v>17</v>
      </c>
      <c r="G1744" s="14">
        <v>298000</v>
      </c>
      <c r="H1744" s="14">
        <v>298000</v>
      </c>
      <c r="I1744" t="s">
        <v>22</v>
      </c>
      <c r="J1744" t="s">
        <v>22</v>
      </c>
      <c r="K1744" t="s">
        <v>3545</v>
      </c>
      <c r="L1744" t="s">
        <v>205</v>
      </c>
      <c r="M1744" t="s">
        <v>19</v>
      </c>
      <c r="N1744">
        <v>1</v>
      </c>
      <c r="O1744" t="s">
        <v>103</v>
      </c>
      <c r="P1744" t="s">
        <v>146</v>
      </c>
      <c r="Q1744" t="s">
        <v>30</v>
      </c>
      <c r="R1744" t="str">
        <f>VLOOKUP($O1744,'Mapa Oficinas'!$A$7:$C$46,2,FALSE)</f>
        <v>CABA</v>
      </c>
      <c r="S1744" t="str">
        <f>VLOOKUP($O1744,'Mapa Oficinas'!$A$7:$C$46,3,FALSE)</f>
        <v>Barrio Parque</v>
      </c>
    </row>
    <row r="1745" spans="1:19" x14ac:dyDescent="0.2">
      <c r="A1745" s="1">
        <v>45954</v>
      </c>
      <c r="B1745">
        <v>10574</v>
      </c>
      <c r="D1745" t="s">
        <v>3550</v>
      </c>
      <c r="E1745" t="s">
        <v>16</v>
      </c>
      <c r="F1745" t="s">
        <v>17</v>
      </c>
      <c r="G1745" s="14">
        <v>460000</v>
      </c>
      <c r="H1745" s="14">
        <v>460000</v>
      </c>
      <c r="I1745" t="s">
        <v>22</v>
      </c>
      <c r="J1745" t="s">
        <v>22</v>
      </c>
      <c r="K1745" t="s">
        <v>3551</v>
      </c>
      <c r="L1745" t="s">
        <v>271</v>
      </c>
      <c r="M1745" t="s">
        <v>28</v>
      </c>
      <c r="N1745">
        <v>1</v>
      </c>
      <c r="O1745" t="s">
        <v>103</v>
      </c>
      <c r="P1745" t="s">
        <v>146</v>
      </c>
      <c r="Q1745" t="s">
        <v>30</v>
      </c>
      <c r="R1745" t="str">
        <f>VLOOKUP($O1745,'Mapa Oficinas'!$A$7:$C$46,2,FALSE)</f>
        <v>CABA</v>
      </c>
      <c r="S1745" t="str">
        <f>VLOOKUP($O1745,'Mapa Oficinas'!$A$7:$C$46,3,FALSE)</f>
        <v>Barrio Parque</v>
      </c>
    </row>
    <row r="1746" spans="1:19" x14ac:dyDescent="0.2">
      <c r="A1746" s="1">
        <v>45955</v>
      </c>
      <c r="B1746" t="s">
        <v>3502</v>
      </c>
      <c r="D1746" t="s">
        <v>3503</v>
      </c>
      <c r="E1746" t="s">
        <v>16</v>
      </c>
      <c r="F1746" t="s">
        <v>17</v>
      </c>
      <c r="G1746" s="14">
        <v>119000</v>
      </c>
      <c r="H1746" s="14">
        <v>100000</v>
      </c>
      <c r="I1746" t="s">
        <v>22</v>
      </c>
      <c r="J1746" t="s">
        <v>22</v>
      </c>
      <c r="K1746" t="s">
        <v>3504</v>
      </c>
      <c r="L1746" t="s">
        <v>3505</v>
      </c>
      <c r="M1746" t="s">
        <v>28</v>
      </c>
      <c r="N1746">
        <v>2</v>
      </c>
      <c r="O1746" t="s">
        <v>103</v>
      </c>
      <c r="P1746" t="s">
        <v>21</v>
      </c>
      <c r="Q1746" t="s">
        <v>30</v>
      </c>
      <c r="R1746" t="str">
        <f>VLOOKUP($O1746,'Mapa Oficinas'!$A$7:$C$46,2,FALSE)</f>
        <v>CABA</v>
      </c>
      <c r="S1746" t="str">
        <f>VLOOKUP($O1746,'Mapa Oficinas'!$A$7:$C$46,3,FALSE)</f>
        <v>Barrio Parque</v>
      </c>
    </row>
    <row r="1747" spans="1:19" x14ac:dyDescent="0.2">
      <c r="A1747" s="1">
        <v>45955</v>
      </c>
      <c r="B1747" t="s">
        <v>3500</v>
      </c>
      <c r="D1747" t="s">
        <v>3501</v>
      </c>
      <c r="E1747" t="s">
        <v>16</v>
      </c>
      <c r="F1747" t="s">
        <v>17</v>
      </c>
      <c r="G1747" s="14">
        <v>119000</v>
      </c>
      <c r="H1747" s="14">
        <v>112000</v>
      </c>
      <c r="I1747" t="s">
        <v>22</v>
      </c>
      <c r="J1747" t="s">
        <v>22</v>
      </c>
      <c r="K1747" t="s">
        <v>1678</v>
      </c>
      <c r="L1747" t="s">
        <v>2517</v>
      </c>
      <c r="M1747" t="s">
        <v>28</v>
      </c>
      <c r="N1747">
        <v>2</v>
      </c>
      <c r="O1747" t="s">
        <v>29</v>
      </c>
      <c r="P1747" t="s">
        <v>21</v>
      </c>
      <c r="Q1747" t="s">
        <v>30</v>
      </c>
      <c r="R1747" t="str">
        <f>VLOOKUP($O1747,'Mapa Oficinas'!$A$7:$C$46,2,FALSE)</f>
        <v>CABA</v>
      </c>
      <c r="S1747" t="str">
        <f>VLOOKUP($O1747,'Mapa Oficinas'!$A$7:$C$46,3,FALSE)</f>
        <v>Núñez</v>
      </c>
    </row>
    <row r="1748" spans="1:19" x14ac:dyDescent="0.2">
      <c r="A1748" s="1">
        <v>45955</v>
      </c>
      <c r="B1748" t="s">
        <v>3506</v>
      </c>
      <c r="D1748" t="s">
        <v>3507</v>
      </c>
      <c r="E1748" t="s">
        <v>16</v>
      </c>
      <c r="F1748" t="s">
        <v>17</v>
      </c>
      <c r="G1748" s="14">
        <v>165000</v>
      </c>
      <c r="H1748" s="14">
        <v>155000</v>
      </c>
      <c r="I1748" t="s">
        <v>22</v>
      </c>
      <c r="J1748" t="s">
        <v>22</v>
      </c>
      <c r="K1748" t="s">
        <v>3508</v>
      </c>
      <c r="L1748" t="s">
        <v>282</v>
      </c>
      <c r="M1748" t="s">
        <v>19</v>
      </c>
      <c r="N1748">
        <v>2</v>
      </c>
      <c r="O1748" t="s">
        <v>103</v>
      </c>
      <c r="P1748" t="s">
        <v>21</v>
      </c>
      <c r="Q1748" t="s">
        <v>30</v>
      </c>
      <c r="R1748" t="str">
        <f>VLOOKUP($O1748,'Mapa Oficinas'!$A$7:$C$46,2,FALSE)</f>
        <v>CABA</v>
      </c>
      <c r="S1748" t="str">
        <f>VLOOKUP($O1748,'Mapa Oficinas'!$A$7:$C$46,3,FALSE)</f>
        <v>Barrio Parque</v>
      </c>
    </row>
    <row r="1749" spans="1:19" x14ac:dyDescent="0.2">
      <c r="A1749" s="1">
        <v>45956</v>
      </c>
      <c r="B1749" t="s">
        <v>3497</v>
      </c>
      <c r="D1749" t="s">
        <v>3498</v>
      </c>
      <c r="E1749" t="s">
        <v>16</v>
      </c>
      <c r="F1749" t="s">
        <v>17</v>
      </c>
      <c r="G1749" s="14">
        <v>110000</v>
      </c>
      <c r="H1749" s="14">
        <v>98000</v>
      </c>
      <c r="I1749" t="s">
        <v>22</v>
      </c>
      <c r="J1749" t="s">
        <v>22</v>
      </c>
      <c r="K1749" t="s">
        <v>3499</v>
      </c>
      <c r="L1749" t="s">
        <v>429</v>
      </c>
      <c r="M1749" t="s">
        <v>19</v>
      </c>
      <c r="N1749">
        <v>2</v>
      </c>
      <c r="O1749" t="s">
        <v>547</v>
      </c>
      <c r="P1749" t="s">
        <v>276</v>
      </c>
      <c r="Q1749" t="s">
        <v>30</v>
      </c>
      <c r="R1749" t="str">
        <f>VLOOKUP($O1749,'Mapa Oficinas'!$A$7:$C$46,2,FALSE)</f>
        <v>CABA</v>
      </c>
      <c r="S1749" t="str">
        <f>VLOOKUP($O1749,'Mapa Oficinas'!$A$7:$C$46,3,FALSE)</f>
        <v>Núñez</v>
      </c>
    </row>
    <row r="1750" spans="1:19" x14ac:dyDescent="0.2">
      <c r="A1750" s="1">
        <v>45957</v>
      </c>
      <c r="B1750" t="s">
        <v>3494</v>
      </c>
      <c r="D1750" t="s">
        <v>3495</v>
      </c>
      <c r="E1750" t="s">
        <v>16</v>
      </c>
      <c r="F1750" t="s">
        <v>17</v>
      </c>
      <c r="G1750" s="14">
        <v>151000</v>
      </c>
      <c r="H1750" s="14">
        <v>163656</v>
      </c>
      <c r="I1750" t="s">
        <v>22</v>
      </c>
      <c r="J1750" t="s">
        <v>22</v>
      </c>
      <c r="K1750" t="s">
        <v>3496</v>
      </c>
      <c r="L1750" t="s">
        <v>960</v>
      </c>
      <c r="M1750" t="s">
        <v>19</v>
      </c>
      <c r="N1750">
        <v>2</v>
      </c>
      <c r="O1750" t="s">
        <v>103</v>
      </c>
      <c r="P1750" t="s">
        <v>21</v>
      </c>
      <c r="Q1750" t="s">
        <v>30</v>
      </c>
      <c r="R1750" t="str">
        <f>VLOOKUP($O1750,'Mapa Oficinas'!$A$7:$C$46,2,FALSE)</f>
        <v>CABA</v>
      </c>
      <c r="S1750" t="str">
        <f>VLOOKUP($O1750,'Mapa Oficinas'!$A$7:$C$46,3,FALSE)</f>
        <v>Barrio Parque</v>
      </c>
    </row>
    <row r="1751" spans="1:19" x14ac:dyDescent="0.2">
      <c r="A1751" s="1">
        <v>45957</v>
      </c>
      <c r="B1751" t="s">
        <v>3487</v>
      </c>
      <c r="D1751" t="s">
        <v>3488</v>
      </c>
      <c r="E1751" t="s">
        <v>16</v>
      </c>
      <c r="F1751" t="s">
        <v>134</v>
      </c>
      <c r="G1751" s="14">
        <v>216000</v>
      </c>
      <c r="H1751" s="14">
        <v>214000</v>
      </c>
      <c r="I1751" t="s">
        <v>22</v>
      </c>
      <c r="J1751" t="s">
        <v>22</v>
      </c>
      <c r="K1751" t="s">
        <v>3489</v>
      </c>
      <c r="L1751" t="s">
        <v>3490</v>
      </c>
      <c r="M1751" t="s">
        <v>28</v>
      </c>
      <c r="N1751">
        <v>2</v>
      </c>
      <c r="O1751" t="s">
        <v>130</v>
      </c>
      <c r="P1751" t="s">
        <v>41</v>
      </c>
      <c r="Q1751" t="s">
        <v>30</v>
      </c>
      <c r="R1751" t="str">
        <f>VLOOKUP($O1751,'Mapa Oficinas'!$A$7:$C$46,2,FALSE)</f>
        <v>Interior - Río Negro</v>
      </c>
      <c r="S1751" t="str">
        <f>VLOOKUP($O1751,'Mapa Oficinas'!$A$7:$C$46,3,FALSE)</f>
        <v>Bariloche</v>
      </c>
    </row>
    <row r="1752" spans="1:19" x14ac:dyDescent="0.2">
      <c r="A1752" s="1">
        <v>45957</v>
      </c>
      <c r="B1752" t="s">
        <v>3491</v>
      </c>
      <c r="D1752" t="s">
        <v>3492</v>
      </c>
      <c r="E1752" t="s">
        <v>16</v>
      </c>
      <c r="F1752" t="s">
        <v>17</v>
      </c>
      <c r="G1752" s="14">
        <v>299000</v>
      </c>
      <c r="H1752" s="14">
        <v>280000</v>
      </c>
      <c r="I1752" t="s">
        <v>22</v>
      </c>
      <c r="J1752" t="s">
        <v>22</v>
      </c>
      <c r="K1752" t="s">
        <v>3493</v>
      </c>
      <c r="L1752" t="s">
        <v>545</v>
      </c>
      <c r="M1752" t="s">
        <v>28</v>
      </c>
      <c r="N1752">
        <v>2</v>
      </c>
      <c r="O1752" t="s">
        <v>116</v>
      </c>
      <c r="P1752" t="s">
        <v>21</v>
      </c>
      <c r="Q1752" t="s">
        <v>30</v>
      </c>
      <c r="R1752" t="str">
        <f>VLOOKUP($O1752,'Mapa Oficinas'!$A$7:$C$46,2,FALSE)</f>
        <v>CABA</v>
      </c>
      <c r="S1752" t="str">
        <f>VLOOKUP($O1752,'Mapa Oficinas'!$A$7:$C$46,3,FALSE)</f>
        <v>Puerto Madero</v>
      </c>
    </row>
    <row r="1753" spans="1:19" x14ac:dyDescent="0.2">
      <c r="A1753" s="1">
        <v>45958</v>
      </c>
      <c r="B1753" t="s">
        <v>3480</v>
      </c>
      <c r="D1753" t="s">
        <v>3481</v>
      </c>
      <c r="E1753" t="s">
        <v>16</v>
      </c>
      <c r="F1753" t="s">
        <v>17</v>
      </c>
      <c r="G1753" s="14">
        <v>50000</v>
      </c>
      <c r="H1753" s="14">
        <v>50000</v>
      </c>
      <c r="I1753" t="s">
        <v>22</v>
      </c>
      <c r="J1753" t="s">
        <v>22</v>
      </c>
      <c r="K1753" t="s">
        <v>3482</v>
      </c>
      <c r="L1753" t="s">
        <v>1004</v>
      </c>
      <c r="M1753" t="s">
        <v>72</v>
      </c>
      <c r="N1753">
        <v>2</v>
      </c>
      <c r="O1753" t="s">
        <v>781</v>
      </c>
      <c r="P1753" t="s">
        <v>21</v>
      </c>
      <c r="Q1753" t="s">
        <v>30</v>
      </c>
      <c r="R1753" t="str">
        <f>VLOOKUP($O1753,'Mapa Oficinas'!$A$7:$C$46,2,FALSE)</f>
        <v>CABA</v>
      </c>
      <c r="S1753" t="str">
        <f>VLOOKUP($O1753,'Mapa Oficinas'!$A$7:$C$46,3,FALSE)</f>
        <v>Palermo</v>
      </c>
    </row>
    <row r="1754" spans="1:19" x14ac:dyDescent="0.2">
      <c r="A1754" s="1">
        <v>45958</v>
      </c>
      <c r="B1754">
        <v>10576</v>
      </c>
      <c r="D1754" t="s">
        <v>3486</v>
      </c>
      <c r="E1754" t="s">
        <v>16</v>
      </c>
      <c r="F1754" t="s">
        <v>17</v>
      </c>
      <c r="G1754" s="14">
        <v>65000</v>
      </c>
      <c r="H1754" s="14">
        <v>65000</v>
      </c>
      <c r="I1754" t="s">
        <v>22</v>
      </c>
      <c r="J1754" t="s">
        <v>22</v>
      </c>
      <c r="K1754" t="s">
        <v>3486</v>
      </c>
      <c r="L1754" t="s">
        <v>653</v>
      </c>
      <c r="M1754" t="s">
        <v>19</v>
      </c>
      <c r="N1754">
        <v>1</v>
      </c>
      <c r="O1754" t="s">
        <v>103</v>
      </c>
      <c r="P1754" t="s">
        <v>146</v>
      </c>
      <c r="Q1754" t="s">
        <v>30</v>
      </c>
      <c r="R1754" t="str">
        <f>VLOOKUP($O1754,'Mapa Oficinas'!$A$7:$C$46,2,FALSE)</f>
        <v>CABA</v>
      </c>
      <c r="S1754" t="str">
        <f>VLOOKUP($O1754,'Mapa Oficinas'!$A$7:$C$46,3,FALSE)</f>
        <v>Barrio Parque</v>
      </c>
    </row>
    <row r="1755" spans="1:19" x14ac:dyDescent="0.2">
      <c r="A1755" s="1">
        <v>45958</v>
      </c>
      <c r="B1755" t="s">
        <v>3458</v>
      </c>
      <c r="D1755" t="s">
        <v>3459</v>
      </c>
      <c r="E1755" t="s">
        <v>16</v>
      </c>
      <c r="F1755" t="s">
        <v>17</v>
      </c>
      <c r="G1755" s="14">
        <v>65000</v>
      </c>
      <c r="H1755" s="14">
        <v>65000</v>
      </c>
      <c r="I1755" t="s">
        <v>22</v>
      </c>
      <c r="J1755" t="s">
        <v>22</v>
      </c>
      <c r="K1755" t="s">
        <v>3460</v>
      </c>
      <c r="L1755" t="s">
        <v>226</v>
      </c>
      <c r="M1755" t="s">
        <v>19</v>
      </c>
      <c r="N1755">
        <v>2</v>
      </c>
      <c r="O1755" t="s">
        <v>198</v>
      </c>
      <c r="P1755" t="s">
        <v>21</v>
      </c>
      <c r="Q1755" t="s">
        <v>30</v>
      </c>
      <c r="R1755" t="str">
        <f>VLOOKUP($O1755,'Mapa Oficinas'!$A$7:$C$46,2,FALSE)</f>
        <v>CABA</v>
      </c>
      <c r="S1755" t="str">
        <f>VLOOKUP($O1755,'Mapa Oficinas'!$A$7:$C$46,3,FALSE)</f>
        <v>Caballito</v>
      </c>
    </row>
    <row r="1756" spans="1:19" x14ac:dyDescent="0.2">
      <c r="A1756" s="1">
        <v>45958</v>
      </c>
      <c r="B1756" t="s">
        <v>3474</v>
      </c>
      <c r="D1756" t="s">
        <v>3474</v>
      </c>
      <c r="E1756" t="s">
        <v>16</v>
      </c>
      <c r="F1756" t="s">
        <v>47</v>
      </c>
      <c r="G1756" s="14">
        <v>72500</v>
      </c>
      <c r="H1756" s="14">
        <v>72500</v>
      </c>
      <c r="I1756" t="s">
        <v>22</v>
      </c>
      <c r="J1756" t="s">
        <v>22</v>
      </c>
      <c r="K1756" t="s">
        <v>3474</v>
      </c>
      <c r="L1756" t="s">
        <v>277</v>
      </c>
      <c r="M1756" t="s">
        <v>19</v>
      </c>
      <c r="N1756">
        <v>1</v>
      </c>
      <c r="O1756" t="s">
        <v>35</v>
      </c>
      <c r="P1756" t="s">
        <v>131</v>
      </c>
      <c r="Q1756" t="s">
        <v>30</v>
      </c>
      <c r="R1756" t="str">
        <f>VLOOKUP($O1756,'Mapa Oficinas'!$A$7:$C$46,2,FALSE)</f>
        <v>Zona Norte (GBA)</v>
      </c>
      <c r="S1756" t="str">
        <f>VLOOKUP($O1756,'Mapa Oficinas'!$A$7:$C$46,3,FALSE)</f>
        <v>Vicente López</v>
      </c>
    </row>
    <row r="1757" spans="1:19" x14ac:dyDescent="0.2">
      <c r="A1757" s="1">
        <v>45958</v>
      </c>
      <c r="D1757" t="s">
        <v>3468</v>
      </c>
      <c r="E1757" t="s">
        <v>16</v>
      </c>
      <c r="F1757" t="s">
        <v>17</v>
      </c>
      <c r="G1757" s="14">
        <v>145000</v>
      </c>
      <c r="H1757" s="14">
        <v>145000</v>
      </c>
      <c r="I1757" t="s">
        <v>22</v>
      </c>
      <c r="J1757" t="s">
        <v>22</v>
      </c>
      <c r="K1757" t="s">
        <v>3469</v>
      </c>
      <c r="L1757" t="s">
        <v>79</v>
      </c>
      <c r="M1757" t="s">
        <v>19</v>
      </c>
      <c r="N1757">
        <v>1</v>
      </c>
      <c r="O1757" t="s">
        <v>201</v>
      </c>
      <c r="P1757" t="s">
        <v>146</v>
      </c>
      <c r="Q1757" t="s">
        <v>30</v>
      </c>
      <c r="R1757" t="str">
        <f>VLOOKUP($O1757,'Mapa Oficinas'!$A$7:$C$46,2,FALSE)</f>
        <v>CABA</v>
      </c>
      <c r="S1757" t="str">
        <f>VLOOKUP($O1757,'Mapa Oficinas'!$A$7:$C$46,3,FALSE)</f>
        <v>Recoleta</v>
      </c>
    </row>
    <row r="1758" spans="1:19" x14ac:dyDescent="0.2">
      <c r="A1758" s="1">
        <v>45958</v>
      </c>
      <c r="B1758" t="s">
        <v>3452</v>
      </c>
      <c r="D1758" t="s">
        <v>3453</v>
      </c>
      <c r="E1758" t="s">
        <v>16</v>
      </c>
      <c r="F1758" t="s">
        <v>17</v>
      </c>
      <c r="G1758" s="14">
        <v>230000</v>
      </c>
      <c r="H1758" s="14">
        <v>210000</v>
      </c>
      <c r="I1758" t="s">
        <v>22</v>
      </c>
      <c r="J1758" t="s">
        <v>22</v>
      </c>
      <c r="K1758" t="s">
        <v>3454</v>
      </c>
      <c r="L1758" t="s">
        <v>3455</v>
      </c>
      <c r="M1758" t="s">
        <v>28</v>
      </c>
      <c r="N1758">
        <v>2</v>
      </c>
      <c r="O1758" t="s">
        <v>142</v>
      </c>
      <c r="P1758" t="s">
        <v>21</v>
      </c>
      <c r="Q1758" t="s">
        <v>30</v>
      </c>
      <c r="R1758" t="str">
        <f>VLOOKUP($O1758,'Mapa Oficinas'!$A$7:$C$46,2,FALSE)</f>
        <v>Zona Norte (GBA)</v>
      </c>
      <c r="S1758" t="str">
        <f>VLOOKUP($O1758,'Mapa Oficinas'!$A$7:$C$46,3,FALSE)</f>
        <v>Nordelta</v>
      </c>
    </row>
    <row r="1759" spans="1:19" x14ac:dyDescent="0.2">
      <c r="A1759" s="1">
        <v>45958</v>
      </c>
      <c r="B1759" t="s">
        <v>3483</v>
      </c>
      <c r="D1759" t="s">
        <v>3484</v>
      </c>
      <c r="E1759" t="s">
        <v>16</v>
      </c>
      <c r="F1759" t="s">
        <v>17</v>
      </c>
      <c r="G1759" s="14">
        <v>202000</v>
      </c>
      <c r="H1759" s="14">
        <v>220000</v>
      </c>
      <c r="I1759" t="s">
        <v>22</v>
      </c>
      <c r="J1759" t="s">
        <v>22</v>
      </c>
      <c r="K1759" t="s">
        <v>3485</v>
      </c>
      <c r="L1759" t="s">
        <v>330</v>
      </c>
      <c r="M1759" t="s">
        <v>19</v>
      </c>
      <c r="N1759">
        <v>2</v>
      </c>
      <c r="O1759" t="s">
        <v>103</v>
      </c>
      <c r="P1759" t="s">
        <v>44</v>
      </c>
      <c r="Q1759" t="s">
        <v>30</v>
      </c>
      <c r="R1759" t="str">
        <f>VLOOKUP($O1759,'Mapa Oficinas'!$A$7:$C$46,2,FALSE)</f>
        <v>CABA</v>
      </c>
      <c r="S1759" t="str">
        <f>VLOOKUP($O1759,'Mapa Oficinas'!$A$7:$C$46,3,FALSE)</f>
        <v>Barrio Parque</v>
      </c>
    </row>
    <row r="1760" spans="1:19" x14ac:dyDescent="0.2">
      <c r="A1760" s="1">
        <v>45958</v>
      </c>
      <c r="B1760" t="s">
        <v>3456</v>
      </c>
      <c r="D1760" t="s">
        <v>3457</v>
      </c>
      <c r="E1760" t="s">
        <v>16</v>
      </c>
      <c r="F1760" t="s">
        <v>17</v>
      </c>
      <c r="G1760" s="14">
        <v>259900</v>
      </c>
      <c r="H1760" s="14">
        <v>250000</v>
      </c>
      <c r="I1760" t="s">
        <v>22</v>
      </c>
      <c r="J1760" t="s">
        <v>22</v>
      </c>
      <c r="K1760" t="s">
        <v>541</v>
      </c>
      <c r="L1760" t="s">
        <v>217</v>
      </c>
      <c r="M1760" t="s">
        <v>19</v>
      </c>
      <c r="N1760">
        <v>2</v>
      </c>
      <c r="O1760" t="s">
        <v>116</v>
      </c>
      <c r="P1760" t="s">
        <v>21</v>
      </c>
      <c r="Q1760" t="s">
        <v>30</v>
      </c>
      <c r="R1760" t="str">
        <f>VLOOKUP($O1760,'Mapa Oficinas'!$A$7:$C$46,2,FALSE)</f>
        <v>CABA</v>
      </c>
      <c r="S1760" t="str">
        <f>VLOOKUP($O1760,'Mapa Oficinas'!$A$7:$C$46,3,FALSE)</f>
        <v>Puerto Madero</v>
      </c>
    </row>
    <row r="1761" spans="1:19" x14ac:dyDescent="0.2">
      <c r="A1761" s="1">
        <v>45958</v>
      </c>
      <c r="B1761" t="s">
        <v>3470</v>
      </c>
      <c r="D1761" t="s">
        <v>3471</v>
      </c>
      <c r="E1761" t="s">
        <v>16</v>
      </c>
      <c r="F1761" t="s">
        <v>47</v>
      </c>
      <c r="G1761" s="14">
        <v>265000</v>
      </c>
      <c r="H1761" s="14">
        <v>261500</v>
      </c>
      <c r="I1761" t="s">
        <v>22</v>
      </c>
      <c r="J1761" t="s">
        <v>22</v>
      </c>
      <c r="K1761" t="s">
        <v>3472</v>
      </c>
      <c r="L1761" t="s">
        <v>3473</v>
      </c>
      <c r="M1761" t="s">
        <v>28</v>
      </c>
      <c r="N1761">
        <v>2</v>
      </c>
      <c r="O1761" t="s">
        <v>40</v>
      </c>
      <c r="P1761" t="s">
        <v>21</v>
      </c>
      <c r="Q1761" t="s">
        <v>30</v>
      </c>
      <c r="R1761" t="str">
        <f>VLOOKUP($O1761,'Mapa Oficinas'!$A$7:$C$46,2,FALSE)</f>
        <v>Zona Norte (GBA)</v>
      </c>
      <c r="S1761" t="str">
        <f>VLOOKUP($O1761,'Mapa Oficinas'!$A$7:$C$46,3,FALSE)</f>
        <v>Pilar</v>
      </c>
    </row>
    <row r="1762" spans="1:19" x14ac:dyDescent="0.2">
      <c r="A1762" s="1">
        <v>45958</v>
      </c>
      <c r="B1762" t="s">
        <v>561</v>
      </c>
      <c r="D1762" t="s">
        <v>562</v>
      </c>
      <c r="E1762" t="s">
        <v>16</v>
      </c>
      <c r="F1762" t="s">
        <v>47</v>
      </c>
      <c r="G1762" s="14">
        <v>402500</v>
      </c>
      <c r="H1762" s="14">
        <v>402500</v>
      </c>
      <c r="I1762" t="s">
        <v>22</v>
      </c>
      <c r="J1762" t="s">
        <v>22</v>
      </c>
      <c r="K1762" t="s">
        <v>563</v>
      </c>
      <c r="L1762" t="s">
        <v>564</v>
      </c>
      <c r="M1762" t="s">
        <v>19</v>
      </c>
      <c r="N1762">
        <v>1</v>
      </c>
      <c r="O1762" t="s">
        <v>142</v>
      </c>
      <c r="P1762" t="s">
        <v>146</v>
      </c>
      <c r="Q1762" t="s">
        <v>30</v>
      </c>
      <c r="R1762" t="str">
        <f>VLOOKUP($O1762,'Mapa Oficinas'!$A$7:$C$46,2,FALSE)</f>
        <v>Zona Norte (GBA)</v>
      </c>
      <c r="S1762" t="str">
        <f>VLOOKUP($O1762,'Mapa Oficinas'!$A$7:$C$46,3,FALSE)</f>
        <v>Nordelta</v>
      </c>
    </row>
    <row r="1763" spans="1:19" x14ac:dyDescent="0.2">
      <c r="A1763" s="1">
        <v>45959</v>
      </c>
      <c r="B1763" t="s">
        <v>3437</v>
      </c>
      <c r="D1763" t="s">
        <v>3438</v>
      </c>
      <c r="E1763" t="s">
        <v>16</v>
      </c>
      <c r="F1763" t="s">
        <v>17</v>
      </c>
      <c r="G1763" s="14">
        <v>89000</v>
      </c>
      <c r="H1763" s="14">
        <v>84500</v>
      </c>
      <c r="I1763" t="s">
        <v>22</v>
      </c>
      <c r="J1763" t="s">
        <v>22</v>
      </c>
      <c r="K1763" t="s">
        <v>3439</v>
      </c>
      <c r="L1763" t="s">
        <v>3440</v>
      </c>
      <c r="M1763" t="s">
        <v>72</v>
      </c>
      <c r="N1763">
        <v>2</v>
      </c>
      <c r="O1763" t="s">
        <v>20</v>
      </c>
      <c r="P1763" t="s">
        <v>21</v>
      </c>
      <c r="Q1763" t="s">
        <v>30</v>
      </c>
      <c r="R1763" t="str">
        <f>VLOOKUP($O1763,'Mapa Oficinas'!$A$7:$C$46,2,FALSE)</f>
        <v>CABA</v>
      </c>
      <c r="S1763" t="str">
        <f>VLOOKUP($O1763,'Mapa Oficinas'!$A$7:$C$46,3,FALSE)</f>
        <v>Palermo</v>
      </c>
    </row>
    <row r="1764" spans="1:19" x14ac:dyDescent="0.2">
      <c r="A1764" s="1">
        <v>45959</v>
      </c>
      <c r="B1764" t="s">
        <v>3441</v>
      </c>
      <c r="D1764" t="s">
        <v>3442</v>
      </c>
      <c r="E1764" t="s">
        <v>16</v>
      </c>
      <c r="F1764" t="s">
        <v>17</v>
      </c>
      <c r="G1764" s="14">
        <v>92000</v>
      </c>
      <c r="H1764" s="14">
        <v>90000</v>
      </c>
      <c r="I1764" t="s">
        <v>22</v>
      </c>
      <c r="J1764" t="s">
        <v>22</v>
      </c>
      <c r="L1764" t="s">
        <v>189</v>
      </c>
      <c r="M1764" t="s">
        <v>97</v>
      </c>
      <c r="N1764">
        <v>2</v>
      </c>
      <c r="O1764" t="s">
        <v>151</v>
      </c>
      <c r="P1764" t="s">
        <v>21</v>
      </c>
      <c r="Q1764" t="s">
        <v>30</v>
      </c>
      <c r="R1764" t="str">
        <f>VLOOKUP($O1764,'Mapa Oficinas'!$A$7:$C$46,2,FALSE)</f>
        <v>Interior - Neuquén</v>
      </c>
      <c r="S1764" t="str">
        <f>VLOOKUP($O1764,'Mapa Oficinas'!$A$7:$C$46,3,FALSE)</f>
        <v>Capital Neuquén</v>
      </c>
    </row>
    <row r="1765" spans="1:19" x14ac:dyDescent="0.2">
      <c r="A1765" s="1">
        <v>45959</v>
      </c>
      <c r="B1765" t="s">
        <v>3443</v>
      </c>
      <c r="D1765" t="s">
        <v>3444</v>
      </c>
      <c r="E1765" t="s">
        <v>16</v>
      </c>
      <c r="F1765" t="s">
        <v>17</v>
      </c>
      <c r="G1765" s="14">
        <v>108000</v>
      </c>
      <c r="H1765" s="14">
        <v>103000</v>
      </c>
      <c r="I1765" t="s">
        <v>22</v>
      </c>
      <c r="J1765" t="s">
        <v>22</v>
      </c>
      <c r="K1765" t="s">
        <v>3445</v>
      </c>
      <c r="L1765" t="s">
        <v>330</v>
      </c>
      <c r="M1765" t="s">
        <v>19</v>
      </c>
      <c r="N1765">
        <v>2</v>
      </c>
      <c r="O1765" t="s">
        <v>103</v>
      </c>
      <c r="P1765" t="s">
        <v>21</v>
      </c>
      <c r="Q1765" t="s">
        <v>30</v>
      </c>
      <c r="R1765" t="str">
        <f>VLOOKUP($O1765,'Mapa Oficinas'!$A$7:$C$46,2,FALSE)</f>
        <v>CABA</v>
      </c>
      <c r="S1765" t="str">
        <f>VLOOKUP($O1765,'Mapa Oficinas'!$A$7:$C$46,3,FALSE)</f>
        <v>Barrio Parque</v>
      </c>
    </row>
    <row r="1766" spans="1:19" x14ac:dyDescent="0.2">
      <c r="A1766" s="1">
        <v>45959</v>
      </c>
      <c r="B1766" t="s">
        <v>3448</v>
      </c>
      <c r="D1766" t="s">
        <v>3449</v>
      </c>
      <c r="E1766" t="s">
        <v>16</v>
      </c>
      <c r="F1766" t="s">
        <v>17</v>
      </c>
      <c r="G1766" s="14">
        <v>133000</v>
      </c>
      <c r="H1766" s="14">
        <v>115000</v>
      </c>
      <c r="I1766" t="s">
        <v>22</v>
      </c>
      <c r="J1766" t="s">
        <v>22</v>
      </c>
      <c r="K1766" t="s">
        <v>3450</v>
      </c>
      <c r="L1766" t="s">
        <v>1077</v>
      </c>
      <c r="M1766" t="s">
        <v>19</v>
      </c>
      <c r="N1766">
        <v>2</v>
      </c>
      <c r="O1766" t="s">
        <v>103</v>
      </c>
      <c r="P1766" t="s">
        <v>21</v>
      </c>
      <c r="Q1766" t="s">
        <v>30</v>
      </c>
      <c r="R1766" t="str">
        <f>VLOOKUP($O1766,'Mapa Oficinas'!$A$7:$C$46,2,FALSE)</f>
        <v>CABA</v>
      </c>
      <c r="S1766" t="str">
        <f>VLOOKUP($O1766,'Mapa Oficinas'!$A$7:$C$46,3,FALSE)</f>
        <v>Barrio Parque</v>
      </c>
    </row>
    <row r="1767" spans="1:19" x14ac:dyDescent="0.2">
      <c r="A1767" s="1">
        <v>45959</v>
      </c>
      <c r="B1767" t="s">
        <v>3431</v>
      </c>
      <c r="D1767" t="s">
        <v>3432</v>
      </c>
      <c r="E1767" t="s">
        <v>16</v>
      </c>
      <c r="F1767" t="s">
        <v>53</v>
      </c>
      <c r="G1767" s="14">
        <v>165000</v>
      </c>
      <c r="H1767" s="14">
        <v>150000</v>
      </c>
      <c r="I1767" t="s">
        <v>22</v>
      </c>
      <c r="J1767" t="s">
        <v>22</v>
      </c>
      <c r="K1767" t="s">
        <v>3433</v>
      </c>
      <c r="L1767" t="s">
        <v>3434</v>
      </c>
      <c r="M1767" t="s">
        <v>28</v>
      </c>
      <c r="N1767">
        <v>2</v>
      </c>
      <c r="O1767" t="s">
        <v>55</v>
      </c>
      <c r="P1767" t="s">
        <v>41</v>
      </c>
      <c r="Q1767" t="s">
        <v>30</v>
      </c>
      <c r="R1767" t="str">
        <f>VLOOKUP($O1767,'Mapa Oficinas'!$A$7:$C$46,2,FALSE)</f>
        <v>Interior - Santa Fe</v>
      </c>
      <c r="S1767" t="str">
        <f>VLOOKUP($O1767,'Mapa Oficinas'!$A$7:$C$46,3,FALSE)</f>
        <v>Capital Santa Fe</v>
      </c>
    </row>
    <row r="1768" spans="1:19" x14ac:dyDescent="0.2">
      <c r="A1768" s="1">
        <v>45959</v>
      </c>
      <c r="B1768" t="s">
        <v>3435</v>
      </c>
      <c r="D1768" t="s">
        <v>3436</v>
      </c>
      <c r="E1768" t="s">
        <v>16</v>
      </c>
      <c r="F1768" t="s">
        <v>17</v>
      </c>
      <c r="G1768" s="14">
        <v>175000</v>
      </c>
      <c r="H1768" s="14">
        <v>175000</v>
      </c>
      <c r="I1768" t="s">
        <v>22</v>
      </c>
      <c r="J1768" t="s">
        <v>22</v>
      </c>
      <c r="L1768" t="s">
        <v>676</v>
      </c>
      <c r="M1768" t="s">
        <v>28</v>
      </c>
      <c r="N1768">
        <v>1</v>
      </c>
      <c r="O1768" t="s">
        <v>20</v>
      </c>
      <c r="P1768" t="s">
        <v>146</v>
      </c>
      <c r="Q1768" t="s">
        <v>30</v>
      </c>
      <c r="R1768" t="str">
        <f>VLOOKUP($O1768,'Mapa Oficinas'!$A$7:$C$46,2,FALSE)</f>
        <v>CABA</v>
      </c>
      <c r="S1768" t="str">
        <f>VLOOKUP($O1768,'Mapa Oficinas'!$A$7:$C$46,3,FALSE)</f>
        <v>Palermo</v>
      </c>
    </row>
    <row r="1769" spans="1:19" x14ac:dyDescent="0.2">
      <c r="A1769" s="1">
        <v>45959</v>
      </c>
      <c r="B1769">
        <v>10582</v>
      </c>
      <c r="D1769" t="s">
        <v>3451</v>
      </c>
      <c r="E1769" t="s">
        <v>16</v>
      </c>
      <c r="F1769" t="s">
        <v>17</v>
      </c>
      <c r="G1769" s="14">
        <v>400000</v>
      </c>
      <c r="H1769" s="14">
        <v>400000</v>
      </c>
      <c r="I1769" t="s">
        <v>22</v>
      </c>
      <c r="J1769" t="s">
        <v>22</v>
      </c>
      <c r="K1769" t="s">
        <v>3451</v>
      </c>
      <c r="L1769" t="s">
        <v>277</v>
      </c>
      <c r="M1769" t="s">
        <v>19</v>
      </c>
      <c r="N1769">
        <v>1</v>
      </c>
      <c r="O1769" t="s">
        <v>103</v>
      </c>
      <c r="P1769" t="s">
        <v>146</v>
      </c>
      <c r="Q1769" t="s">
        <v>30</v>
      </c>
      <c r="R1769" t="str">
        <f>VLOOKUP($O1769,'Mapa Oficinas'!$A$7:$C$46,2,FALSE)</f>
        <v>CABA</v>
      </c>
      <c r="S1769" t="str">
        <f>VLOOKUP($O1769,'Mapa Oficinas'!$A$7:$C$46,3,FALSE)</f>
        <v>Barrio Parque</v>
      </c>
    </row>
    <row r="1770" spans="1:19" x14ac:dyDescent="0.2">
      <c r="A1770" s="1">
        <v>45959</v>
      </c>
      <c r="B1770" t="s">
        <v>3427</v>
      </c>
      <c r="D1770" t="s">
        <v>3428</v>
      </c>
      <c r="E1770" t="s">
        <v>16</v>
      </c>
      <c r="F1770" t="s">
        <v>17</v>
      </c>
      <c r="G1770" s="14">
        <v>490000</v>
      </c>
      <c r="H1770" s="14">
        <v>480000</v>
      </c>
      <c r="I1770" t="s">
        <v>22</v>
      </c>
      <c r="J1770" t="s">
        <v>22</v>
      </c>
      <c r="K1770" t="s">
        <v>3429</v>
      </c>
      <c r="L1770" t="s">
        <v>3430</v>
      </c>
      <c r="M1770" t="s">
        <v>28</v>
      </c>
      <c r="N1770">
        <v>1</v>
      </c>
      <c r="O1770" t="s">
        <v>35</v>
      </c>
      <c r="P1770" t="s">
        <v>131</v>
      </c>
      <c r="Q1770" t="s">
        <v>30</v>
      </c>
      <c r="R1770" t="str">
        <f>VLOOKUP($O1770,'Mapa Oficinas'!$A$7:$C$46,2,FALSE)</f>
        <v>Zona Norte (GBA)</v>
      </c>
      <c r="S1770" t="str">
        <f>VLOOKUP($O1770,'Mapa Oficinas'!$A$7:$C$46,3,FALSE)</f>
        <v>Vicente López</v>
      </c>
    </row>
    <row r="1771" spans="1:19" x14ac:dyDescent="0.2">
      <c r="A1771" s="1">
        <v>45960</v>
      </c>
      <c r="B1771" t="s">
        <v>3417</v>
      </c>
      <c r="D1771" t="s">
        <v>3418</v>
      </c>
      <c r="E1771" t="s">
        <v>16</v>
      </c>
      <c r="F1771" t="s">
        <v>17</v>
      </c>
      <c r="G1771" s="14">
        <v>110000</v>
      </c>
      <c r="H1771" s="14">
        <v>100000</v>
      </c>
      <c r="I1771" t="s">
        <v>22</v>
      </c>
      <c r="J1771" t="s">
        <v>22</v>
      </c>
      <c r="K1771" t="s">
        <v>3419</v>
      </c>
      <c r="L1771" t="s">
        <v>1651</v>
      </c>
      <c r="M1771" t="s">
        <v>72</v>
      </c>
      <c r="N1771">
        <v>2</v>
      </c>
      <c r="O1771" t="s">
        <v>151</v>
      </c>
      <c r="P1771" t="s">
        <v>21</v>
      </c>
      <c r="Q1771" t="s">
        <v>30</v>
      </c>
      <c r="R1771" t="str">
        <f>VLOOKUP($O1771,'Mapa Oficinas'!$A$7:$C$46,2,FALSE)</f>
        <v>Interior - Neuquén</v>
      </c>
      <c r="S1771" t="str">
        <f>VLOOKUP($O1771,'Mapa Oficinas'!$A$7:$C$46,3,FALSE)</f>
        <v>Capital Neuquén</v>
      </c>
    </row>
    <row r="1772" spans="1:19" x14ac:dyDescent="0.2">
      <c r="A1772" s="1">
        <v>45960</v>
      </c>
      <c r="B1772" t="s">
        <v>3423</v>
      </c>
      <c r="D1772" t="s">
        <v>3424</v>
      </c>
      <c r="E1772" t="s">
        <v>16</v>
      </c>
      <c r="F1772" t="s">
        <v>17</v>
      </c>
      <c r="G1772" s="14">
        <v>128000</v>
      </c>
      <c r="H1772" s="14">
        <v>125000</v>
      </c>
      <c r="I1772" t="s">
        <v>22</v>
      </c>
      <c r="J1772" t="s">
        <v>22</v>
      </c>
      <c r="K1772" t="s">
        <v>3425</v>
      </c>
      <c r="L1772" t="s">
        <v>1064</v>
      </c>
      <c r="M1772" t="s">
        <v>72</v>
      </c>
      <c r="N1772">
        <v>2</v>
      </c>
      <c r="O1772" t="s">
        <v>20</v>
      </c>
      <c r="P1772" t="s">
        <v>21</v>
      </c>
      <c r="Q1772" t="s">
        <v>30</v>
      </c>
      <c r="R1772" t="str">
        <f>VLOOKUP($O1772,'Mapa Oficinas'!$A$7:$C$46,2,FALSE)</f>
        <v>CABA</v>
      </c>
      <c r="S1772" t="str">
        <f>VLOOKUP($O1772,'Mapa Oficinas'!$A$7:$C$46,3,FALSE)</f>
        <v>Palermo</v>
      </c>
    </row>
    <row r="1773" spans="1:19" x14ac:dyDescent="0.2">
      <c r="A1773" s="1">
        <v>45960</v>
      </c>
      <c r="B1773" t="s">
        <v>3405</v>
      </c>
      <c r="D1773" t="s">
        <v>3406</v>
      </c>
      <c r="E1773" t="s">
        <v>16</v>
      </c>
      <c r="F1773" t="s">
        <v>17</v>
      </c>
      <c r="G1773" s="14">
        <v>160000</v>
      </c>
      <c r="H1773" s="14">
        <v>188500</v>
      </c>
      <c r="I1773" t="s">
        <v>22</v>
      </c>
      <c r="J1773" t="s">
        <v>22</v>
      </c>
      <c r="K1773" t="s">
        <v>3407</v>
      </c>
      <c r="L1773" t="s">
        <v>189</v>
      </c>
      <c r="M1773" t="s">
        <v>19</v>
      </c>
      <c r="N1773">
        <v>2</v>
      </c>
      <c r="O1773" t="s">
        <v>151</v>
      </c>
      <c r="P1773" t="s">
        <v>21</v>
      </c>
      <c r="Q1773" t="s">
        <v>30</v>
      </c>
      <c r="R1773" t="str">
        <f>VLOOKUP($O1773,'Mapa Oficinas'!$A$7:$C$46,2,FALSE)</f>
        <v>Interior - Neuquén</v>
      </c>
      <c r="S1773" t="str">
        <f>VLOOKUP($O1773,'Mapa Oficinas'!$A$7:$C$46,3,FALSE)</f>
        <v>Capital Neuquén</v>
      </c>
    </row>
    <row r="1774" spans="1:19" x14ac:dyDescent="0.2">
      <c r="A1774" s="1">
        <v>45960</v>
      </c>
      <c r="B1774" t="s">
        <v>3408</v>
      </c>
      <c r="D1774" t="s">
        <v>3409</v>
      </c>
      <c r="E1774" t="s">
        <v>16</v>
      </c>
      <c r="F1774" t="s">
        <v>47</v>
      </c>
      <c r="G1774" s="14">
        <v>210000</v>
      </c>
      <c r="H1774" s="14">
        <v>208000</v>
      </c>
      <c r="I1774" t="s">
        <v>22</v>
      </c>
      <c r="J1774" t="s">
        <v>22</v>
      </c>
      <c r="K1774" t="s">
        <v>3410</v>
      </c>
      <c r="L1774" t="s">
        <v>155</v>
      </c>
      <c r="M1774" t="s">
        <v>28</v>
      </c>
      <c r="N1774">
        <v>1</v>
      </c>
      <c r="O1774" t="s">
        <v>142</v>
      </c>
      <c r="P1774" t="s">
        <v>146</v>
      </c>
      <c r="Q1774" t="s">
        <v>30</v>
      </c>
      <c r="R1774" t="str">
        <f>VLOOKUP($O1774,'Mapa Oficinas'!$A$7:$C$46,2,FALSE)</f>
        <v>Zona Norte (GBA)</v>
      </c>
      <c r="S1774" t="str">
        <f>VLOOKUP($O1774,'Mapa Oficinas'!$A$7:$C$46,3,FALSE)</f>
        <v>Nordelta</v>
      </c>
    </row>
    <row r="1775" spans="1:19" x14ac:dyDescent="0.2">
      <c r="A1775" s="1">
        <v>45960</v>
      </c>
      <c r="B1775" t="s">
        <v>3420</v>
      </c>
      <c r="D1775" t="s">
        <v>3421</v>
      </c>
      <c r="E1775" t="s">
        <v>16</v>
      </c>
      <c r="F1775" t="s">
        <v>17</v>
      </c>
      <c r="G1775" s="14">
        <v>269000</v>
      </c>
      <c r="H1775" s="14">
        <v>265000</v>
      </c>
      <c r="I1775" t="s">
        <v>22</v>
      </c>
      <c r="J1775" t="s">
        <v>22</v>
      </c>
      <c r="K1775" t="s">
        <v>3422</v>
      </c>
      <c r="L1775" t="s">
        <v>398</v>
      </c>
      <c r="M1775" t="s">
        <v>28</v>
      </c>
      <c r="N1775">
        <v>2</v>
      </c>
      <c r="O1775" t="s">
        <v>103</v>
      </c>
      <c r="P1775" t="s">
        <v>276</v>
      </c>
      <c r="Q1775" t="s">
        <v>30</v>
      </c>
      <c r="R1775" t="str">
        <f>VLOOKUP($O1775,'Mapa Oficinas'!$A$7:$C$46,2,FALSE)</f>
        <v>CABA</v>
      </c>
      <c r="S1775" t="str">
        <f>VLOOKUP($O1775,'Mapa Oficinas'!$A$7:$C$46,3,FALSE)</f>
        <v>Barrio Parque</v>
      </c>
    </row>
    <row r="1776" spans="1:19" x14ac:dyDescent="0.2">
      <c r="A1776" s="1">
        <v>45960</v>
      </c>
      <c r="B1776" t="s">
        <v>3414</v>
      </c>
      <c r="D1776" t="s">
        <v>3415</v>
      </c>
      <c r="E1776" t="s">
        <v>16</v>
      </c>
      <c r="F1776" t="s">
        <v>17</v>
      </c>
      <c r="G1776" s="14">
        <v>430000</v>
      </c>
      <c r="H1776" s="14">
        <v>400000</v>
      </c>
      <c r="I1776" t="s">
        <v>22</v>
      </c>
      <c r="J1776" t="s">
        <v>22</v>
      </c>
      <c r="K1776" t="s">
        <v>3416</v>
      </c>
      <c r="L1776" t="s">
        <v>1353</v>
      </c>
      <c r="M1776" t="s">
        <v>97</v>
      </c>
      <c r="N1776">
        <v>2</v>
      </c>
      <c r="O1776" t="s">
        <v>151</v>
      </c>
      <c r="P1776" t="s">
        <v>41</v>
      </c>
      <c r="Q1776" t="s">
        <v>30</v>
      </c>
      <c r="R1776" t="str">
        <f>VLOOKUP($O1776,'Mapa Oficinas'!$A$7:$C$46,2,FALSE)</f>
        <v>Interior - Neuquén</v>
      </c>
      <c r="S1776" t="str">
        <f>VLOOKUP($O1776,'Mapa Oficinas'!$A$7:$C$46,3,FALSE)</f>
        <v>Capital Neuquén</v>
      </c>
    </row>
    <row r="1777" spans="1:19" x14ac:dyDescent="0.2">
      <c r="A1777" s="1">
        <v>45960</v>
      </c>
      <c r="B1777" t="s">
        <v>3411</v>
      </c>
      <c r="D1777" t="s">
        <v>3412</v>
      </c>
      <c r="E1777" t="s">
        <v>16</v>
      </c>
      <c r="F1777" t="s">
        <v>17</v>
      </c>
      <c r="G1777" s="14">
        <v>490000</v>
      </c>
      <c r="H1777" s="14">
        <v>465000</v>
      </c>
      <c r="I1777" t="s">
        <v>22</v>
      </c>
      <c r="J1777" t="s">
        <v>22</v>
      </c>
      <c r="K1777" t="s">
        <v>3413</v>
      </c>
      <c r="L1777" t="s">
        <v>867</v>
      </c>
      <c r="M1777" t="s">
        <v>19</v>
      </c>
      <c r="N1777">
        <v>1</v>
      </c>
      <c r="O1777" t="s">
        <v>142</v>
      </c>
      <c r="P1777" t="s">
        <v>146</v>
      </c>
      <c r="Q1777" t="s">
        <v>30</v>
      </c>
      <c r="R1777" t="str">
        <f>VLOOKUP($O1777,'Mapa Oficinas'!$A$7:$C$46,2,FALSE)</f>
        <v>Zona Norte (GBA)</v>
      </c>
      <c r="S1777" t="str">
        <f>VLOOKUP($O1777,'Mapa Oficinas'!$A$7:$C$46,3,FALSE)</f>
        <v>Nordelta</v>
      </c>
    </row>
    <row r="1778" spans="1:19" x14ac:dyDescent="0.2">
      <c r="A1778" s="1">
        <v>45961</v>
      </c>
      <c r="B1778" t="s">
        <v>3394</v>
      </c>
      <c r="D1778" t="s">
        <v>3395</v>
      </c>
      <c r="E1778" t="s">
        <v>16</v>
      </c>
      <c r="F1778" t="s">
        <v>17</v>
      </c>
      <c r="G1778" s="14">
        <v>67000</v>
      </c>
      <c r="H1778" s="14">
        <v>63000</v>
      </c>
      <c r="I1778" t="s">
        <v>22</v>
      </c>
      <c r="J1778" t="s">
        <v>22</v>
      </c>
      <c r="K1778">
        <v>1801</v>
      </c>
      <c r="L1778" t="s">
        <v>478</v>
      </c>
      <c r="M1778" t="s">
        <v>300</v>
      </c>
      <c r="N1778">
        <v>1</v>
      </c>
      <c r="O1778" t="s">
        <v>55</v>
      </c>
      <c r="P1778" t="s">
        <v>131</v>
      </c>
      <c r="Q1778" t="s">
        <v>30</v>
      </c>
      <c r="R1778" t="str">
        <f>VLOOKUP($O1778,'Mapa Oficinas'!$A$7:$C$46,2,FALSE)</f>
        <v>Interior - Santa Fe</v>
      </c>
      <c r="S1778" t="str">
        <f>VLOOKUP($O1778,'Mapa Oficinas'!$A$7:$C$46,3,FALSE)</f>
        <v>Capital Santa Fe</v>
      </c>
    </row>
    <row r="1779" spans="1:19" x14ac:dyDescent="0.2">
      <c r="A1779" s="1">
        <v>45961</v>
      </c>
      <c r="B1779" t="s">
        <v>3383</v>
      </c>
      <c r="D1779" t="s">
        <v>3384</v>
      </c>
      <c r="E1779" t="s">
        <v>16</v>
      </c>
      <c r="F1779" t="s">
        <v>38</v>
      </c>
      <c r="G1779" s="14">
        <v>68000</v>
      </c>
      <c r="H1779" s="14">
        <v>67500</v>
      </c>
      <c r="I1779" t="s">
        <v>22</v>
      </c>
      <c r="J1779" t="s">
        <v>22</v>
      </c>
      <c r="K1779" t="s">
        <v>3385</v>
      </c>
      <c r="L1779" t="s">
        <v>658</v>
      </c>
      <c r="M1779" t="s">
        <v>19</v>
      </c>
      <c r="N1779">
        <v>2</v>
      </c>
      <c r="O1779" t="s">
        <v>246</v>
      </c>
      <c r="P1779" t="s">
        <v>41</v>
      </c>
      <c r="Q1779" t="s">
        <v>30</v>
      </c>
      <c r="R1779" t="str">
        <f>VLOOKUP($O1779,'Mapa Oficinas'!$A$7:$C$46,2,FALSE)</f>
        <v>Interior - Salta</v>
      </c>
      <c r="S1779" t="str">
        <f>VLOOKUP($O1779,'Mapa Oficinas'!$A$7:$C$46,3,FALSE)</f>
        <v>San Lorenzo Chico</v>
      </c>
    </row>
    <row r="1780" spans="1:19" x14ac:dyDescent="0.2">
      <c r="A1780" s="1">
        <v>45961</v>
      </c>
      <c r="B1780" t="s">
        <v>3396</v>
      </c>
      <c r="D1780" t="s">
        <v>3397</v>
      </c>
      <c r="E1780" t="s">
        <v>16</v>
      </c>
      <c r="F1780" t="s">
        <v>17</v>
      </c>
      <c r="G1780" s="14">
        <v>58900</v>
      </c>
      <c r="H1780" s="14">
        <v>76000</v>
      </c>
      <c r="I1780" t="s">
        <v>22</v>
      </c>
      <c r="J1780" t="s">
        <v>22</v>
      </c>
      <c r="K1780" t="s">
        <v>3398</v>
      </c>
      <c r="L1780" t="s">
        <v>1004</v>
      </c>
      <c r="M1780" t="s">
        <v>19</v>
      </c>
      <c r="N1780">
        <v>2</v>
      </c>
      <c r="O1780" t="s">
        <v>50</v>
      </c>
      <c r="P1780" t="s">
        <v>21</v>
      </c>
      <c r="Q1780" t="s">
        <v>30</v>
      </c>
      <c r="R1780" t="str">
        <f>VLOOKUP($O1780,'Mapa Oficinas'!$A$7:$C$46,2,FALSE)</f>
        <v>CABA</v>
      </c>
      <c r="S1780" t="str">
        <f>VLOOKUP($O1780,'Mapa Oficinas'!$A$7:$C$46,3,FALSE)</f>
        <v>Villa Urquiza</v>
      </c>
    </row>
    <row r="1781" spans="1:19" x14ac:dyDescent="0.2">
      <c r="A1781" s="1">
        <v>45961</v>
      </c>
      <c r="B1781" t="s">
        <v>3402</v>
      </c>
      <c r="D1781" t="s">
        <v>3403</v>
      </c>
      <c r="E1781" t="s">
        <v>16</v>
      </c>
      <c r="F1781" t="s">
        <v>17</v>
      </c>
      <c r="G1781" s="14">
        <v>89900</v>
      </c>
      <c r="H1781" s="14">
        <v>84000</v>
      </c>
      <c r="I1781" t="s">
        <v>22</v>
      </c>
      <c r="J1781" t="s">
        <v>22</v>
      </c>
      <c r="K1781" t="s">
        <v>3404</v>
      </c>
      <c r="L1781" t="s">
        <v>503</v>
      </c>
      <c r="M1781" t="s">
        <v>19</v>
      </c>
      <c r="N1781">
        <v>2</v>
      </c>
      <c r="O1781" t="s">
        <v>20</v>
      </c>
      <c r="P1781" t="s">
        <v>21</v>
      </c>
      <c r="Q1781" t="s">
        <v>30</v>
      </c>
      <c r="R1781" t="str">
        <f>VLOOKUP($O1781,'Mapa Oficinas'!$A$7:$C$46,2,FALSE)</f>
        <v>CABA</v>
      </c>
      <c r="S1781" t="str">
        <f>VLOOKUP($O1781,'Mapa Oficinas'!$A$7:$C$46,3,FALSE)</f>
        <v>Palermo</v>
      </c>
    </row>
    <row r="1782" spans="1:19" x14ac:dyDescent="0.2">
      <c r="A1782" s="1">
        <v>45961</v>
      </c>
      <c r="B1782" t="s">
        <v>3386</v>
      </c>
      <c r="D1782" t="s">
        <v>3387</v>
      </c>
      <c r="E1782" t="s">
        <v>16</v>
      </c>
      <c r="F1782" t="s">
        <v>243</v>
      </c>
      <c r="G1782" s="14">
        <v>118000</v>
      </c>
      <c r="H1782" s="14">
        <v>118000</v>
      </c>
      <c r="I1782" t="s">
        <v>22</v>
      </c>
      <c r="J1782" t="s">
        <v>18</v>
      </c>
      <c r="K1782" t="s">
        <v>3388</v>
      </c>
      <c r="L1782" t="s">
        <v>3389</v>
      </c>
      <c r="M1782" t="s">
        <v>28</v>
      </c>
      <c r="N1782">
        <v>2</v>
      </c>
      <c r="O1782" t="s">
        <v>246</v>
      </c>
      <c r="P1782" t="s">
        <v>21</v>
      </c>
      <c r="Q1782" t="s">
        <v>30</v>
      </c>
      <c r="R1782" t="str">
        <f>VLOOKUP($O1782,'Mapa Oficinas'!$A$7:$C$46,2,FALSE)</f>
        <v>Interior - Salta</v>
      </c>
      <c r="S1782" t="str">
        <f>VLOOKUP($O1782,'Mapa Oficinas'!$A$7:$C$46,3,FALSE)</f>
        <v>San Lorenzo Chico</v>
      </c>
    </row>
    <row r="1783" spans="1:19" x14ac:dyDescent="0.2">
      <c r="A1783" s="1">
        <v>45961</v>
      </c>
      <c r="B1783" t="s">
        <v>3390</v>
      </c>
      <c r="D1783" t="s">
        <v>3391</v>
      </c>
      <c r="E1783" t="s">
        <v>16</v>
      </c>
      <c r="F1783" t="s">
        <v>17</v>
      </c>
      <c r="G1783" s="14">
        <v>140000</v>
      </c>
      <c r="H1783" s="14">
        <v>140000</v>
      </c>
      <c r="I1783" t="s">
        <v>22</v>
      </c>
      <c r="J1783" t="s">
        <v>22</v>
      </c>
      <c r="K1783" t="s">
        <v>3392</v>
      </c>
      <c r="L1783" t="s">
        <v>191</v>
      </c>
      <c r="M1783" t="s">
        <v>19</v>
      </c>
      <c r="N1783">
        <v>1</v>
      </c>
      <c r="O1783" t="s">
        <v>73</v>
      </c>
      <c r="P1783" t="s">
        <v>146</v>
      </c>
      <c r="Q1783" t="s">
        <v>30</v>
      </c>
      <c r="R1783" t="str">
        <f>VLOOKUP($O1783,'Mapa Oficinas'!$A$7:$C$46,2,FALSE)</f>
        <v>CABA</v>
      </c>
      <c r="S1783" t="str">
        <f>VLOOKUP($O1783,'Mapa Oficinas'!$A$7:$C$46,3,FALSE)</f>
        <v>Recoleta</v>
      </c>
    </row>
    <row r="1784" spans="1:19" x14ac:dyDescent="0.2">
      <c r="A1784" s="1">
        <v>45961</v>
      </c>
      <c r="B1784" t="s">
        <v>3382</v>
      </c>
      <c r="D1784" t="s">
        <v>3382</v>
      </c>
      <c r="E1784" t="s">
        <v>16</v>
      </c>
      <c r="F1784" t="s">
        <v>58</v>
      </c>
      <c r="G1784" s="14">
        <v>145000</v>
      </c>
      <c r="H1784" s="14">
        <v>145000</v>
      </c>
      <c r="I1784" t="s">
        <v>22</v>
      </c>
      <c r="J1784" t="s">
        <v>22</v>
      </c>
      <c r="K1784" t="s">
        <v>3382</v>
      </c>
      <c r="L1784" t="s">
        <v>330</v>
      </c>
      <c r="M1784" t="s">
        <v>19</v>
      </c>
      <c r="N1784">
        <v>1</v>
      </c>
      <c r="O1784" t="s">
        <v>35</v>
      </c>
      <c r="P1784" t="s">
        <v>131</v>
      </c>
      <c r="Q1784" t="s">
        <v>30</v>
      </c>
      <c r="R1784" t="str">
        <f>VLOOKUP($O1784,'Mapa Oficinas'!$A$7:$C$46,2,FALSE)</f>
        <v>Zona Norte (GBA)</v>
      </c>
      <c r="S1784" t="str">
        <f>VLOOKUP($O1784,'Mapa Oficinas'!$A$7:$C$46,3,FALSE)</f>
        <v>Vicente López</v>
      </c>
    </row>
    <row r="1785" spans="1:19" x14ac:dyDescent="0.2">
      <c r="A1785" s="1">
        <v>45961</v>
      </c>
      <c r="B1785" t="s">
        <v>3399</v>
      </c>
      <c r="D1785" t="s">
        <v>3400</v>
      </c>
      <c r="E1785" t="s">
        <v>16</v>
      </c>
      <c r="F1785" t="s">
        <v>82</v>
      </c>
      <c r="G1785" s="14">
        <v>190000</v>
      </c>
      <c r="H1785" s="14">
        <v>180000</v>
      </c>
      <c r="I1785" t="s">
        <v>22</v>
      </c>
      <c r="J1785" t="s">
        <v>22</v>
      </c>
      <c r="K1785" t="s">
        <v>3401</v>
      </c>
      <c r="L1785" t="s">
        <v>54</v>
      </c>
      <c r="M1785" t="s">
        <v>19</v>
      </c>
      <c r="N1785">
        <v>1</v>
      </c>
      <c r="O1785" t="s">
        <v>55</v>
      </c>
      <c r="P1785" t="s">
        <v>131</v>
      </c>
      <c r="Q1785" t="s">
        <v>30</v>
      </c>
      <c r="R1785" t="str">
        <f>VLOOKUP($O1785,'Mapa Oficinas'!$A$7:$C$46,2,FALSE)</f>
        <v>Interior - Santa Fe</v>
      </c>
      <c r="S1785" t="str">
        <f>VLOOKUP($O1785,'Mapa Oficinas'!$A$7:$C$46,3,FALSE)</f>
        <v>Capital Santa Fe</v>
      </c>
    </row>
    <row r="1786" spans="1:19" x14ac:dyDescent="0.2">
      <c r="A1786" s="1">
        <v>45964</v>
      </c>
      <c r="B1786">
        <v>3112025</v>
      </c>
      <c r="D1786" t="s">
        <v>3378</v>
      </c>
      <c r="E1786" t="s">
        <v>16</v>
      </c>
      <c r="F1786" t="s">
        <v>134</v>
      </c>
      <c r="G1786" s="14">
        <v>46000</v>
      </c>
      <c r="H1786" s="14">
        <v>46000</v>
      </c>
      <c r="I1786" t="s">
        <v>22</v>
      </c>
      <c r="J1786" t="s">
        <v>22</v>
      </c>
      <c r="L1786" t="s">
        <v>129</v>
      </c>
      <c r="M1786" t="s">
        <v>97</v>
      </c>
      <c r="N1786">
        <v>1</v>
      </c>
      <c r="O1786" t="s">
        <v>130</v>
      </c>
      <c r="P1786" t="s">
        <v>131</v>
      </c>
      <c r="Q1786" t="s">
        <v>30</v>
      </c>
      <c r="R1786" t="str">
        <f>VLOOKUP($O1786,'Mapa Oficinas'!$A$7:$C$46,2,FALSE)</f>
        <v>Interior - Río Negro</v>
      </c>
      <c r="S1786" t="str">
        <f>VLOOKUP($O1786,'Mapa Oficinas'!$A$7:$C$46,3,FALSE)</f>
        <v>Bariloche</v>
      </c>
    </row>
    <row r="1787" spans="1:19" x14ac:dyDescent="0.2">
      <c r="A1787" s="1">
        <v>45964</v>
      </c>
      <c r="B1787" t="s">
        <v>3375</v>
      </c>
      <c r="D1787" t="s">
        <v>3376</v>
      </c>
      <c r="E1787" t="s">
        <v>16</v>
      </c>
      <c r="F1787" t="s">
        <v>82</v>
      </c>
      <c r="G1787" s="14">
        <v>160000</v>
      </c>
      <c r="H1787" s="14">
        <v>150000</v>
      </c>
      <c r="I1787" t="s">
        <v>22</v>
      </c>
      <c r="J1787" t="s">
        <v>22</v>
      </c>
      <c r="K1787" t="s">
        <v>3377</v>
      </c>
      <c r="L1787" t="s">
        <v>54</v>
      </c>
      <c r="M1787" t="s">
        <v>19</v>
      </c>
      <c r="N1787">
        <v>1</v>
      </c>
      <c r="O1787" t="s">
        <v>55</v>
      </c>
      <c r="P1787" t="s">
        <v>131</v>
      </c>
      <c r="Q1787" t="s">
        <v>30</v>
      </c>
      <c r="R1787" t="str">
        <f>VLOOKUP($O1787,'Mapa Oficinas'!$A$7:$C$46,2,FALSE)</f>
        <v>Interior - Santa Fe</v>
      </c>
      <c r="S1787" t="str">
        <f>VLOOKUP($O1787,'Mapa Oficinas'!$A$7:$C$46,3,FALSE)</f>
        <v>Capital Santa Fe</v>
      </c>
    </row>
    <row r="1788" spans="1:19" x14ac:dyDescent="0.2">
      <c r="A1788" s="1">
        <v>45965</v>
      </c>
      <c r="B1788" t="s">
        <v>3353</v>
      </c>
      <c r="D1788" t="s">
        <v>3354</v>
      </c>
      <c r="E1788" t="s">
        <v>16</v>
      </c>
      <c r="F1788" t="s">
        <v>38</v>
      </c>
      <c r="G1788" s="14">
        <v>55000</v>
      </c>
      <c r="H1788" s="14">
        <v>52000</v>
      </c>
      <c r="I1788" t="s">
        <v>22</v>
      </c>
      <c r="J1788" t="s">
        <v>22</v>
      </c>
      <c r="K1788" t="s">
        <v>3355</v>
      </c>
      <c r="L1788" t="s">
        <v>3356</v>
      </c>
      <c r="M1788" t="s">
        <v>28</v>
      </c>
      <c r="N1788">
        <v>1</v>
      </c>
      <c r="O1788" t="s">
        <v>55</v>
      </c>
      <c r="P1788" t="s">
        <v>131</v>
      </c>
      <c r="Q1788" t="s">
        <v>30</v>
      </c>
      <c r="R1788" t="str">
        <f>VLOOKUP($O1788,'Mapa Oficinas'!$A$7:$C$46,2,FALSE)</f>
        <v>Interior - Santa Fe</v>
      </c>
      <c r="S1788" t="str">
        <f>VLOOKUP($O1788,'Mapa Oficinas'!$A$7:$C$46,3,FALSE)</f>
        <v>Capital Santa Fe</v>
      </c>
    </row>
    <row r="1789" spans="1:19" x14ac:dyDescent="0.2">
      <c r="A1789" s="1">
        <v>45965</v>
      </c>
      <c r="B1789" t="s">
        <v>3373</v>
      </c>
      <c r="D1789" t="s">
        <v>3374</v>
      </c>
      <c r="E1789" t="s">
        <v>16</v>
      </c>
      <c r="F1789" t="s">
        <v>17</v>
      </c>
      <c r="G1789" s="14">
        <v>54000</v>
      </c>
      <c r="H1789" s="14">
        <v>54000</v>
      </c>
      <c r="I1789" t="s">
        <v>22</v>
      </c>
      <c r="J1789" t="s">
        <v>22</v>
      </c>
      <c r="K1789" t="s">
        <v>2662</v>
      </c>
      <c r="L1789" t="s">
        <v>2663</v>
      </c>
      <c r="M1789" t="s">
        <v>19</v>
      </c>
      <c r="N1789">
        <v>2</v>
      </c>
      <c r="O1789" t="s">
        <v>73</v>
      </c>
      <c r="P1789" t="s">
        <v>36</v>
      </c>
      <c r="Q1789" t="s">
        <v>30</v>
      </c>
      <c r="R1789" t="str">
        <f>VLOOKUP($O1789,'Mapa Oficinas'!$A$7:$C$46,2,FALSE)</f>
        <v>CABA</v>
      </c>
      <c r="S1789" t="str">
        <f>VLOOKUP($O1789,'Mapa Oficinas'!$A$7:$C$46,3,FALSE)</f>
        <v>Recoleta</v>
      </c>
    </row>
    <row r="1790" spans="1:19" x14ac:dyDescent="0.2">
      <c r="A1790" s="1">
        <v>45965</v>
      </c>
      <c r="D1790" t="s">
        <v>3362</v>
      </c>
      <c r="E1790" t="s">
        <v>16</v>
      </c>
      <c r="F1790" t="s">
        <v>17</v>
      </c>
      <c r="G1790" s="14">
        <v>95000</v>
      </c>
      <c r="H1790" s="14">
        <v>95000</v>
      </c>
      <c r="I1790" t="s">
        <v>22</v>
      </c>
      <c r="J1790" t="s">
        <v>22</v>
      </c>
      <c r="K1790" t="s">
        <v>3363</v>
      </c>
      <c r="L1790" t="s">
        <v>3364</v>
      </c>
      <c r="M1790" t="s">
        <v>19</v>
      </c>
      <c r="N1790">
        <v>1</v>
      </c>
      <c r="O1790" t="s">
        <v>223</v>
      </c>
      <c r="P1790" t="s">
        <v>146</v>
      </c>
      <c r="Q1790" t="s">
        <v>30</v>
      </c>
      <c r="R1790" t="str">
        <f>VLOOKUP($O1790,'Mapa Oficinas'!$A$7:$C$46,2,FALSE)</f>
        <v>Zona Norte (GBA)</v>
      </c>
      <c r="S1790" t="str">
        <f>VLOOKUP($O1790,'Mapa Oficinas'!$A$7:$C$46,3,FALSE)</f>
        <v>San Isidro</v>
      </c>
    </row>
    <row r="1791" spans="1:19" x14ac:dyDescent="0.2">
      <c r="A1791" s="1">
        <v>45965</v>
      </c>
      <c r="B1791">
        <v>4112025</v>
      </c>
      <c r="D1791" t="s">
        <v>3357</v>
      </c>
      <c r="E1791" t="s">
        <v>16</v>
      </c>
      <c r="F1791" t="s">
        <v>134</v>
      </c>
      <c r="G1791" s="14">
        <v>110000</v>
      </c>
      <c r="H1791" s="14">
        <v>110000</v>
      </c>
      <c r="I1791" t="s">
        <v>22</v>
      </c>
      <c r="J1791" t="s">
        <v>22</v>
      </c>
      <c r="K1791" t="s">
        <v>3357</v>
      </c>
      <c r="L1791" t="s">
        <v>129</v>
      </c>
      <c r="M1791" t="s">
        <v>19</v>
      </c>
      <c r="N1791">
        <v>1</v>
      </c>
      <c r="O1791" t="s">
        <v>130</v>
      </c>
      <c r="P1791" t="s">
        <v>131</v>
      </c>
      <c r="Q1791" t="s">
        <v>30</v>
      </c>
      <c r="R1791" t="str">
        <f>VLOOKUP($O1791,'Mapa Oficinas'!$A$7:$C$46,2,FALSE)</f>
        <v>Interior - Río Negro</v>
      </c>
      <c r="S1791" t="str">
        <f>VLOOKUP($O1791,'Mapa Oficinas'!$A$7:$C$46,3,FALSE)</f>
        <v>Bariloche</v>
      </c>
    </row>
    <row r="1792" spans="1:19" x14ac:dyDescent="0.2">
      <c r="A1792" s="1">
        <v>45965</v>
      </c>
      <c r="B1792" t="s">
        <v>3368</v>
      </c>
      <c r="D1792" t="s">
        <v>3369</v>
      </c>
      <c r="E1792" t="s">
        <v>16</v>
      </c>
      <c r="F1792" t="s">
        <v>17</v>
      </c>
      <c r="G1792" s="14">
        <v>635000</v>
      </c>
      <c r="H1792" s="14">
        <v>635000</v>
      </c>
      <c r="I1792" t="s">
        <v>22</v>
      </c>
      <c r="J1792" t="s">
        <v>22</v>
      </c>
      <c r="K1792" t="s">
        <v>3369</v>
      </c>
      <c r="L1792" t="s">
        <v>107</v>
      </c>
      <c r="M1792" t="s">
        <v>19</v>
      </c>
      <c r="N1792">
        <v>1</v>
      </c>
      <c r="O1792" t="s">
        <v>20</v>
      </c>
      <c r="P1792" t="s">
        <v>146</v>
      </c>
      <c r="Q1792" t="s">
        <v>30</v>
      </c>
      <c r="R1792" t="str">
        <f>VLOOKUP($O1792,'Mapa Oficinas'!$A$7:$C$46,2,FALSE)</f>
        <v>CABA</v>
      </c>
      <c r="S1792" t="str">
        <f>VLOOKUP($O1792,'Mapa Oficinas'!$A$7:$C$46,3,FALSE)</f>
        <v>Palermo</v>
      </c>
    </row>
    <row r="1793" spans="1:19" x14ac:dyDescent="0.2">
      <c r="A1793" s="1">
        <v>45965</v>
      </c>
      <c r="B1793" t="s">
        <v>3365</v>
      </c>
      <c r="D1793" t="s">
        <v>3366</v>
      </c>
      <c r="E1793" t="s">
        <v>16</v>
      </c>
      <c r="F1793" t="s">
        <v>17</v>
      </c>
      <c r="G1793" s="14">
        <v>870000</v>
      </c>
      <c r="H1793" s="14">
        <v>795000</v>
      </c>
      <c r="I1793" t="s">
        <v>22</v>
      </c>
      <c r="J1793" t="s">
        <v>22</v>
      </c>
      <c r="K1793" t="s">
        <v>3367</v>
      </c>
      <c r="L1793" t="s">
        <v>107</v>
      </c>
      <c r="M1793" t="s">
        <v>28</v>
      </c>
      <c r="N1793">
        <v>2</v>
      </c>
      <c r="O1793" t="s">
        <v>20</v>
      </c>
      <c r="P1793" t="s">
        <v>276</v>
      </c>
      <c r="Q1793" t="s">
        <v>30</v>
      </c>
      <c r="R1793" t="str">
        <f>VLOOKUP($O1793,'Mapa Oficinas'!$A$7:$C$46,2,FALSE)</f>
        <v>CABA</v>
      </c>
      <c r="S1793" t="str">
        <f>VLOOKUP($O1793,'Mapa Oficinas'!$A$7:$C$46,3,FALSE)</f>
        <v>Palermo</v>
      </c>
    </row>
    <row r="1794" spans="1:19" x14ac:dyDescent="0.2">
      <c r="A1794" s="1">
        <v>45966</v>
      </c>
      <c r="B1794" t="s">
        <v>3335</v>
      </c>
      <c r="D1794" t="s">
        <v>3336</v>
      </c>
      <c r="E1794" t="s">
        <v>16</v>
      </c>
      <c r="F1794" t="s">
        <v>47</v>
      </c>
      <c r="G1794" s="14">
        <v>72000</v>
      </c>
      <c r="H1794" s="14">
        <v>71000</v>
      </c>
      <c r="I1794" t="s">
        <v>22</v>
      </c>
      <c r="J1794" t="s">
        <v>22</v>
      </c>
      <c r="K1794" t="s">
        <v>3337</v>
      </c>
      <c r="L1794" t="s">
        <v>164</v>
      </c>
      <c r="M1794" t="s">
        <v>19</v>
      </c>
      <c r="N1794">
        <v>2</v>
      </c>
      <c r="O1794" t="s">
        <v>50</v>
      </c>
      <c r="P1794" t="s">
        <v>21</v>
      </c>
      <c r="Q1794" t="s">
        <v>30</v>
      </c>
      <c r="R1794" t="str">
        <f>VLOOKUP($O1794,'Mapa Oficinas'!$A$7:$C$46,2,FALSE)</f>
        <v>CABA</v>
      </c>
      <c r="S1794" t="str">
        <f>VLOOKUP($O1794,'Mapa Oficinas'!$A$7:$C$46,3,FALSE)</f>
        <v>Villa Urquiza</v>
      </c>
    </row>
    <row r="1795" spans="1:19" x14ac:dyDescent="0.2">
      <c r="A1795" s="1">
        <v>45966</v>
      </c>
      <c r="B1795" t="s">
        <v>3329</v>
      </c>
      <c r="D1795" t="s">
        <v>3330</v>
      </c>
      <c r="E1795" t="s">
        <v>16</v>
      </c>
      <c r="F1795" t="s">
        <v>17</v>
      </c>
      <c r="G1795" s="14">
        <v>88000</v>
      </c>
      <c r="H1795" s="14">
        <v>88000</v>
      </c>
      <c r="I1795" t="s">
        <v>22</v>
      </c>
      <c r="J1795" t="s">
        <v>22</v>
      </c>
      <c r="K1795" t="s">
        <v>3331</v>
      </c>
      <c r="L1795" t="s">
        <v>191</v>
      </c>
      <c r="M1795" t="s">
        <v>19</v>
      </c>
      <c r="N1795">
        <v>1</v>
      </c>
      <c r="O1795" t="s">
        <v>73</v>
      </c>
      <c r="P1795" t="s">
        <v>146</v>
      </c>
      <c r="Q1795" t="s">
        <v>30</v>
      </c>
      <c r="R1795" t="str">
        <f>VLOOKUP($O1795,'Mapa Oficinas'!$A$7:$C$46,2,FALSE)</f>
        <v>CABA</v>
      </c>
      <c r="S1795" t="str">
        <f>VLOOKUP($O1795,'Mapa Oficinas'!$A$7:$C$46,3,FALSE)</f>
        <v>Recoleta</v>
      </c>
    </row>
    <row r="1796" spans="1:19" x14ac:dyDescent="0.2">
      <c r="A1796" s="1">
        <v>45966</v>
      </c>
      <c r="B1796" t="s">
        <v>3332</v>
      </c>
      <c r="D1796" t="s">
        <v>3333</v>
      </c>
      <c r="E1796" t="s">
        <v>16</v>
      </c>
      <c r="F1796" t="s">
        <v>17</v>
      </c>
      <c r="G1796" s="14">
        <v>100000</v>
      </c>
      <c r="H1796" s="14">
        <v>100000</v>
      </c>
      <c r="I1796" t="s">
        <v>22</v>
      </c>
      <c r="J1796" t="s">
        <v>22</v>
      </c>
      <c r="K1796" t="s">
        <v>3334</v>
      </c>
      <c r="L1796" t="s">
        <v>1077</v>
      </c>
      <c r="M1796" t="s">
        <v>19</v>
      </c>
      <c r="N1796">
        <v>1</v>
      </c>
      <c r="O1796" t="s">
        <v>73</v>
      </c>
      <c r="P1796" t="s">
        <v>146</v>
      </c>
      <c r="Q1796" t="s">
        <v>30</v>
      </c>
      <c r="R1796" t="str">
        <f>VLOOKUP($O1796,'Mapa Oficinas'!$A$7:$C$46,2,FALSE)</f>
        <v>CABA</v>
      </c>
      <c r="S1796" t="str">
        <f>VLOOKUP($O1796,'Mapa Oficinas'!$A$7:$C$46,3,FALSE)</f>
        <v>Recoleta</v>
      </c>
    </row>
    <row r="1797" spans="1:19" x14ac:dyDescent="0.2">
      <c r="A1797" s="1">
        <v>45966</v>
      </c>
      <c r="B1797">
        <v>10592</v>
      </c>
      <c r="D1797" t="s">
        <v>3344</v>
      </c>
      <c r="E1797" t="s">
        <v>16</v>
      </c>
      <c r="F1797" t="s">
        <v>17</v>
      </c>
      <c r="G1797" s="14">
        <v>115000</v>
      </c>
      <c r="H1797" s="14">
        <v>115000</v>
      </c>
      <c r="I1797" t="s">
        <v>22</v>
      </c>
      <c r="J1797" t="s">
        <v>22</v>
      </c>
      <c r="K1797" t="s">
        <v>3344</v>
      </c>
      <c r="L1797" t="s">
        <v>221</v>
      </c>
      <c r="M1797" t="s">
        <v>19</v>
      </c>
      <c r="N1797">
        <v>1</v>
      </c>
      <c r="O1797" t="s">
        <v>103</v>
      </c>
      <c r="P1797" t="s">
        <v>146</v>
      </c>
      <c r="Q1797" t="s">
        <v>30</v>
      </c>
      <c r="R1797" t="str">
        <f>VLOOKUP($O1797,'Mapa Oficinas'!$A$7:$C$46,2,FALSE)</f>
        <v>CABA</v>
      </c>
      <c r="S1797" t="str">
        <f>VLOOKUP($O1797,'Mapa Oficinas'!$A$7:$C$46,3,FALSE)</f>
        <v>Barrio Parque</v>
      </c>
    </row>
    <row r="1798" spans="1:19" x14ac:dyDescent="0.2">
      <c r="A1798" s="1">
        <v>45966</v>
      </c>
      <c r="B1798">
        <v>10554</v>
      </c>
      <c r="D1798" t="s">
        <v>3343</v>
      </c>
      <c r="E1798" t="s">
        <v>16</v>
      </c>
      <c r="F1798" t="s">
        <v>17</v>
      </c>
      <c r="G1798" s="14">
        <v>145000</v>
      </c>
      <c r="H1798" s="14">
        <v>145000</v>
      </c>
      <c r="I1798" t="s">
        <v>22</v>
      </c>
      <c r="J1798" t="s">
        <v>22</v>
      </c>
      <c r="L1798" t="s">
        <v>512</v>
      </c>
      <c r="M1798" t="s">
        <v>19</v>
      </c>
      <c r="N1798">
        <v>1</v>
      </c>
      <c r="O1798" t="s">
        <v>103</v>
      </c>
      <c r="P1798" t="s">
        <v>146</v>
      </c>
      <c r="Q1798" t="s">
        <v>30</v>
      </c>
      <c r="R1798" t="str">
        <f>VLOOKUP($O1798,'Mapa Oficinas'!$A$7:$C$46,2,FALSE)</f>
        <v>CABA</v>
      </c>
      <c r="S1798" t="str">
        <f>VLOOKUP($O1798,'Mapa Oficinas'!$A$7:$C$46,3,FALSE)</f>
        <v>Barrio Parque</v>
      </c>
    </row>
    <row r="1799" spans="1:19" x14ac:dyDescent="0.2">
      <c r="A1799" s="1">
        <v>45966</v>
      </c>
      <c r="B1799" t="s">
        <v>3341</v>
      </c>
      <c r="D1799" t="s">
        <v>3342</v>
      </c>
      <c r="E1799" t="s">
        <v>16</v>
      </c>
      <c r="F1799" t="s">
        <v>17</v>
      </c>
      <c r="G1799" s="14">
        <v>170000</v>
      </c>
      <c r="H1799" s="14">
        <v>170000</v>
      </c>
      <c r="I1799" t="s">
        <v>22</v>
      </c>
      <c r="J1799" t="s">
        <v>22</v>
      </c>
      <c r="K1799" t="s">
        <v>3342</v>
      </c>
      <c r="L1799" t="s">
        <v>205</v>
      </c>
      <c r="M1799" t="s">
        <v>19</v>
      </c>
      <c r="N1799">
        <v>1</v>
      </c>
      <c r="O1799" t="s">
        <v>20</v>
      </c>
      <c r="P1799" t="s">
        <v>146</v>
      </c>
      <c r="Q1799" t="s">
        <v>30</v>
      </c>
      <c r="R1799" t="str">
        <f>VLOOKUP($O1799,'Mapa Oficinas'!$A$7:$C$46,2,FALSE)</f>
        <v>CABA</v>
      </c>
      <c r="S1799" t="str">
        <f>VLOOKUP($O1799,'Mapa Oficinas'!$A$7:$C$46,3,FALSE)</f>
        <v>Palermo</v>
      </c>
    </row>
    <row r="1800" spans="1:19" x14ac:dyDescent="0.2">
      <c r="A1800" s="1">
        <v>45966</v>
      </c>
      <c r="B1800">
        <v>10568</v>
      </c>
      <c r="D1800" t="s">
        <v>3345</v>
      </c>
      <c r="E1800" t="s">
        <v>16</v>
      </c>
      <c r="F1800" t="s">
        <v>17</v>
      </c>
      <c r="G1800" s="14">
        <v>189000</v>
      </c>
      <c r="H1800" s="14">
        <v>189000</v>
      </c>
      <c r="I1800" t="s">
        <v>22</v>
      </c>
      <c r="J1800" t="s">
        <v>22</v>
      </c>
      <c r="K1800" t="s">
        <v>3346</v>
      </c>
      <c r="L1800" t="s">
        <v>217</v>
      </c>
      <c r="M1800" t="s">
        <v>19</v>
      </c>
      <c r="N1800">
        <v>2</v>
      </c>
      <c r="O1800" t="s">
        <v>103</v>
      </c>
      <c r="P1800" t="s">
        <v>44</v>
      </c>
      <c r="Q1800" t="s">
        <v>30</v>
      </c>
      <c r="R1800" t="str">
        <f>VLOOKUP($O1800,'Mapa Oficinas'!$A$7:$C$46,2,FALSE)</f>
        <v>CABA</v>
      </c>
      <c r="S1800" t="str">
        <f>VLOOKUP($O1800,'Mapa Oficinas'!$A$7:$C$46,3,FALSE)</f>
        <v>Barrio Parque</v>
      </c>
    </row>
    <row r="1801" spans="1:19" x14ac:dyDescent="0.2">
      <c r="A1801" s="1">
        <v>45967</v>
      </c>
      <c r="B1801" t="s">
        <v>3319</v>
      </c>
      <c r="D1801" t="s">
        <v>3320</v>
      </c>
      <c r="E1801" t="s">
        <v>16</v>
      </c>
      <c r="F1801" t="s">
        <v>17</v>
      </c>
      <c r="G1801" s="14">
        <v>55000</v>
      </c>
      <c r="H1801" s="14">
        <v>50000</v>
      </c>
      <c r="I1801" t="s">
        <v>22</v>
      </c>
      <c r="J1801" t="s">
        <v>22</v>
      </c>
      <c r="K1801" t="s">
        <v>3321</v>
      </c>
      <c r="L1801" t="s">
        <v>199</v>
      </c>
      <c r="M1801" t="s">
        <v>19</v>
      </c>
      <c r="N1801">
        <v>2</v>
      </c>
      <c r="O1801" t="s">
        <v>156</v>
      </c>
      <c r="P1801" t="s">
        <v>21</v>
      </c>
      <c r="Q1801" t="s">
        <v>30</v>
      </c>
      <c r="R1801" t="str">
        <f>VLOOKUP($O1801,'Mapa Oficinas'!$A$7:$C$46,2,FALSE)</f>
        <v>Zona Norte (GBA)</v>
      </c>
      <c r="S1801" t="str">
        <f>VLOOKUP($O1801,'Mapa Oficinas'!$A$7:$C$46,3,FALSE)</f>
        <v>Pilar</v>
      </c>
    </row>
    <row r="1802" spans="1:19" x14ac:dyDescent="0.2">
      <c r="A1802" s="1">
        <v>45967</v>
      </c>
      <c r="B1802" t="s">
        <v>3318</v>
      </c>
      <c r="D1802" t="s">
        <v>436</v>
      </c>
      <c r="E1802" t="s">
        <v>16</v>
      </c>
      <c r="F1802" t="s">
        <v>17</v>
      </c>
      <c r="G1802" s="14">
        <v>55000</v>
      </c>
      <c r="H1802" s="14">
        <v>50000</v>
      </c>
      <c r="I1802" t="s">
        <v>22</v>
      </c>
      <c r="J1802" t="s">
        <v>22</v>
      </c>
      <c r="K1802" t="s">
        <v>437</v>
      </c>
      <c r="L1802" t="s">
        <v>199</v>
      </c>
      <c r="M1802" t="s">
        <v>19</v>
      </c>
      <c r="N1802">
        <v>2</v>
      </c>
      <c r="O1802" t="s">
        <v>156</v>
      </c>
      <c r="P1802" t="s">
        <v>21</v>
      </c>
      <c r="Q1802" t="s">
        <v>30</v>
      </c>
      <c r="R1802" t="str">
        <f>VLOOKUP($O1802,'Mapa Oficinas'!$A$7:$C$46,2,FALSE)</f>
        <v>Zona Norte (GBA)</v>
      </c>
      <c r="S1802" t="str">
        <f>VLOOKUP($O1802,'Mapa Oficinas'!$A$7:$C$46,3,FALSE)</f>
        <v>Pilar</v>
      </c>
    </row>
    <row r="1803" spans="1:19" x14ac:dyDescent="0.2">
      <c r="A1803" s="1">
        <v>45967</v>
      </c>
      <c r="B1803" t="s">
        <v>3313</v>
      </c>
      <c r="D1803" t="s">
        <v>3314</v>
      </c>
      <c r="E1803" t="s">
        <v>16</v>
      </c>
      <c r="F1803" t="s">
        <v>58</v>
      </c>
      <c r="G1803" s="14">
        <v>9000</v>
      </c>
      <c r="H1803" s="14">
        <v>50000</v>
      </c>
      <c r="I1803" t="s">
        <v>22</v>
      </c>
      <c r="J1803" t="s">
        <v>22</v>
      </c>
      <c r="K1803" t="s">
        <v>3315</v>
      </c>
      <c r="L1803" t="s">
        <v>1719</v>
      </c>
      <c r="M1803" t="s">
        <v>188</v>
      </c>
      <c r="N1803">
        <v>2</v>
      </c>
      <c r="O1803" t="s">
        <v>50</v>
      </c>
      <c r="P1803" t="s">
        <v>21</v>
      </c>
      <c r="Q1803" t="s">
        <v>30</v>
      </c>
      <c r="R1803" t="str">
        <f>VLOOKUP($O1803,'Mapa Oficinas'!$A$7:$C$46,2,FALSE)</f>
        <v>CABA</v>
      </c>
      <c r="S1803" t="str">
        <f>VLOOKUP($O1803,'Mapa Oficinas'!$A$7:$C$46,3,FALSE)</f>
        <v>Villa Urquiza</v>
      </c>
    </row>
    <row r="1804" spans="1:19" x14ac:dyDescent="0.2">
      <c r="A1804" s="1">
        <v>45967</v>
      </c>
      <c r="B1804" t="s">
        <v>3324</v>
      </c>
      <c r="D1804" t="s">
        <v>3325</v>
      </c>
      <c r="E1804" t="s">
        <v>16</v>
      </c>
      <c r="F1804" t="s">
        <v>82</v>
      </c>
      <c r="G1804" s="14">
        <v>69000</v>
      </c>
      <c r="H1804" s="14">
        <v>55000</v>
      </c>
      <c r="I1804" t="s">
        <v>22</v>
      </c>
      <c r="J1804" t="s">
        <v>22</v>
      </c>
      <c r="K1804" t="s">
        <v>3326</v>
      </c>
      <c r="L1804" t="s">
        <v>2747</v>
      </c>
      <c r="M1804" t="s">
        <v>19</v>
      </c>
      <c r="N1804">
        <v>2</v>
      </c>
      <c r="O1804" t="s">
        <v>65</v>
      </c>
      <c r="P1804" t="s">
        <v>41</v>
      </c>
      <c r="Q1804" t="s">
        <v>30</v>
      </c>
      <c r="R1804" t="str">
        <f>VLOOKUP($O1804,'Mapa Oficinas'!$A$7:$C$46,2,FALSE)</f>
        <v>Interior - Mendoza</v>
      </c>
      <c r="S1804" t="str">
        <f>VLOOKUP($O1804,'Mapa Oficinas'!$A$7:$C$46,3,FALSE)</f>
        <v>Capital Mendoza</v>
      </c>
    </row>
    <row r="1805" spans="1:19" x14ac:dyDescent="0.2">
      <c r="A1805" s="1">
        <v>45967</v>
      </c>
      <c r="B1805">
        <v>3</v>
      </c>
      <c r="D1805" t="s">
        <v>3327</v>
      </c>
      <c r="E1805" t="s">
        <v>16</v>
      </c>
      <c r="F1805" t="s">
        <v>17</v>
      </c>
      <c r="G1805" s="14">
        <v>57000</v>
      </c>
      <c r="H1805" s="14">
        <v>57000</v>
      </c>
      <c r="I1805" t="s">
        <v>22</v>
      </c>
      <c r="J1805" t="s">
        <v>22</v>
      </c>
      <c r="K1805" t="s">
        <v>3328</v>
      </c>
      <c r="L1805" t="s">
        <v>164</v>
      </c>
      <c r="M1805" t="s">
        <v>19</v>
      </c>
      <c r="N1805">
        <v>1</v>
      </c>
      <c r="O1805" t="s">
        <v>198</v>
      </c>
      <c r="P1805" t="s">
        <v>146</v>
      </c>
      <c r="Q1805" t="s">
        <v>30</v>
      </c>
      <c r="R1805" t="str">
        <f>VLOOKUP($O1805,'Mapa Oficinas'!$A$7:$C$46,2,FALSE)</f>
        <v>CABA</v>
      </c>
      <c r="S1805" t="str">
        <f>VLOOKUP($O1805,'Mapa Oficinas'!$A$7:$C$46,3,FALSE)</f>
        <v>Caballito</v>
      </c>
    </row>
    <row r="1806" spans="1:19" x14ac:dyDescent="0.2">
      <c r="A1806" s="1">
        <v>45967</v>
      </c>
      <c r="B1806" t="s">
        <v>3316</v>
      </c>
      <c r="D1806" t="s">
        <v>3317</v>
      </c>
      <c r="E1806" t="s">
        <v>16</v>
      </c>
      <c r="F1806" t="s">
        <v>17</v>
      </c>
      <c r="G1806" s="14">
        <v>117900</v>
      </c>
      <c r="H1806" s="14">
        <v>180000</v>
      </c>
      <c r="I1806" t="s">
        <v>22</v>
      </c>
      <c r="J1806" t="s">
        <v>22</v>
      </c>
      <c r="K1806" t="s">
        <v>3317</v>
      </c>
      <c r="L1806" t="s">
        <v>1643</v>
      </c>
      <c r="M1806" t="s">
        <v>19</v>
      </c>
      <c r="N1806">
        <v>1</v>
      </c>
      <c r="O1806" t="s">
        <v>142</v>
      </c>
      <c r="P1806" t="s">
        <v>146</v>
      </c>
      <c r="Q1806" t="s">
        <v>30</v>
      </c>
      <c r="R1806" t="str">
        <f>VLOOKUP($O1806,'Mapa Oficinas'!$A$7:$C$46,2,FALSE)</f>
        <v>Zona Norte (GBA)</v>
      </c>
      <c r="S1806" t="str">
        <f>VLOOKUP($O1806,'Mapa Oficinas'!$A$7:$C$46,3,FALSE)</f>
        <v>Nordelta</v>
      </c>
    </row>
    <row r="1807" spans="1:19" x14ac:dyDescent="0.2">
      <c r="A1807" s="1">
        <v>45968</v>
      </c>
      <c r="B1807" t="s">
        <v>3308</v>
      </c>
      <c r="D1807" t="s">
        <v>3309</v>
      </c>
      <c r="E1807" t="s">
        <v>16</v>
      </c>
      <c r="F1807" t="s">
        <v>47</v>
      </c>
      <c r="G1807" s="14">
        <v>72900</v>
      </c>
      <c r="H1807" s="14">
        <v>68000</v>
      </c>
      <c r="I1807" t="s">
        <v>22</v>
      </c>
      <c r="J1807" t="s">
        <v>22</v>
      </c>
      <c r="K1807" t="s">
        <v>3310</v>
      </c>
      <c r="L1807" t="s">
        <v>79</v>
      </c>
      <c r="M1807" t="s">
        <v>19</v>
      </c>
      <c r="N1807">
        <v>2</v>
      </c>
      <c r="O1807" t="s">
        <v>103</v>
      </c>
      <c r="P1807" t="s">
        <v>21</v>
      </c>
      <c r="Q1807" t="s">
        <v>30</v>
      </c>
      <c r="R1807" t="str">
        <f>VLOOKUP($O1807,'Mapa Oficinas'!$A$7:$C$46,2,FALSE)</f>
        <v>CABA</v>
      </c>
      <c r="S1807" t="str">
        <f>VLOOKUP($O1807,'Mapa Oficinas'!$A$7:$C$46,3,FALSE)</f>
        <v>Barrio Parque</v>
      </c>
    </row>
    <row r="1808" spans="1:19" x14ac:dyDescent="0.2">
      <c r="A1808" s="1">
        <v>45968</v>
      </c>
      <c r="B1808">
        <v>10475</v>
      </c>
      <c r="D1808" t="s">
        <v>3311</v>
      </c>
      <c r="E1808" t="s">
        <v>16</v>
      </c>
      <c r="F1808" t="s">
        <v>17</v>
      </c>
      <c r="G1808" s="14">
        <v>129000</v>
      </c>
      <c r="H1808" s="14">
        <v>129000</v>
      </c>
      <c r="I1808" t="s">
        <v>22</v>
      </c>
      <c r="J1808" t="s">
        <v>22</v>
      </c>
      <c r="K1808" t="s">
        <v>3311</v>
      </c>
      <c r="L1808" t="s">
        <v>277</v>
      </c>
      <c r="M1808" t="s">
        <v>19</v>
      </c>
      <c r="N1808">
        <v>1</v>
      </c>
      <c r="O1808" t="s">
        <v>103</v>
      </c>
      <c r="P1808" t="s">
        <v>146</v>
      </c>
      <c r="Q1808" t="s">
        <v>30</v>
      </c>
      <c r="R1808" t="str">
        <f>VLOOKUP($O1808,'Mapa Oficinas'!$A$7:$C$46,2,FALSE)</f>
        <v>CABA</v>
      </c>
      <c r="S1808" t="str">
        <f>VLOOKUP($O1808,'Mapa Oficinas'!$A$7:$C$46,3,FALSE)</f>
        <v>Barrio Parque</v>
      </c>
    </row>
    <row r="1809" spans="1:19" x14ac:dyDescent="0.2">
      <c r="A1809" s="1">
        <v>45968</v>
      </c>
      <c r="B1809" t="s">
        <v>3303</v>
      </c>
      <c r="D1809" t="s">
        <v>3304</v>
      </c>
      <c r="E1809" t="s">
        <v>16</v>
      </c>
      <c r="F1809" t="s">
        <v>47</v>
      </c>
      <c r="G1809" s="14">
        <v>140000</v>
      </c>
      <c r="H1809" s="14">
        <v>140000</v>
      </c>
      <c r="I1809" t="s">
        <v>22</v>
      </c>
      <c r="J1809" t="s">
        <v>22</v>
      </c>
      <c r="K1809" t="s">
        <v>3305</v>
      </c>
      <c r="L1809" t="s">
        <v>3306</v>
      </c>
      <c r="M1809" t="s">
        <v>28</v>
      </c>
      <c r="N1809">
        <v>2</v>
      </c>
      <c r="O1809" t="s">
        <v>156</v>
      </c>
      <c r="P1809" t="s">
        <v>21</v>
      </c>
      <c r="Q1809" t="s">
        <v>30</v>
      </c>
      <c r="R1809" t="str">
        <f>VLOOKUP($O1809,'Mapa Oficinas'!$A$7:$C$46,2,FALSE)</f>
        <v>Zona Norte (GBA)</v>
      </c>
      <c r="S1809" t="str">
        <f>VLOOKUP($O1809,'Mapa Oficinas'!$A$7:$C$46,3,FALSE)</f>
        <v>Pilar</v>
      </c>
    </row>
    <row r="1810" spans="1:19" x14ac:dyDescent="0.2">
      <c r="A1810" s="1">
        <v>45968</v>
      </c>
      <c r="B1810" t="s">
        <v>3307</v>
      </c>
      <c r="D1810" t="s">
        <v>2551</v>
      </c>
      <c r="E1810" t="s">
        <v>16</v>
      </c>
      <c r="F1810" t="s">
        <v>17</v>
      </c>
      <c r="G1810" s="14">
        <v>165000</v>
      </c>
      <c r="H1810" s="14">
        <v>165000</v>
      </c>
      <c r="I1810" t="s">
        <v>22</v>
      </c>
      <c r="J1810" t="s">
        <v>22</v>
      </c>
      <c r="K1810" t="s">
        <v>2552</v>
      </c>
      <c r="L1810" t="s">
        <v>330</v>
      </c>
      <c r="M1810" t="s">
        <v>19</v>
      </c>
      <c r="N1810">
        <v>2</v>
      </c>
      <c r="O1810" t="s">
        <v>103</v>
      </c>
      <c r="P1810" t="s">
        <v>21</v>
      </c>
      <c r="Q1810" t="s">
        <v>30</v>
      </c>
      <c r="R1810" t="str">
        <f>VLOOKUP($O1810,'Mapa Oficinas'!$A$7:$C$46,2,FALSE)</f>
        <v>CABA</v>
      </c>
      <c r="S1810" t="str">
        <f>VLOOKUP($O1810,'Mapa Oficinas'!$A$7:$C$46,3,FALSE)</f>
        <v>Barrio Parque</v>
      </c>
    </row>
    <row r="1811" spans="1:19" x14ac:dyDescent="0.2">
      <c r="A1811" s="1">
        <v>45968</v>
      </c>
      <c r="B1811" t="s">
        <v>3297</v>
      </c>
      <c r="D1811" t="s">
        <v>3298</v>
      </c>
      <c r="E1811" t="s">
        <v>16</v>
      </c>
      <c r="F1811" t="s">
        <v>58</v>
      </c>
      <c r="G1811" s="14">
        <v>180000</v>
      </c>
      <c r="H1811" s="14">
        <v>180000</v>
      </c>
      <c r="I1811" t="s">
        <v>22</v>
      </c>
      <c r="J1811" t="s">
        <v>22</v>
      </c>
      <c r="K1811" t="s">
        <v>3299</v>
      </c>
      <c r="L1811" t="s">
        <v>71</v>
      </c>
      <c r="M1811" t="s">
        <v>300</v>
      </c>
      <c r="N1811">
        <v>2</v>
      </c>
      <c r="O1811" t="s">
        <v>50</v>
      </c>
      <c r="P1811" t="s">
        <v>21</v>
      </c>
      <c r="Q1811" t="s">
        <v>30</v>
      </c>
      <c r="R1811" t="str">
        <f>VLOOKUP($O1811,'Mapa Oficinas'!$A$7:$C$46,2,FALSE)</f>
        <v>CABA</v>
      </c>
      <c r="S1811" t="str">
        <f>VLOOKUP($O1811,'Mapa Oficinas'!$A$7:$C$46,3,FALSE)</f>
        <v>Villa Urquiza</v>
      </c>
    </row>
    <row r="1812" spans="1:19" x14ac:dyDescent="0.2">
      <c r="A1812" s="1">
        <v>45969</v>
      </c>
      <c r="B1812">
        <v>1</v>
      </c>
      <c r="D1812" t="s">
        <v>3295</v>
      </c>
      <c r="E1812" t="s">
        <v>16</v>
      </c>
      <c r="F1812" t="s">
        <v>17</v>
      </c>
      <c r="G1812" s="14">
        <v>65000</v>
      </c>
      <c r="H1812" s="14">
        <v>65000</v>
      </c>
      <c r="I1812" t="s">
        <v>22</v>
      </c>
      <c r="J1812" t="s">
        <v>22</v>
      </c>
      <c r="K1812" t="s">
        <v>3296</v>
      </c>
      <c r="L1812" t="s">
        <v>1498</v>
      </c>
      <c r="M1812" t="s">
        <v>19</v>
      </c>
      <c r="N1812">
        <v>1</v>
      </c>
      <c r="O1812" t="s">
        <v>198</v>
      </c>
      <c r="P1812" t="s">
        <v>146</v>
      </c>
      <c r="Q1812" t="s">
        <v>30</v>
      </c>
      <c r="R1812" t="str">
        <f>VLOOKUP($O1812,'Mapa Oficinas'!$A$7:$C$46,2,FALSE)</f>
        <v>CABA</v>
      </c>
      <c r="S1812" t="str">
        <f>VLOOKUP($O1812,'Mapa Oficinas'!$A$7:$C$46,3,FALSE)</f>
        <v>Caballito</v>
      </c>
    </row>
    <row r="1813" spans="1:19" x14ac:dyDescent="0.2">
      <c r="A1813" s="1">
        <v>45969</v>
      </c>
      <c r="B1813" t="s">
        <v>3291</v>
      </c>
      <c r="D1813" t="s">
        <v>3292</v>
      </c>
      <c r="E1813" t="s">
        <v>16</v>
      </c>
      <c r="F1813" t="s">
        <v>17</v>
      </c>
      <c r="G1813" s="14">
        <v>119900</v>
      </c>
      <c r="H1813" s="14">
        <v>110000</v>
      </c>
      <c r="I1813" t="s">
        <v>22</v>
      </c>
      <c r="J1813" t="s">
        <v>22</v>
      </c>
      <c r="K1813" t="s">
        <v>3293</v>
      </c>
      <c r="L1813" t="s">
        <v>3294</v>
      </c>
      <c r="M1813" t="s">
        <v>28</v>
      </c>
      <c r="N1813">
        <v>2</v>
      </c>
      <c r="O1813" t="s">
        <v>198</v>
      </c>
      <c r="P1813" t="s">
        <v>21</v>
      </c>
      <c r="Q1813" t="s">
        <v>30</v>
      </c>
      <c r="R1813" t="str">
        <f>VLOOKUP($O1813,'Mapa Oficinas'!$A$7:$C$46,2,FALSE)</f>
        <v>CABA</v>
      </c>
      <c r="S1813" t="str">
        <f>VLOOKUP($O1813,'Mapa Oficinas'!$A$7:$C$46,3,FALSE)</f>
        <v>Caballito</v>
      </c>
    </row>
    <row r="1814" spans="1:19" x14ac:dyDescent="0.2">
      <c r="A1814" s="1">
        <v>45969</v>
      </c>
      <c r="B1814" t="s">
        <v>3288</v>
      </c>
      <c r="D1814" t="s">
        <v>3289</v>
      </c>
      <c r="E1814" t="s">
        <v>16</v>
      </c>
      <c r="F1814" t="s">
        <v>17</v>
      </c>
      <c r="G1814" s="14">
        <v>135000</v>
      </c>
      <c r="H1814" s="14">
        <v>130000</v>
      </c>
      <c r="I1814" t="s">
        <v>22</v>
      </c>
      <c r="J1814" t="s">
        <v>22</v>
      </c>
      <c r="K1814" t="s">
        <v>3290</v>
      </c>
      <c r="L1814" t="s">
        <v>1427</v>
      </c>
      <c r="M1814" t="s">
        <v>19</v>
      </c>
      <c r="N1814">
        <v>2</v>
      </c>
      <c r="O1814" t="s">
        <v>116</v>
      </c>
      <c r="P1814" t="s">
        <v>21</v>
      </c>
      <c r="Q1814" t="s">
        <v>30</v>
      </c>
      <c r="R1814" t="str">
        <f>VLOOKUP($O1814,'Mapa Oficinas'!$A$7:$C$46,2,FALSE)</f>
        <v>CABA</v>
      </c>
      <c r="S1814" t="str">
        <f>VLOOKUP($O1814,'Mapa Oficinas'!$A$7:$C$46,3,FALSE)</f>
        <v>Puerto Madero</v>
      </c>
    </row>
    <row r="1815" spans="1:19" x14ac:dyDescent="0.2">
      <c r="A1815" s="1">
        <v>45971</v>
      </c>
      <c r="D1815" t="s">
        <v>3270</v>
      </c>
      <c r="E1815" t="s">
        <v>16</v>
      </c>
      <c r="F1815" t="s">
        <v>47</v>
      </c>
      <c r="G1815" s="14">
        <v>79500</v>
      </c>
      <c r="H1815" s="14">
        <v>76000</v>
      </c>
      <c r="I1815" t="s">
        <v>22</v>
      </c>
      <c r="J1815" t="s">
        <v>22</v>
      </c>
      <c r="K1815" t="s">
        <v>3271</v>
      </c>
      <c r="L1815" t="s">
        <v>191</v>
      </c>
      <c r="M1815" t="s">
        <v>19</v>
      </c>
      <c r="N1815">
        <v>1</v>
      </c>
      <c r="O1815" t="s">
        <v>206</v>
      </c>
      <c r="P1815" t="s">
        <v>146</v>
      </c>
      <c r="Q1815" t="s">
        <v>30</v>
      </c>
      <c r="R1815" t="str">
        <f>VLOOKUP($O1815,'Mapa Oficinas'!$A$7:$C$46,2,FALSE)</f>
        <v>CABA</v>
      </c>
      <c r="S1815" t="str">
        <f>VLOOKUP($O1815,'Mapa Oficinas'!$A$7:$C$46,3,FALSE)</f>
        <v>Belgrano</v>
      </c>
    </row>
    <row r="1816" spans="1:19" x14ac:dyDescent="0.2">
      <c r="A1816" s="1">
        <v>45971</v>
      </c>
      <c r="B1816" t="s">
        <v>3278</v>
      </c>
      <c r="D1816" t="s">
        <v>3279</v>
      </c>
      <c r="E1816" t="s">
        <v>16</v>
      </c>
      <c r="F1816" t="s">
        <v>17</v>
      </c>
      <c r="G1816" s="14">
        <v>120000</v>
      </c>
      <c r="H1816" s="14">
        <v>117000</v>
      </c>
      <c r="I1816" t="s">
        <v>22</v>
      </c>
      <c r="J1816" t="s">
        <v>22</v>
      </c>
      <c r="K1816" t="s">
        <v>3280</v>
      </c>
      <c r="L1816" t="s">
        <v>71</v>
      </c>
      <c r="M1816" t="s">
        <v>19</v>
      </c>
      <c r="N1816">
        <v>2</v>
      </c>
      <c r="O1816" t="s">
        <v>201</v>
      </c>
      <c r="P1816" t="s">
        <v>21</v>
      </c>
      <c r="Q1816" t="s">
        <v>30</v>
      </c>
      <c r="R1816" t="str">
        <f>VLOOKUP($O1816,'Mapa Oficinas'!$A$7:$C$46,2,FALSE)</f>
        <v>CABA</v>
      </c>
      <c r="S1816" t="str">
        <f>VLOOKUP($O1816,'Mapa Oficinas'!$A$7:$C$46,3,FALSE)</f>
        <v>Recoleta</v>
      </c>
    </row>
    <row r="1817" spans="1:19" x14ac:dyDescent="0.2">
      <c r="A1817" s="1">
        <v>45971</v>
      </c>
      <c r="B1817" t="s">
        <v>3285</v>
      </c>
      <c r="D1817" t="s">
        <v>3286</v>
      </c>
      <c r="E1817" t="s">
        <v>16</v>
      </c>
      <c r="F1817" t="s">
        <v>17</v>
      </c>
      <c r="G1817" s="14">
        <v>155000</v>
      </c>
      <c r="H1817" s="14">
        <v>148000</v>
      </c>
      <c r="I1817" t="s">
        <v>22</v>
      </c>
      <c r="J1817" t="s">
        <v>22</v>
      </c>
      <c r="K1817" t="s">
        <v>3287</v>
      </c>
      <c r="L1817" t="s">
        <v>569</v>
      </c>
      <c r="M1817" t="s">
        <v>72</v>
      </c>
      <c r="N1817">
        <v>2</v>
      </c>
      <c r="O1817" t="s">
        <v>116</v>
      </c>
      <c r="P1817" t="s">
        <v>21</v>
      </c>
      <c r="Q1817" t="s">
        <v>30</v>
      </c>
      <c r="R1817" t="str">
        <f>VLOOKUP($O1817,'Mapa Oficinas'!$A$7:$C$46,2,FALSE)</f>
        <v>CABA</v>
      </c>
      <c r="S1817" t="str">
        <f>VLOOKUP($O1817,'Mapa Oficinas'!$A$7:$C$46,3,FALSE)</f>
        <v>Puerto Madero</v>
      </c>
    </row>
    <row r="1818" spans="1:19" x14ac:dyDescent="0.2">
      <c r="A1818" s="1">
        <v>45971</v>
      </c>
      <c r="B1818" t="s">
        <v>3282</v>
      </c>
      <c r="D1818" t="s">
        <v>3283</v>
      </c>
      <c r="E1818" t="s">
        <v>16</v>
      </c>
      <c r="F1818" t="s">
        <v>17</v>
      </c>
      <c r="G1818" s="14">
        <v>159000</v>
      </c>
      <c r="H1818" s="14">
        <v>158000</v>
      </c>
      <c r="I1818" t="s">
        <v>22</v>
      </c>
      <c r="J1818" t="s">
        <v>22</v>
      </c>
      <c r="K1818" t="s">
        <v>3284</v>
      </c>
      <c r="L1818" t="s">
        <v>191</v>
      </c>
      <c r="M1818" t="s">
        <v>19</v>
      </c>
      <c r="N1818">
        <v>2</v>
      </c>
      <c r="O1818" t="s">
        <v>103</v>
      </c>
      <c r="P1818" t="s">
        <v>21</v>
      </c>
      <c r="Q1818" t="s">
        <v>30</v>
      </c>
      <c r="R1818" t="str">
        <f>VLOOKUP($O1818,'Mapa Oficinas'!$A$7:$C$46,2,FALSE)</f>
        <v>CABA</v>
      </c>
      <c r="S1818" t="str">
        <f>VLOOKUP($O1818,'Mapa Oficinas'!$A$7:$C$46,3,FALSE)</f>
        <v>Barrio Parque</v>
      </c>
    </row>
    <row r="1819" spans="1:19" x14ac:dyDescent="0.2">
      <c r="A1819" s="1">
        <v>45971</v>
      </c>
      <c r="B1819" t="s">
        <v>3275</v>
      </c>
      <c r="D1819" t="s">
        <v>3276</v>
      </c>
      <c r="E1819" t="s">
        <v>16</v>
      </c>
      <c r="F1819" t="s">
        <v>17</v>
      </c>
      <c r="G1819" s="14">
        <v>178000</v>
      </c>
      <c r="H1819" s="14">
        <v>178000</v>
      </c>
      <c r="I1819" t="s">
        <v>22</v>
      </c>
      <c r="J1819" t="s">
        <v>22</v>
      </c>
      <c r="K1819" t="s">
        <v>3277</v>
      </c>
      <c r="L1819" t="s">
        <v>226</v>
      </c>
      <c r="M1819" t="s">
        <v>19</v>
      </c>
      <c r="N1819">
        <v>2</v>
      </c>
      <c r="O1819" t="s">
        <v>206</v>
      </c>
      <c r="P1819" t="s">
        <v>21</v>
      </c>
      <c r="Q1819" t="s">
        <v>30</v>
      </c>
      <c r="R1819" t="str">
        <f>VLOOKUP($O1819,'Mapa Oficinas'!$A$7:$C$46,2,FALSE)</f>
        <v>CABA</v>
      </c>
      <c r="S1819" t="str">
        <f>VLOOKUP($O1819,'Mapa Oficinas'!$A$7:$C$46,3,FALSE)</f>
        <v>Belgrano</v>
      </c>
    </row>
    <row r="1820" spans="1:19" x14ac:dyDescent="0.2">
      <c r="A1820" s="1">
        <v>45971</v>
      </c>
      <c r="B1820">
        <v>10587</v>
      </c>
      <c r="D1820" t="s">
        <v>3281</v>
      </c>
      <c r="E1820" t="s">
        <v>16</v>
      </c>
      <c r="F1820" t="s">
        <v>17</v>
      </c>
      <c r="G1820" s="14">
        <v>0</v>
      </c>
      <c r="H1820" s="14">
        <v>190000</v>
      </c>
      <c r="I1820" t="s">
        <v>22</v>
      </c>
      <c r="J1820" t="s">
        <v>22</v>
      </c>
      <c r="K1820" t="s">
        <v>3281</v>
      </c>
      <c r="L1820" t="s">
        <v>191</v>
      </c>
      <c r="M1820" t="s">
        <v>19</v>
      </c>
      <c r="N1820">
        <v>1</v>
      </c>
      <c r="O1820" t="s">
        <v>103</v>
      </c>
      <c r="P1820" t="s">
        <v>146</v>
      </c>
      <c r="Q1820" t="s">
        <v>30</v>
      </c>
      <c r="R1820" t="str">
        <f>VLOOKUP($O1820,'Mapa Oficinas'!$A$7:$C$46,2,FALSE)</f>
        <v>CABA</v>
      </c>
      <c r="S1820" t="str">
        <f>VLOOKUP($O1820,'Mapa Oficinas'!$A$7:$C$46,3,FALSE)</f>
        <v>Barrio Parque</v>
      </c>
    </row>
    <row r="1821" spans="1:19" x14ac:dyDescent="0.2">
      <c r="A1821" s="1">
        <v>45971</v>
      </c>
      <c r="B1821" t="s">
        <v>3267</v>
      </c>
      <c r="D1821" t="s">
        <v>3268</v>
      </c>
      <c r="E1821" t="s">
        <v>16</v>
      </c>
      <c r="F1821" t="s">
        <v>17</v>
      </c>
      <c r="G1821" s="14">
        <v>240000</v>
      </c>
      <c r="H1821" s="14">
        <v>230000</v>
      </c>
      <c r="I1821" t="s">
        <v>22</v>
      </c>
      <c r="J1821" t="s">
        <v>22</v>
      </c>
      <c r="K1821" t="s">
        <v>3269</v>
      </c>
      <c r="L1821" t="s">
        <v>991</v>
      </c>
      <c r="M1821" t="s">
        <v>72</v>
      </c>
      <c r="N1821">
        <v>2</v>
      </c>
      <c r="O1821" t="s">
        <v>50</v>
      </c>
      <c r="P1821" t="s">
        <v>21</v>
      </c>
      <c r="Q1821" t="s">
        <v>30</v>
      </c>
      <c r="R1821" t="str">
        <f>VLOOKUP($O1821,'Mapa Oficinas'!$A$7:$C$46,2,FALSE)</f>
        <v>CABA</v>
      </c>
      <c r="S1821" t="str">
        <f>VLOOKUP($O1821,'Mapa Oficinas'!$A$7:$C$46,3,FALSE)</f>
        <v>Villa Urquiza</v>
      </c>
    </row>
    <row r="1822" spans="1:19" x14ac:dyDescent="0.2">
      <c r="A1822" s="1">
        <v>45971</v>
      </c>
      <c r="B1822" t="s">
        <v>3272</v>
      </c>
      <c r="D1822" t="s">
        <v>3273</v>
      </c>
      <c r="E1822" t="s">
        <v>16</v>
      </c>
      <c r="F1822" t="s">
        <v>47</v>
      </c>
      <c r="G1822" s="14">
        <v>98000</v>
      </c>
      <c r="H1822" s="14">
        <v>235000</v>
      </c>
      <c r="I1822" t="s">
        <v>22</v>
      </c>
      <c r="J1822" t="s">
        <v>22</v>
      </c>
      <c r="K1822" t="s">
        <v>3274</v>
      </c>
      <c r="L1822" t="s">
        <v>318</v>
      </c>
      <c r="M1822" t="s">
        <v>19</v>
      </c>
      <c r="N1822">
        <v>2</v>
      </c>
      <c r="O1822" t="s">
        <v>50</v>
      </c>
      <c r="P1822" t="s">
        <v>21</v>
      </c>
      <c r="Q1822" t="s">
        <v>30</v>
      </c>
      <c r="R1822" t="str">
        <f>VLOOKUP($O1822,'Mapa Oficinas'!$A$7:$C$46,2,FALSE)</f>
        <v>CABA</v>
      </c>
      <c r="S1822" t="str">
        <f>VLOOKUP($O1822,'Mapa Oficinas'!$A$7:$C$46,3,FALSE)</f>
        <v>Villa Urquiza</v>
      </c>
    </row>
    <row r="1823" spans="1:19" x14ac:dyDescent="0.2">
      <c r="A1823" s="1">
        <v>45972</v>
      </c>
      <c r="B1823" t="s">
        <v>3258</v>
      </c>
      <c r="D1823" t="s">
        <v>3259</v>
      </c>
      <c r="E1823" t="s">
        <v>16</v>
      </c>
      <c r="F1823" t="s">
        <v>17</v>
      </c>
      <c r="G1823" s="14">
        <v>59000</v>
      </c>
      <c r="H1823" s="14">
        <v>57000</v>
      </c>
      <c r="I1823" t="s">
        <v>22</v>
      </c>
      <c r="J1823" t="s">
        <v>22</v>
      </c>
      <c r="K1823" t="s">
        <v>3260</v>
      </c>
      <c r="L1823" t="s">
        <v>1151</v>
      </c>
      <c r="M1823" t="s">
        <v>19</v>
      </c>
      <c r="N1823">
        <v>2</v>
      </c>
      <c r="O1823" t="s">
        <v>142</v>
      </c>
      <c r="P1823" t="s">
        <v>41</v>
      </c>
      <c r="Q1823" t="s">
        <v>30</v>
      </c>
      <c r="R1823" t="str">
        <f>VLOOKUP($O1823,'Mapa Oficinas'!$A$7:$C$46,2,FALSE)</f>
        <v>Zona Norte (GBA)</v>
      </c>
      <c r="S1823" t="str">
        <f>VLOOKUP($O1823,'Mapa Oficinas'!$A$7:$C$46,3,FALSE)</f>
        <v>Nordelta</v>
      </c>
    </row>
    <row r="1824" spans="1:19" x14ac:dyDescent="0.2">
      <c r="A1824" s="1">
        <v>45972</v>
      </c>
      <c r="B1824" t="s">
        <v>3255</v>
      </c>
      <c r="D1824" t="s">
        <v>3256</v>
      </c>
      <c r="E1824" t="s">
        <v>16</v>
      </c>
      <c r="F1824" t="s">
        <v>17</v>
      </c>
      <c r="G1824" s="14">
        <v>62000</v>
      </c>
      <c r="H1824" s="14">
        <v>60000</v>
      </c>
      <c r="I1824" t="s">
        <v>22</v>
      </c>
      <c r="J1824" t="s">
        <v>22</v>
      </c>
      <c r="K1824" t="s">
        <v>3257</v>
      </c>
      <c r="L1824" t="s">
        <v>593</v>
      </c>
      <c r="M1824" t="s">
        <v>28</v>
      </c>
      <c r="N1824">
        <v>2</v>
      </c>
      <c r="O1824" t="s">
        <v>65</v>
      </c>
      <c r="P1824" t="s">
        <v>21</v>
      </c>
      <c r="Q1824" t="s">
        <v>30</v>
      </c>
      <c r="R1824" t="str">
        <f>VLOOKUP($O1824,'Mapa Oficinas'!$A$7:$C$46,2,FALSE)</f>
        <v>Interior - Mendoza</v>
      </c>
      <c r="S1824" t="str">
        <f>VLOOKUP($O1824,'Mapa Oficinas'!$A$7:$C$46,3,FALSE)</f>
        <v>Capital Mendoza</v>
      </c>
    </row>
    <row r="1825" spans="1:19" x14ac:dyDescent="0.2">
      <c r="A1825" s="1">
        <v>45972</v>
      </c>
      <c r="B1825" t="s">
        <v>3264</v>
      </c>
      <c r="D1825" t="s">
        <v>3265</v>
      </c>
      <c r="E1825" t="s">
        <v>16</v>
      </c>
      <c r="F1825" t="s">
        <v>17</v>
      </c>
      <c r="G1825" s="14">
        <v>70000</v>
      </c>
      <c r="H1825" s="14">
        <v>68000</v>
      </c>
      <c r="I1825" t="s">
        <v>22</v>
      </c>
      <c r="J1825" t="s">
        <v>22</v>
      </c>
      <c r="K1825" t="s">
        <v>3266</v>
      </c>
      <c r="L1825" t="s">
        <v>164</v>
      </c>
      <c r="M1825" t="s">
        <v>19</v>
      </c>
      <c r="N1825">
        <v>2</v>
      </c>
      <c r="O1825" t="s">
        <v>116</v>
      </c>
      <c r="P1825" t="s">
        <v>276</v>
      </c>
      <c r="Q1825" t="s">
        <v>30</v>
      </c>
      <c r="R1825" t="str">
        <f>VLOOKUP($O1825,'Mapa Oficinas'!$A$7:$C$46,2,FALSE)</f>
        <v>CABA</v>
      </c>
      <c r="S1825" t="str">
        <f>VLOOKUP($O1825,'Mapa Oficinas'!$A$7:$C$46,3,FALSE)</f>
        <v>Puerto Madero</v>
      </c>
    </row>
    <row r="1826" spans="1:19" x14ac:dyDescent="0.2">
      <c r="A1826" s="1">
        <v>45972</v>
      </c>
      <c r="B1826" t="s">
        <v>3242</v>
      </c>
      <c r="D1826" t="s">
        <v>3243</v>
      </c>
      <c r="E1826" t="s">
        <v>16</v>
      </c>
      <c r="F1826" t="s">
        <v>17</v>
      </c>
      <c r="G1826" s="14">
        <v>85478</v>
      </c>
      <c r="H1826" s="14">
        <v>78578</v>
      </c>
      <c r="I1826" t="s">
        <v>22</v>
      </c>
      <c r="J1826" t="s">
        <v>22</v>
      </c>
      <c r="K1826" t="s">
        <v>3244</v>
      </c>
      <c r="L1826" t="s">
        <v>3245</v>
      </c>
      <c r="M1826" t="s">
        <v>97</v>
      </c>
      <c r="N1826">
        <v>2</v>
      </c>
      <c r="O1826" t="s">
        <v>142</v>
      </c>
      <c r="P1826" t="s">
        <v>41</v>
      </c>
      <c r="Q1826" t="s">
        <v>30</v>
      </c>
      <c r="R1826" t="str">
        <f>VLOOKUP($O1826,'Mapa Oficinas'!$A$7:$C$46,2,FALSE)</f>
        <v>Zona Norte (GBA)</v>
      </c>
      <c r="S1826" t="str">
        <f>VLOOKUP($O1826,'Mapa Oficinas'!$A$7:$C$46,3,FALSE)</f>
        <v>Nordelta</v>
      </c>
    </row>
    <row r="1827" spans="1:19" x14ac:dyDescent="0.2">
      <c r="A1827" s="1">
        <v>45972</v>
      </c>
      <c r="B1827">
        <v>42</v>
      </c>
      <c r="D1827" t="s">
        <v>3241</v>
      </c>
      <c r="E1827" t="s">
        <v>16</v>
      </c>
      <c r="F1827" t="s">
        <v>17</v>
      </c>
      <c r="G1827" s="14">
        <v>128000</v>
      </c>
      <c r="H1827" s="14">
        <v>128000</v>
      </c>
      <c r="I1827" t="s">
        <v>22</v>
      </c>
      <c r="J1827" t="s">
        <v>22</v>
      </c>
      <c r="K1827" t="s">
        <v>3241</v>
      </c>
      <c r="L1827" t="s">
        <v>191</v>
      </c>
      <c r="M1827" t="s">
        <v>19</v>
      </c>
      <c r="N1827">
        <v>1</v>
      </c>
      <c r="O1827" t="s">
        <v>116</v>
      </c>
      <c r="P1827" t="s">
        <v>146</v>
      </c>
      <c r="Q1827" t="s">
        <v>30</v>
      </c>
      <c r="R1827" t="str">
        <f>VLOOKUP($O1827,'Mapa Oficinas'!$A$7:$C$46,2,FALSE)</f>
        <v>CABA</v>
      </c>
      <c r="S1827" t="str">
        <f>VLOOKUP($O1827,'Mapa Oficinas'!$A$7:$C$46,3,FALSE)</f>
        <v>Puerto Madero</v>
      </c>
    </row>
    <row r="1828" spans="1:19" x14ac:dyDescent="0.2">
      <c r="A1828" s="1">
        <v>45972</v>
      </c>
      <c r="B1828" t="s">
        <v>3249</v>
      </c>
      <c r="D1828" t="s">
        <v>3250</v>
      </c>
      <c r="E1828" t="s">
        <v>16</v>
      </c>
      <c r="F1828" t="s">
        <v>17</v>
      </c>
      <c r="G1828" s="14">
        <v>199000</v>
      </c>
      <c r="H1828" s="14">
        <v>180000</v>
      </c>
      <c r="I1828" t="s">
        <v>22</v>
      </c>
      <c r="J1828" t="s">
        <v>22</v>
      </c>
      <c r="K1828" t="s">
        <v>3250</v>
      </c>
      <c r="L1828" t="s">
        <v>607</v>
      </c>
      <c r="M1828" t="s">
        <v>19</v>
      </c>
      <c r="N1828">
        <v>2</v>
      </c>
      <c r="O1828" t="s">
        <v>40</v>
      </c>
      <c r="P1828" t="s">
        <v>41</v>
      </c>
      <c r="Q1828" t="s">
        <v>30</v>
      </c>
      <c r="R1828" t="str">
        <f>VLOOKUP($O1828,'Mapa Oficinas'!$A$7:$C$46,2,FALSE)</f>
        <v>Zona Norte (GBA)</v>
      </c>
      <c r="S1828" t="str">
        <f>VLOOKUP($O1828,'Mapa Oficinas'!$A$7:$C$46,3,FALSE)</f>
        <v>Pilar</v>
      </c>
    </row>
    <row r="1829" spans="1:19" x14ac:dyDescent="0.2">
      <c r="A1829" s="1">
        <v>45972</v>
      </c>
      <c r="B1829" t="s">
        <v>3251</v>
      </c>
      <c r="D1829" t="s">
        <v>3252</v>
      </c>
      <c r="E1829" t="s">
        <v>16</v>
      </c>
      <c r="F1829" t="s">
        <v>38</v>
      </c>
      <c r="G1829" s="14">
        <v>195000</v>
      </c>
      <c r="H1829" s="14">
        <v>190000</v>
      </c>
      <c r="I1829" t="s">
        <v>22</v>
      </c>
      <c r="J1829" t="s">
        <v>22</v>
      </c>
      <c r="K1829" t="s">
        <v>3253</v>
      </c>
      <c r="L1829" t="s">
        <v>3254</v>
      </c>
      <c r="M1829" t="s">
        <v>97</v>
      </c>
      <c r="N1829">
        <v>2</v>
      </c>
      <c r="O1829" t="s">
        <v>40</v>
      </c>
      <c r="P1829" t="s">
        <v>44</v>
      </c>
      <c r="Q1829" t="s">
        <v>30</v>
      </c>
      <c r="R1829" t="str">
        <f>VLOOKUP($O1829,'Mapa Oficinas'!$A$7:$C$46,2,FALSE)</f>
        <v>Zona Norte (GBA)</v>
      </c>
      <c r="S1829" t="str">
        <f>VLOOKUP($O1829,'Mapa Oficinas'!$A$7:$C$46,3,FALSE)</f>
        <v>Pilar</v>
      </c>
    </row>
    <row r="1830" spans="1:19" x14ac:dyDescent="0.2">
      <c r="A1830" s="1">
        <v>45972</v>
      </c>
      <c r="B1830" t="s">
        <v>3246</v>
      </c>
      <c r="D1830" t="s">
        <v>3247</v>
      </c>
      <c r="E1830" t="s">
        <v>16</v>
      </c>
      <c r="F1830" t="s">
        <v>17</v>
      </c>
      <c r="G1830" s="14">
        <v>298000</v>
      </c>
      <c r="H1830" s="14">
        <v>302000</v>
      </c>
      <c r="I1830" t="s">
        <v>22</v>
      </c>
      <c r="J1830" t="s">
        <v>22</v>
      </c>
      <c r="K1830" t="s">
        <v>3248</v>
      </c>
      <c r="L1830" t="s">
        <v>478</v>
      </c>
      <c r="M1830" t="s">
        <v>28</v>
      </c>
      <c r="N1830">
        <v>1</v>
      </c>
      <c r="O1830" t="s">
        <v>142</v>
      </c>
      <c r="P1830" t="s">
        <v>146</v>
      </c>
      <c r="Q1830" t="s">
        <v>30</v>
      </c>
      <c r="R1830" t="str">
        <f>VLOOKUP($O1830,'Mapa Oficinas'!$A$7:$C$46,2,FALSE)</f>
        <v>Zona Norte (GBA)</v>
      </c>
      <c r="S1830" t="str">
        <f>VLOOKUP($O1830,'Mapa Oficinas'!$A$7:$C$46,3,FALSE)</f>
        <v>Nordelta</v>
      </c>
    </row>
    <row r="1831" spans="1:19" x14ac:dyDescent="0.2">
      <c r="A1831" s="1">
        <v>45973</v>
      </c>
      <c r="B1831" t="s">
        <v>3228</v>
      </c>
      <c r="D1831" t="s">
        <v>3229</v>
      </c>
      <c r="E1831" t="s">
        <v>16</v>
      </c>
      <c r="F1831" t="s">
        <v>17</v>
      </c>
      <c r="G1831" s="14">
        <v>64000</v>
      </c>
      <c r="H1831" s="14">
        <v>56500</v>
      </c>
      <c r="I1831" t="s">
        <v>22</v>
      </c>
      <c r="J1831" t="s">
        <v>22</v>
      </c>
      <c r="K1831" t="s">
        <v>3230</v>
      </c>
      <c r="L1831" t="s">
        <v>2667</v>
      </c>
      <c r="M1831" t="s">
        <v>19</v>
      </c>
      <c r="N1831">
        <v>2</v>
      </c>
      <c r="O1831" t="s">
        <v>103</v>
      </c>
      <c r="P1831" t="s">
        <v>276</v>
      </c>
      <c r="Q1831" t="s">
        <v>30</v>
      </c>
      <c r="R1831" t="str">
        <f>VLOOKUP($O1831,'Mapa Oficinas'!$A$7:$C$46,2,FALSE)</f>
        <v>CABA</v>
      </c>
      <c r="S1831" t="str">
        <f>VLOOKUP($O1831,'Mapa Oficinas'!$A$7:$C$46,3,FALSE)</f>
        <v>Barrio Parque</v>
      </c>
    </row>
    <row r="1832" spans="1:19" x14ac:dyDescent="0.2">
      <c r="A1832" s="1">
        <v>45973</v>
      </c>
      <c r="B1832" t="s">
        <v>3200</v>
      </c>
      <c r="D1832" t="s">
        <v>3201</v>
      </c>
      <c r="E1832" t="s">
        <v>16</v>
      </c>
      <c r="F1832" t="s">
        <v>82</v>
      </c>
      <c r="G1832" s="14">
        <v>65000</v>
      </c>
      <c r="H1832" s="14">
        <v>58000</v>
      </c>
      <c r="I1832" t="s">
        <v>22</v>
      </c>
      <c r="J1832" t="s">
        <v>22</v>
      </c>
      <c r="K1832" t="s">
        <v>3202</v>
      </c>
      <c r="L1832" t="s">
        <v>3203</v>
      </c>
      <c r="M1832" t="s">
        <v>97</v>
      </c>
      <c r="N1832">
        <v>2</v>
      </c>
      <c r="O1832" t="s">
        <v>55</v>
      </c>
      <c r="P1832" t="s">
        <v>21</v>
      </c>
      <c r="Q1832" t="s">
        <v>30</v>
      </c>
      <c r="R1832" t="str">
        <f>VLOOKUP($O1832,'Mapa Oficinas'!$A$7:$C$46,2,FALSE)</f>
        <v>Interior - Santa Fe</v>
      </c>
      <c r="S1832" t="str">
        <f>VLOOKUP($O1832,'Mapa Oficinas'!$A$7:$C$46,3,FALSE)</f>
        <v>Capital Santa Fe</v>
      </c>
    </row>
    <row r="1833" spans="1:19" x14ac:dyDescent="0.2">
      <c r="A1833" s="1">
        <v>45973</v>
      </c>
      <c r="B1833" t="s">
        <v>3219</v>
      </c>
      <c r="D1833" t="s">
        <v>3220</v>
      </c>
      <c r="E1833" t="s">
        <v>16</v>
      </c>
      <c r="F1833" t="s">
        <v>17</v>
      </c>
      <c r="G1833" s="14">
        <v>79800</v>
      </c>
      <c r="H1833" s="14">
        <v>73000</v>
      </c>
      <c r="I1833" t="s">
        <v>22</v>
      </c>
      <c r="J1833" t="s">
        <v>22</v>
      </c>
      <c r="K1833" t="s">
        <v>3221</v>
      </c>
      <c r="L1833" t="s">
        <v>71</v>
      </c>
      <c r="M1833" t="s">
        <v>19</v>
      </c>
      <c r="N1833">
        <v>2</v>
      </c>
      <c r="O1833" t="s">
        <v>201</v>
      </c>
      <c r="P1833" t="s">
        <v>21</v>
      </c>
      <c r="Q1833" t="s">
        <v>30</v>
      </c>
      <c r="R1833" t="str">
        <f>VLOOKUP($O1833,'Mapa Oficinas'!$A$7:$C$46,2,FALSE)</f>
        <v>CABA</v>
      </c>
      <c r="S1833" t="str">
        <f>VLOOKUP($O1833,'Mapa Oficinas'!$A$7:$C$46,3,FALSE)</f>
        <v>Recoleta</v>
      </c>
    </row>
    <row r="1834" spans="1:19" x14ac:dyDescent="0.2">
      <c r="A1834" s="1">
        <v>45973</v>
      </c>
      <c r="B1834" t="s">
        <v>3210</v>
      </c>
      <c r="D1834" t="s">
        <v>3211</v>
      </c>
      <c r="E1834" t="s">
        <v>16</v>
      </c>
      <c r="F1834" t="s">
        <v>17</v>
      </c>
      <c r="G1834" s="14">
        <v>90000</v>
      </c>
      <c r="H1834" s="14">
        <v>81000</v>
      </c>
      <c r="I1834" t="s">
        <v>22</v>
      </c>
      <c r="J1834" t="s">
        <v>22</v>
      </c>
      <c r="K1834" t="s">
        <v>3212</v>
      </c>
      <c r="L1834" t="s">
        <v>313</v>
      </c>
      <c r="M1834" t="s">
        <v>28</v>
      </c>
      <c r="N1834">
        <v>2</v>
      </c>
      <c r="O1834" t="s">
        <v>213</v>
      </c>
      <c r="P1834" t="s">
        <v>41</v>
      </c>
      <c r="Q1834" t="s">
        <v>30</v>
      </c>
      <c r="R1834" t="str">
        <f>VLOOKUP($O1834,'Mapa Oficinas'!$A$7:$C$46,2,FALSE)</f>
        <v>Interior - Mendoza</v>
      </c>
      <c r="S1834" t="str">
        <f>VLOOKUP($O1834,'Mapa Oficinas'!$A$7:$C$46,3,FALSE)</f>
        <v>San Rafael</v>
      </c>
    </row>
    <row r="1835" spans="1:19" x14ac:dyDescent="0.2">
      <c r="A1835" s="1">
        <v>45973</v>
      </c>
      <c r="B1835" t="s">
        <v>3213</v>
      </c>
      <c r="D1835" t="s">
        <v>3214</v>
      </c>
      <c r="E1835" t="s">
        <v>16</v>
      </c>
      <c r="F1835" t="s">
        <v>17</v>
      </c>
      <c r="G1835" s="14">
        <v>89000</v>
      </c>
      <c r="H1835" s="14">
        <v>85000</v>
      </c>
      <c r="I1835" t="s">
        <v>22</v>
      </c>
      <c r="J1835" t="s">
        <v>22</v>
      </c>
      <c r="K1835" t="s">
        <v>3215</v>
      </c>
      <c r="L1835" t="s">
        <v>191</v>
      </c>
      <c r="M1835" t="s">
        <v>19</v>
      </c>
      <c r="N1835">
        <v>2</v>
      </c>
      <c r="O1835" t="s">
        <v>73</v>
      </c>
      <c r="P1835" t="s">
        <v>36</v>
      </c>
      <c r="Q1835" t="s">
        <v>30</v>
      </c>
      <c r="R1835" t="str">
        <f>VLOOKUP($O1835,'Mapa Oficinas'!$A$7:$C$46,2,FALSE)</f>
        <v>CABA</v>
      </c>
      <c r="S1835" t="str">
        <f>VLOOKUP($O1835,'Mapa Oficinas'!$A$7:$C$46,3,FALSE)</f>
        <v>Recoleta</v>
      </c>
    </row>
    <row r="1836" spans="1:19" x14ac:dyDescent="0.2">
      <c r="A1836" s="1">
        <v>45973</v>
      </c>
      <c r="B1836" t="s">
        <v>3207</v>
      </c>
      <c r="D1836" t="s">
        <v>3208</v>
      </c>
      <c r="E1836" t="s">
        <v>16</v>
      </c>
      <c r="F1836" t="s">
        <v>58</v>
      </c>
      <c r="G1836" s="14">
        <v>109900</v>
      </c>
      <c r="H1836" s="14">
        <v>90000</v>
      </c>
      <c r="I1836" t="s">
        <v>22</v>
      </c>
      <c r="J1836" t="s">
        <v>22</v>
      </c>
      <c r="K1836" t="s">
        <v>3209</v>
      </c>
      <c r="L1836" t="s">
        <v>657</v>
      </c>
      <c r="M1836" t="s">
        <v>28</v>
      </c>
      <c r="N1836">
        <v>2</v>
      </c>
      <c r="O1836" t="s">
        <v>50</v>
      </c>
      <c r="P1836" t="s">
        <v>21</v>
      </c>
      <c r="Q1836" t="s">
        <v>30</v>
      </c>
      <c r="R1836" t="str">
        <f>VLOOKUP($O1836,'Mapa Oficinas'!$A$7:$C$46,2,FALSE)</f>
        <v>CABA</v>
      </c>
      <c r="S1836" t="str">
        <f>VLOOKUP($O1836,'Mapa Oficinas'!$A$7:$C$46,3,FALSE)</f>
        <v>Villa Urquiza</v>
      </c>
    </row>
    <row r="1837" spans="1:19" x14ac:dyDescent="0.2">
      <c r="A1837" s="1">
        <v>45973</v>
      </c>
      <c r="B1837" t="s">
        <v>3222</v>
      </c>
      <c r="D1837" t="s">
        <v>3223</v>
      </c>
      <c r="E1837" t="s">
        <v>16</v>
      </c>
      <c r="F1837" t="s">
        <v>47</v>
      </c>
      <c r="G1837" s="14">
        <v>115000</v>
      </c>
      <c r="H1837" s="14">
        <v>109000</v>
      </c>
      <c r="I1837" t="s">
        <v>22</v>
      </c>
      <c r="J1837" t="s">
        <v>22</v>
      </c>
      <c r="K1837" t="s">
        <v>3224</v>
      </c>
      <c r="L1837" t="s">
        <v>217</v>
      </c>
      <c r="M1837" t="s">
        <v>19</v>
      </c>
      <c r="N1837">
        <v>2</v>
      </c>
      <c r="O1837" t="s">
        <v>142</v>
      </c>
      <c r="P1837" t="s">
        <v>21</v>
      </c>
      <c r="Q1837" t="s">
        <v>30</v>
      </c>
      <c r="R1837" t="str">
        <f>VLOOKUP($O1837,'Mapa Oficinas'!$A$7:$C$46,2,FALSE)</f>
        <v>Zona Norte (GBA)</v>
      </c>
      <c r="S1837" t="str">
        <f>VLOOKUP($O1837,'Mapa Oficinas'!$A$7:$C$46,3,FALSE)</f>
        <v>Nordelta</v>
      </c>
    </row>
    <row r="1838" spans="1:19" x14ac:dyDescent="0.2">
      <c r="A1838" s="1">
        <v>45973</v>
      </c>
      <c r="B1838">
        <v>10563</v>
      </c>
      <c r="D1838" t="s">
        <v>3237</v>
      </c>
      <c r="E1838" t="s">
        <v>16</v>
      </c>
      <c r="F1838" t="s">
        <v>17</v>
      </c>
      <c r="G1838" s="14">
        <v>140000</v>
      </c>
      <c r="H1838" s="14">
        <v>140000</v>
      </c>
      <c r="I1838" t="s">
        <v>22</v>
      </c>
      <c r="J1838" t="s">
        <v>22</v>
      </c>
      <c r="K1838" t="s">
        <v>3237</v>
      </c>
      <c r="L1838" t="s">
        <v>217</v>
      </c>
      <c r="M1838" t="s">
        <v>19</v>
      </c>
      <c r="N1838">
        <v>2</v>
      </c>
      <c r="O1838" t="s">
        <v>103</v>
      </c>
      <c r="P1838" t="s">
        <v>21</v>
      </c>
      <c r="Q1838" t="s">
        <v>30</v>
      </c>
      <c r="R1838" t="str">
        <f>VLOOKUP($O1838,'Mapa Oficinas'!$A$7:$C$46,2,FALSE)</f>
        <v>CABA</v>
      </c>
      <c r="S1838" t="str">
        <f>VLOOKUP($O1838,'Mapa Oficinas'!$A$7:$C$46,3,FALSE)</f>
        <v>Barrio Parque</v>
      </c>
    </row>
    <row r="1839" spans="1:19" x14ac:dyDescent="0.2">
      <c r="A1839" s="1">
        <v>45973</v>
      </c>
      <c r="B1839" t="s">
        <v>3216</v>
      </c>
      <c r="D1839" t="s">
        <v>3217</v>
      </c>
      <c r="E1839" t="s">
        <v>16</v>
      </c>
      <c r="F1839" t="s">
        <v>17</v>
      </c>
      <c r="G1839" s="14">
        <v>275000</v>
      </c>
      <c r="H1839" s="14">
        <v>260000</v>
      </c>
      <c r="I1839" t="s">
        <v>22</v>
      </c>
      <c r="J1839" t="s">
        <v>22</v>
      </c>
      <c r="K1839" t="s">
        <v>3218</v>
      </c>
      <c r="L1839" t="s">
        <v>1335</v>
      </c>
      <c r="M1839" t="s">
        <v>28</v>
      </c>
      <c r="N1839">
        <v>2</v>
      </c>
      <c r="O1839" t="s">
        <v>142</v>
      </c>
      <c r="P1839" t="s">
        <v>41</v>
      </c>
      <c r="Q1839" t="s">
        <v>30</v>
      </c>
      <c r="R1839" t="str">
        <f>VLOOKUP($O1839,'Mapa Oficinas'!$A$7:$C$46,2,FALSE)</f>
        <v>Zona Norte (GBA)</v>
      </c>
      <c r="S1839" t="str">
        <f>VLOOKUP($O1839,'Mapa Oficinas'!$A$7:$C$46,3,FALSE)</f>
        <v>Nordelta</v>
      </c>
    </row>
    <row r="1840" spans="1:19" x14ac:dyDescent="0.2">
      <c r="A1840" s="1">
        <v>45973</v>
      </c>
      <c r="B1840" t="s">
        <v>3234</v>
      </c>
      <c r="D1840" t="s">
        <v>3235</v>
      </c>
      <c r="E1840" t="s">
        <v>16</v>
      </c>
      <c r="F1840" t="s">
        <v>17</v>
      </c>
      <c r="G1840" s="14">
        <v>305000</v>
      </c>
      <c r="H1840" s="14">
        <v>345000</v>
      </c>
      <c r="I1840" t="s">
        <v>22</v>
      </c>
      <c r="J1840" t="s">
        <v>22</v>
      </c>
      <c r="K1840" t="s">
        <v>3236</v>
      </c>
      <c r="L1840" t="s">
        <v>271</v>
      </c>
      <c r="M1840" t="s">
        <v>19</v>
      </c>
      <c r="N1840">
        <v>2</v>
      </c>
      <c r="O1840" t="s">
        <v>103</v>
      </c>
      <c r="P1840" t="s">
        <v>21</v>
      </c>
      <c r="Q1840" t="s">
        <v>30</v>
      </c>
      <c r="R1840" t="str">
        <f>VLOOKUP($O1840,'Mapa Oficinas'!$A$7:$C$46,2,FALSE)</f>
        <v>CABA</v>
      </c>
      <c r="S1840" t="str">
        <f>VLOOKUP($O1840,'Mapa Oficinas'!$A$7:$C$46,3,FALSE)</f>
        <v>Barrio Parque</v>
      </c>
    </row>
    <row r="1841" spans="1:19" x14ac:dyDescent="0.2">
      <c r="A1841" s="1">
        <v>45973</v>
      </c>
      <c r="B1841" t="s">
        <v>3231</v>
      </c>
      <c r="D1841" t="s">
        <v>3232</v>
      </c>
      <c r="E1841" t="s">
        <v>16</v>
      </c>
      <c r="F1841" t="s">
        <v>1708</v>
      </c>
      <c r="G1841" s="14">
        <v>700000</v>
      </c>
      <c r="H1841" s="14">
        <v>550000</v>
      </c>
      <c r="I1841" t="s">
        <v>22</v>
      </c>
      <c r="J1841" t="s">
        <v>22</v>
      </c>
      <c r="K1841" t="s">
        <v>3233</v>
      </c>
      <c r="L1841" t="s">
        <v>205</v>
      </c>
      <c r="M1841" t="s">
        <v>97</v>
      </c>
      <c r="N1841">
        <v>2</v>
      </c>
      <c r="O1841" t="s">
        <v>103</v>
      </c>
      <c r="P1841" t="s">
        <v>41</v>
      </c>
      <c r="Q1841" t="s">
        <v>30</v>
      </c>
      <c r="R1841" t="str">
        <f>VLOOKUP($O1841,'Mapa Oficinas'!$A$7:$C$46,2,FALSE)</f>
        <v>CABA</v>
      </c>
      <c r="S1841" t="str">
        <f>VLOOKUP($O1841,'Mapa Oficinas'!$A$7:$C$46,3,FALSE)</f>
        <v>Barrio Parque</v>
      </c>
    </row>
    <row r="1842" spans="1:19" x14ac:dyDescent="0.2">
      <c r="A1842" s="1">
        <v>45974</v>
      </c>
      <c r="B1842" t="s">
        <v>3166</v>
      </c>
      <c r="D1842" t="s">
        <v>3167</v>
      </c>
      <c r="E1842" t="s">
        <v>16</v>
      </c>
      <c r="F1842" t="s">
        <v>243</v>
      </c>
      <c r="G1842" s="14">
        <v>55000</v>
      </c>
      <c r="H1842" s="14">
        <v>50000</v>
      </c>
      <c r="I1842" t="s">
        <v>22</v>
      </c>
      <c r="J1842" t="s">
        <v>22</v>
      </c>
      <c r="K1842" t="s">
        <v>3168</v>
      </c>
      <c r="L1842" t="s">
        <v>245</v>
      </c>
      <c r="M1842" t="s">
        <v>19</v>
      </c>
      <c r="N1842">
        <v>2</v>
      </c>
      <c r="O1842" t="s">
        <v>246</v>
      </c>
      <c r="P1842" t="s">
        <v>21</v>
      </c>
      <c r="Q1842" t="s">
        <v>30</v>
      </c>
      <c r="R1842" t="str">
        <f>VLOOKUP($O1842,'Mapa Oficinas'!$A$7:$C$46,2,FALSE)</f>
        <v>Interior - Salta</v>
      </c>
      <c r="S1842" t="str">
        <f>VLOOKUP($O1842,'Mapa Oficinas'!$A$7:$C$46,3,FALSE)</f>
        <v>San Lorenzo Chico</v>
      </c>
    </row>
    <row r="1843" spans="1:19" x14ac:dyDescent="0.2">
      <c r="A1843" s="1">
        <v>45974</v>
      </c>
      <c r="B1843" t="s">
        <v>3190</v>
      </c>
      <c r="D1843" t="s">
        <v>3191</v>
      </c>
      <c r="E1843" t="s">
        <v>16</v>
      </c>
      <c r="F1843" t="s">
        <v>17</v>
      </c>
      <c r="G1843" s="14">
        <v>62000</v>
      </c>
      <c r="H1843" s="14">
        <v>56500</v>
      </c>
      <c r="I1843" t="s">
        <v>22</v>
      </c>
      <c r="J1843" t="s">
        <v>22</v>
      </c>
      <c r="K1843" t="s">
        <v>3192</v>
      </c>
      <c r="L1843" t="s">
        <v>205</v>
      </c>
      <c r="M1843" t="s">
        <v>19</v>
      </c>
      <c r="N1843">
        <v>2</v>
      </c>
      <c r="O1843" t="s">
        <v>103</v>
      </c>
      <c r="P1843" t="s">
        <v>21</v>
      </c>
      <c r="Q1843" t="s">
        <v>30</v>
      </c>
      <c r="R1843" t="str">
        <f>VLOOKUP($O1843,'Mapa Oficinas'!$A$7:$C$46,2,FALSE)</f>
        <v>CABA</v>
      </c>
      <c r="S1843" t="str">
        <f>VLOOKUP($O1843,'Mapa Oficinas'!$A$7:$C$46,3,FALSE)</f>
        <v>Barrio Parque</v>
      </c>
    </row>
    <row r="1844" spans="1:19" x14ac:dyDescent="0.2">
      <c r="A1844" s="1">
        <v>45974</v>
      </c>
      <c r="B1844" t="s">
        <v>3193</v>
      </c>
      <c r="D1844" t="s">
        <v>3194</v>
      </c>
      <c r="E1844" t="s">
        <v>16</v>
      </c>
      <c r="F1844" t="s">
        <v>17</v>
      </c>
      <c r="G1844" s="14">
        <v>60000</v>
      </c>
      <c r="H1844" s="14">
        <v>57000</v>
      </c>
      <c r="I1844" t="s">
        <v>22</v>
      </c>
      <c r="J1844" t="s">
        <v>22</v>
      </c>
      <c r="K1844" t="s">
        <v>3195</v>
      </c>
      <c r="L1844" t="s">
        <v>888</v>
      </c>
      <c r="M1844" t="s">
        <v>19</v>
      </c>
      <c r="N1844">
        <v>2</v>
      </c>
      <c r="O1844" t="s">
        <v>20</v>
      </c>
      <c r="P1844" t="s">
        <v>21</v>
      </c>
      <c r="Q1844" t="s">
        <v>30</v>
      </c>
      <c r="R1844" t="str">
        <f>VLOOKUP($O1844,'Mapa Oficinas'!$A$7:$C$46,2,FALSE)</f>
        <v>CABA</v>
      </c>
      <c r="S1844" t="str">
        <f>VLOOKUP($O1844,'Mapa Oficinas'!$A$7:$C$46,3,FALSE)</f>
        <v>Palermo</v>
      </c>
    </row>
    <row r="1845" spans="1:19" x14ac:dyDescent="0.2">
      <c r="A1845" s="1">
        <v>45974</v>
      </c>
      <c r="B1845" t="s">
        <v>3174</v>
      </c>
      <c r="D1845" t="s">
        <v>2905</v>
      </c>
      <c r="E1845" t="s">
        <v>16</v>
      </c>
      <c r="F1845" t="s">
        <v>58</v>
      </c>
      <c r="G1845" s="14">
        <v>53280</v>
      </c>
      <c r="H1845" s="14">
        <v>58336</v>
      </c>
      <c r="I1845" t="s">
        <v>22</v>
      </c>
      <c r="J1845" t="s">
        <v>22</v>
      </c>
      <c r="K1845" t="s">
        <v>3175</v>
      </c>
      <c r="L1845" t="s">
        <v>1004</v>
      </c>
      <c r="M1845" t="s">
        <v>19</v>
      </c>
      <c r="N1845">
        <v>2</v>
      </c>
      <c r="O1845" t="s">
        <v>50</v>
      </c>
      <c r="P1845" t="s">
        <v>21</v>
      </c>
      <c r="Q1845" t="s">
        <v>30</v>
      </c>
      <c r="R1845" t="str">
        <f>VLOOKUP($O1845,'Mapa Oficinas'!$A$7:$C$46,2,FALSE)</f>
        <v>CABA</v>
      </c>
      <c r="S1845" t="str">
        <f>VLOOKUP($O1845,'Mapa Oficinas'!$A$7:$C$46,3,FALSE)</f>
        <v>Villa Urquiza</v>
      </c>
    </row>
    <row r="1846" spans="1:19" x14ac:dyDescent="0.2">
      <c r="A1846" s="1">
        <v>45974</v>
      </c>
      <c r="B1846" t="s">
        <v>3186</v>
      </c>
      <c r="D1846" t="s">
        <v>3187</v>
      </c>
      <c r="E1846" t="s">
        <v>16</v>
      </c>
      <c r="F1846" t="s">
        <v>17</v>
      </c>
      <c r="G1846" s="14">
        <v>63000</v>
      </c>
      <c r="H1846" s="14">
        <v>61000</v>
      </c>
      <c r="I1846" t="s">
        <v>22</v>
      </c>
      <c r="J1846" t="s">
        <v>22</v>
      </c>
      <c r="K1846" t="s">
        <v>3188</v>
      </c>
      <c r="L1846" t="s">
        <v>653</v>
      </c>
      <c r="M1846" t="s">
        <v>19</v>
      </c>
      <c r="N1846">
        <v>2</v>
      </c>
      <c r="O1846" t="s">
        <v>198</v>
      </c>
      <c r="P1846" t="s">
        <v>21</v>
      </c>
      <c r="Q1846" t="s">
        <v>30</v>
      </c>
      <c r="R1846" t="str">
        <f>VLOOKUP($O1846,'Mapa Oficinas'!$A$7:$C$46,2,FALSE)</f>
        <v>CABA</v>
      </c>
      <c r="S1846" t="str">
        <f>VLOOKUP($O1846,'Mapa Oficinas'!$A$7:$C$46,3,FALSE)</f>
        <v>Caballito</v>
      </c>
    </row>
    <row r="1847" spans="1:19" x14ac:dyDescent="0.2">
      <c r="A1847" s="1">
        <v>45974</v>
      </c>
      <c r="B1847" t="s">
        <v>3183</v>
      </c>
      <c r="D1847" t="s">
        <v>3184</v>
      </c>
      <c r="E1847" t="s">
        <v>16</v>
      </c>
      <c r="F1847" t="s">
        <v>17</v>
      </c>
      <c r="G1847" s="14">
        <v>70000</v>
      </c>
      <c r="H1847" s="14">
        <v>67000</v>
      </c>
      <c r="I1847" t="s">
        <v>22</v>
      </c>
      <c r="J1847" t="s">
        <v>22</v>
      </c>
      <c r="K1847" t="s">
        <v>3185</v>
      </c>
      <c r="L1847" t="s">
        <v>71</v>
      </c>
      <c r="M1847" t="s">
        <v>19</v>
      </c>
      <c r="N1847">
        <v>2</v>
      </c>
      <c r="O1847" t="s">
        <v>201</v>
      </c>
      <c r="P1847" t="s">
        <v>276</v>
      </c>
      <c r="Q1847" t="s">
        <v>30</v>
      </c>
      <c r="R1847" t="str">
        <f>VLOOKUP($O1847,'Mapa Oficinas'!$A$7:$C$46,2,FALSE)</f>
        <v>CABA</v>
      </c>
      <c r="S1847" t="str">
        <f>VLOOKUP($O1847,'Mapa Oficinas'!$A$7:$C$46,3,FALSE)</f>
        <v>Recoleta</v>
      </c>
    </row>
    <row r="1848" spans="1:19" x14ac:dyDescent="0.2">
      <c r="A1848" s="1">
        <v>45974</v>
      </c>
      <c r="B1848" t="s">
        <v>3176</v>
      </c>
      <c r="D1848" t="s">
        <v>643</v>
      </c>
      <c r="E1848" t="s">
        <v>16</v>
      </c>
      <c r="F1848" t="s">
        <v>53</v>
      </c>
      <c r="G1848" s="14">
        <v>97000</v>
      </c>
      <c r="H1848" s="14">
        <v>94000</v>
      </c>
      <c r="I1848" t="s">
        <v>22</v>
      </c>
      <c r="J1848" t="s">
        <v>22</v>
      </c>
      <c r="K1848" t="s">
        <v>3177</v>
      </c>
      <c r="L1848" t="s">
        <v>1918</v>
      </c>
      <c r="M1848" t="s">
        <v>28</v>
      </c>
      <c r="N1848">
        <v>2</v>
      </c>
      <c r="O1848" t="s">
        <v>213</v>
      </c>
      <c r="P1848" t="s">
        <v>1578</v>
      </c>
      <c r="Q1848" t="s">
        <v>30</v>
      </c>
      <c r="R1848" t="str">
        <f>VLOOKUP($O1848,'Mapa Oficinas'!$A$7:$C$46,2,FALSE)</f>
        <v>Interior - Mendoza</v>
      </c>
      <c r="S1848" t="str">
        <f>VLOOKUP($O1848,'Mapa Oficinas'!$A$7:$C$46,3,FALSE)</f>
        <v>San Rafael</v>
      </c>
    </row>
    <row r="1849" spans="1:19" x14ac:dyDescent="0.2">
      <c r="A1849" s="1">
        <v>45974</v>
      </c>
      <c r="B1849" t="s">
        <v>2092</v>
      </c>
      <c r="D1849" t="s">
        <v>2093</v>
      </c>
      <c r="E1849" t="s">
        <v>16</v>
      </c>
      <c r="F1849" t="s">
        <v>17</v>
      </c>
      <c r="G1849" s="14">
        <v>106000</v>
      </c>
      <c r="H1849" s="14">
        <v>102000</v>
      </c>
      <c r="I1849" t="s">
        <v>22</v>
      </c>
      <c r="J1849" t="s">
        <v>22</v>
      </c>
      <c r="K1849" t="s">
        <v>2094</v>
      </c>
      <c r="L1849" t="s">
        <v>1064</v>
      </c>
      <c r="M1849" t="s">
        <v>19</v>
      </c>
      <c r="N1849">
        <v>2</v>
      </c>
      <c r="O1849" t="s">
        <v>547</v>
      </c>
      <c r="P1849" t="s">
        <v>276</v>
      </c>
      <c r="Q1849" t="s">
        <v>30</v>
      </c>
      <c r="R1849" t="str">
        <f>VLOOKUP($O1849,'Mapa Oficinas'!$A$7:$C$46,2,FALSE)</f>
        <v>CABA</v>
      </c>
      <c r="S1849" t="str">
        <f>VLOOKUP($O1849,'Mapa Oficinas'!$A$7:$C$46,3,FALSE)</f>
        <v>Núñez</v>
      </c>
    </row>
    <row r="1850" spans="1:19" x14ac:dyDescent="0.2">
      <c r="A1850" s="1">
        <v>45974</v>
      </c>
      <c r="B1850" t="s">
        <v>3169</v>
      </c>
      <c r="D1850" t="s">
        <v>3170</v>
      </c>
      <c r="E1850" t="s">
        <v>16</v>
      </c>
      <c r="F1850" t="s">
        <v>1708</v>
      </c>
      <c r="G1850" s="14">
        <v>115000</v>
      </c>
      <c r="H1850" s="14">
        <v>115000</v>
      </c>
      <c r="I1850" t="s">
        <v>22</v>
      </c>
      <c r="J1850" t="s">
        <v>22</v>
      </c>
      <c r="K1850" t="s">
        <v>3171</v>
      </c>
      <c r="L1850" t="s">
        <v>245</v>
      </c>
      <c r="M1850" t="s">
        <v>19</v>
      </c>
      <c r="N1850">
        <v>1</v>
      </c>
      <c r="O1850" t="s">
        <v>246</v>
      </c>
      <c r="P1850" t="s">
        <v>66</v>
      </c>
      <c r="Q1850" t="s">
        <v>30</v>
      </c>
      <c r="R1850" t="str">
        <f>VLOOKUP($O1850,'Mapa Oficinas'!$A$7:$C$46,2,FALSE)</f>
        <v>Interior - Salta</v>
      </c>
      <c r="S1850" t="str">
        <f>VLOOKUP($O1850,'Mapa Oficinas'!$A$7:$C$46,3,FALSE)</f>
        <v>San Lorenzo Chico</v>
      </c>
    </row>
    <row r="1851" spans="1:19" x14ac:dyDescent="0.2">
      <c r="A1851" s="1">
        <v>45974</v>
      </c>
      <c r="B1851" t="s">
        <v>1515</v>
      </c>
      <c r="D1851" t="s">
        <v>719</v>
      </c>
      <c r="E1851" t="s">
        <v>16</v>
      </c>
      <c r="F1851" t="s">
        <v>17</v>
      </c>
      <c r="G1851" s="14">
        <v>143000</v>
      </c>
      <c r="H1851" s="14">
        <v>127000</v>
      </c>
      <c r="I1851" t="s">
        <v>22</v>
      </c>
      <c r="J1851" t="s">
        <v>22</v>
      </c>
      <c r="K1851" t="s">
        <v>720</v>
      </c>
      <c r="L1851" t="s">
        <v>330</v>
      </c>
      <c r="M1851" t="s">
        <v>19</v>
      </c>
      <c r="N1851">
        <v>2</v>
      </c>
      <c r="O1851" t="s">
        <v>547</v>
      </c>
      <c r="P1851" t="s">
        <v>276</v>
      </c>
      <c r="Q1851" t="s">
        <v>30</v>
      </c>
      <c r="R1851" t="str">
        <f>VLOOKUP($O1851,'Mapa Oficinas'!$A$7:$C$46,2,FALSE)</f>
        <v>CABA</v>
      </c>
      <c r="S1851" t="str">
        <f>VLOOKUP($O1851,'Mapa Oficinas'!$A$7:$C$46,3,FALSE)</f>
        <v>Núñez</v>
      </c>
    </row>
    <row r="1852" spans="1:19" x14ac:dyDescent="0.2">
      <c r="A1852" s="1">
        <v>45974</v>
      </c>
      <c r="B1852" t="s">
        <v>3181</v>
      </c>
      <c r="D1852" t="s">
        <v>3182</v>
      </c>
      <c r="E1852" t="s">
        <v>16</v>
      </c>
      <c r="F1852" t="s">
        <v>17</v>
      </c>
      <c r="G1852" s="14">
        <v>139000</v>
      </c>
      <c r="H1852" s="14">
        <v>139000</v>
      </c>
      <c r="I1852" t="s">
        <v>22</v>
      </c>
      <c r="J1852" t="s">
        <v>22</v>
      </c>
      <c r="K1852" t="s">
        <v>3182</v>
      </c>
      <c r="L1852" t="s">
        <v>1644</v>
      </c>
      <c r="M1852" t="s">
        <v>19</v>
      </c>
      <c r="N1852">
        <v>2</v>
      </c>
      <c r="O1852" t="s">
        <v>142</v>
      </c>
      <c r="P1852" t="s">
        <v>21</v>
      </c>
      <c r="Q1852" t="s">
        <v>30</v>
      </c>
      <c r="R1852" t="str">
        <f>VLOOKUP($O1852,'Mapa Oficinas'!$A$7:$C$46,2,FALSE)</f>
        <v>Zona Norte (GBA)</v>
      </c>
      <c r="S1852" t="str">
        <f>VLOOKUP($O1852,'Mapa Oficinas'!$A$7:$C$46,3,FALSE)</f>
        <v>Nordelta</v>
      </c>
    </row>
    <row r="1853" spans="1:19" x14ac:dyDescent="0.2">
      <c r="A1853" s="1">
        <v>45974</v>
      </c>
      <c r="B1853" t="s">
        <v>3178</v>
      </c>
      <c r="D1853" t="s">
        <v>3179</v>
      </c>
      <c r="E1853" t="s">
        <v>16</v>
      </c>
      <c r="F1853" t="s">
        <v>17</v>
      </c>
      <c r="G1853" s="14">
        <v>136000</v>
      </c>
      <c r="H1853" s="14">
        <v>152000</v>
      </c>
      <c r="I1853" t="s">
        <v>22</v>
      </c>
      <c r="J1853" t="s">
        <v>22</v>
      </c>
      <c r="K1853" t="s">
        <v>3180</v>
      </c>
      <c r="L1853" t="s">
        <v>49</v>
      </c>
      <c r="M1853" t="s">
        <v>13</v>
      </c>
      <c r="N1853">
        <v>2</v>
      </c>
      <c r="O1853" t="s">
        <v>142</v>
      </c>
      <c r="P1853" t="s">
        <v>21</v>
      </c>
      <c r="Q1853" t="s">
        <v>30</v>
      </c>
      <c r="R1853" t="str">
        <f>VLOOKUP($O1853,'Mapa Oficinas'!$A$7:$C$46,2,FALSE)</f>
        <v>Zona Norte (GBA)</v>
      </c>
      <c r="S1853" t="str">
        <f>VLOOKUP($O1853,'Mapa Oficinas'!$A$7:$C$46,3,FALSE)</f>
        <v>Nordelta</v>
      </c>
    </row>
    <row r="1854" spans="1:19" x14ac:dyDescent="0.2">
      <c r="A1854" s="1">
        <v>45974</v>
      </c>
      <c r="B1854">
        <v>10271</v>
      </c>
      <c r="D1854" t="s">
        <v>3189</v>
      </c>
      <c r="E1854" t="s">
        <v>16</v>
      </c>
      <c r="F1854" t="s">
        <v>17</v>
      </c>
      <c r="G1854" s="14">
        <v>201000</v>
      </c>
      <c r="H1854" s="14">
        <v>201000</v>
      </c>
      <c r="I1854" t="s">
        <v>22</v>
      </c>
      <c r="J1854" t="s">
        <v>22</v>
      </c>
      <c r="K1854" t="s">
        <v>3189</v>
      </c>
      <c r="L1854" t="s">
        <v>576</v>
      </c>
      <c r="M1854" t="s">
        <v>28</v>
      </c>
      <c r="N1854">
        <v>1</v>
      </c>
      <c r="O1854" t="s">
        <v>103</v>
      </c>
      <c r="P1854" t="s">
        <v>146</v>
      </c>
      <c r="Q1854" t="s">
        <v>30</v>
      </c>
      <c r="R1854" t="str">
        <f>VLOOKUP($O1854,'Mapa Oficinas'!$A$7:$C$46,2,FALSE)</f>
        <v>CABA</v>
      </c>
      <c r="S1854" t="str">
        <f>VLOOKUP($O1854,'Mapa Oficinas'!$A$7:$C$46,3,FALSE)</f>
        <v>Barrio Parque</v>
      </c>
    </row>
    <row r="1855" spans="1:19" x14ac:dyDescent="0.2">
      <c r="A1855" s="1">
        <v>45974</v>
      </c>
      <c r="B1855" t="s">
        <v>3172</v>
      </c>
      <c r="D1855" t="s">
        <v>3173</v>
      </c>
      <c r="E1855" t="s">
        <v>16</v>
      </c>
      <c r="F1855" t="s">
        <v>17</v>
      </c>
      <c r="G1855" s="14">
        <v>240000</v>
      </c>
      <c r="H1855" s="14">
        <v>240000</v>
      </c>
      <c r="I1855" t="s">
        <v>22</v>
      </c>
      <c r="J1855" t="s">
        <v>22</v>
      </c>
      <c r="K1855" t="s">
        <v>723</v>
      </c>
      <c r="L1855" t="s">
        <v>441</v>
      </c>
      <c r="M1855" t="s">
        <v>97</v>
      </c>
      <c r="N1855">
        <v>2</v>
      </c>
      <c r="O1855" t="s">
        <v>40</v>
      </c>
      <c r="P1855" t="s">
        <v>44</v>
      </c>
      <c r="Q1855" t="s">
        <v>30</v>
      </c>
      <c r="R1855" t="str">
        <f>VLOOKUP($O1855,'Mapa Oficinas'!$A$7:$C$46,2,FALSE)</f>
        <v>Zona Norte (GBA)</v>
      </c>
      <c r="S1855" t="str">
        <f>VLOOKUP($O1855,'Mapa Oficinas'!$A$7:$C$46,3,FALSE)</f>
        <v>Pilar</v>
      </c>
    </row>
    <row r="1856" spans="1:19" x14ac:dyDescent="0.2">
      <c r="A1856" s="1">
        <v>45974</v>
      </c>
      <c r="B1856" t="s">
        <v>3157</v>
      </c>
      <c r="D1856" t="s">
        <v>3158</v>
      </c>
      <c r="E1856" t="s">
        <v>16</v>
      </c>
      <c r="F1856" t="s">
        <v>17</v>
      </c>
      <c r="G1856" s="14">
        <v>350000</v>
      </c>
      <c r="H1856" s="14">
        <v>335000</v>
      </c>
      <c r="I1856" t="s">
        <v>22</v>
      </c>
      <c r="J1856" t="s">
        <v>22</v>
      </c>
      <c r="K1856" t="s">
        <v>1145</v>
      </c>
      <c r="L1856" t="s">
        <v>3159</v>
      </c>
      <c r="M1856" t="s">
        <v>28</v>
      </c>
      <c r="N1856">
        <v>1</v>
      </c>
      <c r="O1856" t="s">
        <v>227</v>
      </c>
      <c r="P1856" t="s">
        <v>66</v>
      </c>
      <c r="Q1856" t="s">
        <v>30</v>
      </c>
      <c r="R1856" t="str">
        <f>VLOOKUP($O1856,'Mapa Oficinas'!$A$7:$C$46,2,FALSE)</f>
        <v>Zona Oeste (GBA)</v>
      </c>
      <c r="S1856" t="str">
        <f>VLOOKUP($O1856,'Mapa Oficinas'!$A$7:$C$46,3,FALSE)</f>
        <v>Parque Leloir</v>
      </c>
    </row>
    <row r="1857" spans="1:19" x14ac:dyDescent="0.2">
      <c r="A1857" s="1">
        <v>45975</v>
      </c>
      <c r="B1857" t="s">
        <v>3154</v>
      </c>
      <c r="D1857" t="s">
        <v>3155</v>
      </c>
      <c r="E1857" t="s">
        <v>16</v>
      </c>
      <c r="F1857" t="s">
        <v>82</v>
      </c>
      <c r="G1857" s="14">
        <v>60000</v>
      </c>
      <c r="H1857" s="14">
        <v>53000</v>
      </c>
      <c r="I1857" t="s">
        <v>22</v>
      </c>
      <c r="J1857" t="s">
        <v>22</v>
      </c>
      <c r="K1857" t="s">
        <v>3156</v>
      </c>
      <c r="L1857" t="s">
        <v>2751</v>
      </c>
      <c r="M1857" t="s">
        <v>97</v>
      </c>
      <c r="N1857">
        <v>1</v>
      </c>
      <c r="O1857" t="s">
        <v>65</v>
      </c>
      <c r="P1857" t="s">
        <v>66</v>
      </c>
      <c r="Q1857" t="s">
        <v>30</v>
      </c>
      <c r="R1857" t="str">
        <f>VLOOKUP($O1857,'Mapa Oficinas'!$A$7:$C$46,2,FALSE)</f>
        <v>Interior - Mendoza</v>
      </c>
      <c r="S1857" t="str">
        <f>VLOOKUP($O1857,'Mapa Oficinas'!$A$7:$C$46,3,FALSE)</f>
        <v>Capital Mendoza</v>
      </c>
    </row>
    <row r="1858" spans="1:19" x14ac:dyDescent="0.2">
      <c r="A1858" s="1">
        <v>45975</v>
      </c>
      <c r="B1858" t="s">
        <v>3140</v>
      </c>
      <c r="D1858" t="s">
        <v>668</v>
      </c>
      <c r="E1858" t="s">
        <v>16</v>
      </c>
      <c r="F1858" t="s">
        <v>17</v>
      </c>
      <c r="G1858" s="14">
        <v>61500</v>
      </c>
      <c r="H1858" s="14">
        <v>61500</v>
      </c>
      <c r="I1858" t="s">
        <v>22</v>
      </c>
      <c r="J1858" t="s">
        <v>22</v>
      </c>
      <c r="K1858" t="s">
        <v>3141</v>
      </c>
      <c r="L1858" t="s">
        <v>54</v>
      </c>
      <c r="M1858" t="s">
        <v>28</v>
      </c>
      <c r="N1858">
        <v>1</v>
      </c>
      <c r="O1858" t="s">
        <v>55</v>
      </c>
      <c r="P1858" t="s">
        <v>131</v>
      </c>
      <c r="Q1858" t="s">
        <v>30</v>
      </c>
      <c r="R1858" t="str">
        <f>VLOOKUP($O1858,'Mapa Oficinas'!$A$7:$C$46,2,FALSE)</f>
        <v>Interior - Santa Fe</v>
      </c>
      <c r="S1858" t="str">
        <f>VLOOKUP($O1858,'Mapa Oficinas'!$A$7:$C$46,3,FALSE)</f>
        <v>Capital Santa Fe</v>
      </c>
    </row>
    <row r="1859" spans="1:19" x14ac:dyDescent="0.2">
      <c r="A1859" s="1">
        <v>45975</v>
      </c>
      <c r="B1859" t="s">
        <v>3151</v>
      </c>
      <c r="D1859" t="s">
        <v>2533</v>
      </c>
      <c r="E1859" t="s">
        <v>16</v>
      </c>
      <c r="F1859" t="s">
        <v>82</v>
      </c>
      <c r="G1859" s="14">
        <v>73000</v>
      </c>
      <c r="H1859" s="14">
        <v>69000</v>
      </c>
      <c r="I1859" t="s">
        <v>22</v>
      </c>
      <c r="J1859" t="s">
        <v>22</v>
      </c>
      <c r="K1859" t="s">
        <v>3152</v>
      </c>
      <c r="L1859" t="s">
        <v>3153</v>
      </c>
      <c r="M1859" t="s">
        <v>19</v>
      </c>
      <c r="N1859">
        <v>1</v>
      </c>
      <c r="O1859" t="s">
        <v>55</v>
      </c>
      <c r="P1859" t="s">
        <v>131</v>
      </c>
      <c r="Q1859" t="s">
        <v>30</v>
      </c>
      <c r="R1859" t="str">
        <f>VLOOKUP($O1859,'Mapa Oficinas'!$A$7:$C$46,2,FALSE)</f>
        <v>Interior - Santa Fe</v>
      </c>
      <c r="S1859" t="str">
        <f>VLOOKUP($O1859,'Mapa Oficinas'!$A$7:$C$46,3,FALSE)</f>
        <v>Capital Santa Fe</v>
      </c>
    </row>
    <row r="1860" spans="1:19" x14ac:dyDescent="0.2">
      <c r="A1860" s="1">
        <v>45975</v>
      </c>
      <c r="B1860">
        <v>10597</v>
      </c>
      <c r="D1860" t="s">
        <v>1074</v>
      </c>
      <c r="E1860" t="s">
        <v>16</v>
      </c>
      <c r="F1860" t="s">
        <v>17</v>
      </c>
      <c r="G1860" s="14">
        <v>73000</v>
      </c>
      <c r="H1860" s="14">
        <v>73000</v>
      </c>
      <c r="I1860" t="s">
        <v>22</v>
      </c>
      <c r="J1860" t="s">
        <v>22</v>
      </c>
      <c r="K1860" t="s">
        <v>3133</v>
      </c>
      <c r="L1860" t="s">
        <v>512</v>
      </c>
      <c r="M1860" t="s">
        <v>19</v>
      </c>
      <c r="N1860">
        <v>1</v>
      </c>
      <c r="O1860" t="s">
        <v>103</v>
      </c>
      <c r="P1860" t="s">
        <v>146</v>
      </c>
      <c r="Q1860" t="s">
        <v>30</v>
      </c>
      <c r="R1860" t="str">
        <f>VLOOKUP($O1860,'Mapa Oficinas'!$A$7:$C$46,2,FALSE)</f>
        <v>CABA</v>
      </c>
      <c r="S1860" t="str">
        <f>VLOOKUP($O1860,'Mapa Oficinas'!$A$7:$C$46,3,FALSE)</f>
        <v>Barrio Parque</v>
      </c>
    </row>
    <row r="1861" spans="1:19" x14ac:dyDescent="0.2">
      <c r="A1861" s="1">
        <v>45975</v>
      </c>
      <c r="B1861" t="s">
        <v>3142</v>
      </c>
      <c r="D1861" t="s">
        <v>3143</v>
      </c>
      <c r="E1861" t="s">
        <v>16</v>
      </c>
      <c r="F1861" t="s">
        <v>17</v>
      </c>
      <c r="G1861" s="14">
        <v>110000</v>
      </c>
      <c r="H1861" s="14">
        <v>105000</v>
      </c>
      <c r="I1861" t="s">
        <v>22</v>
      </c>
      <c r="J1861" t="s">
        <v>22</v>
      </c>
      <c r="K1861" t="s">
        <v>3144</v>
      </c>
      <c r="L1861" t="s">
        <v>503</v>
      </c>
      <c r="M1861" t="s">
        <v>19</v>
      </c>
      <c r="N1861">
        <v>2</v>
      </c>
      <c r="O1861" t="s">
        <v>206</v>
      </c>
      <c r="P1861" t="s">
        <v>21</v>
      </c>
      <c r="Q1861" t="s">
        <v>30</v>
      </c>
      <c r="R1861" t="str">
        <f>VLOOKUP($O1861,'Mapa Oficinas'!$A$7:$C$46,2,FALSE)</f>
        <v>CABA</v>
      </c>
      <c r="S1861" t="str">
        <f>VLOOKUP($O1861,'Mapa Oficinas'!$A$7:$C$46,3,FALSE)</f>
        <v>Belgrano</v>
      </c>
    </row>
    <row r="1862" spans="1:19" x14ac:dyDescent="0.2">
      <c r="A1862" s="1">
        <v>45975</v>
      </c>
      <c r="B1862" t="s">
        <v>3134</v>
      </c>
      <c r="D1862" t="s">
        <v>3135</v>
      </c>
      <c r="E1862" t="s">
        <v>16</v>
      </c>
      <c r="F1862" t="s">
        <v>17</v>
      </c>
      <c r="G1862" s="14">
        <v>170000</v>
      </c>
      <c r="H1862" s="14">
        <v>155000</v>
      </c>
      <c r="I1862" t="s">
        <v>22</v>
      </c>
      <c r="J1862" t="s">
        <v>22</v>
      </c>
      <c r="K1862" t="s">
        <v>3136</v>
      </c>
      <c r="L1862" t="s">
        <v>3137</v>
      </c>
      <c r="M1862" t="s">
        <v>28</v>
      </c>
      <c r="N1862">
        <v>2</v>
      </c>
      <c r="O1862" t="s">
        <v>103</v>
      </c>
      <c r="P1862" t="s">
        <v>44</v>
      </c>
      <c r="Q1862" t="s">
        <v>30</v>
      </c>
      <c r="R1862" t="str">
        <f>VLOOKUP($O1862,'Mapa Oficinas'!$A$7:$C$46,2,FALSE)</f>
        <v>CABA</v>
      </c>
      <c r="S1862" t="str">
        <f>VLOOKUP($O1862,'Mapa Oficinas'!$A$7:$C$46,3,FALSE)</f>
        <v>Barrio Parque</v>
      </c>
    </row>
    <row r="1863" spans="1:19" x14ac:dyDescent="0.2">
      <c r="A1863" s="1">
        <v>45975</v>
      </c>
      <c r="B1863">
        <v>10570</v>
      </c>
      <c r="D1863" t="s">
        <v>3138</v>
      </c>
      <c r="E1863" t="s">
        <v>16</v>
      </c>
      <c r="F1863" t="s">
        <v>17</v>
      </c>
      <c r="G1863" s="14">
        <v>162500</v>
      </c>
      <c r="H1863" s="14">
        <v>162500</v>
      </c>
      <c r="I1863" t="s">
        <v>22</v>
      </c>
      <c r="J1863" t="s">
        <v>22</v>
      </c>
      <c r="K1863" t="s">
        <v>3139</v>
      </c>
      <c r="L1863" t="s">
        <v>277</v>
      </c>
      <c r="M1863" t="s">
        <v>19</v>
      </c>
      <c r="N1863">
        <v>2</v>
      </c>
      <c r="O1863" t="s">
        <v>103</v>
      </c>
      <c r="P1863" t="s">
        <v>276</v>
      </c>
      <c r="Q1863" t="s">
        <v>30</v>
      </c>
      <c r="R1863" t="str">
        <f>VLOOKUP($O1863,'Mapa Oficinas'!$A$7:$C$46,2,FALSE)</f>
        <v>CABA</v>
      </c>
      <c r="S1863" t="str">
        <f>VLOOKUP($O1863,'Mapa Oficinas'!$A$7:$C$46,3,FALSE)</f>
        <v>Barrio Parque</v>
      </c>
    </row>
    <row r="1864" spans="1:19" x14ac:dyDescent="0.2">
      <c r="A1864" s="1">
        <v>45975</v>
      </c>
      <c r="B1864" t="s">
        <v>3145</v>
      </c>
      <c r="D1864" t="s">
        <v>3146</v>
      </c>
      <c r="E1864" t="s">
        <v>16</v>
      </c>
      <c r="F1864" t="s">
        <v>17</v>
      </c>
      <c r="G1864" s="14">
        <v>269000</v>
      </c>
      <c r="H1864" s="14">
        <v>247000</v>
      </c>
      <c r="I1864" t="s">
        <v>22</v>
      </c>
      <c r="J1864" t="s">
        <v>22</v>
      </c>
      <c r="K1864" t="s">
        <v>3147</v>
      </c>
      <c r="L1864" t="s">
        <v>298</v>
      </c>
      <c r="M1864" t="s">
        <v>19</v>
      </c>
      <c r="N1864">
        <v>2</v>
      </c>
      <c r="O1864" t="s">
        <v>103</v>
      </c>
      <c r="P1864" t="s">
        <v>276</v>
      </c>
      <c r="Q1864" t="s">
        <v>30</v>
      </c>
      <c r="R1864" t="str">
        <f>VLOOKUP($O1864,'Mapa Oficinas'!$A$7:$C$46,2,FALSE)</f>
        <v>CABA</v>
      </c>
      <c r="S1864" t="str">
        <f>VLOOKUP($O1864,'Mapa Oficinas'!$A$7:$C$46,3,FALSE)</f>
        <v>Barrio Parque</v>
      </c>
    </row>
    <row r="1865" spans="1:19" x14ac:dyDescent="0.2">
      <c r="A1865" s="1">
        <v>45978</v>
      </c>
      <c r="B1865" t="s">
        <v>3130</v>
      </c>
      <c r="D1865" t="s">
        <v>3131</v>
      </c>
      <c r="E1865" t="s">
        <v>16</v>
      </c>
      <c r="F1865" t="s">
        <v>17</v>
      </c>
      <c r="G1865" s="14">
        <v>35000</v>
      </c>
      <c r="H1865" s="14">
        <v>36000</v>
      </c>
      <c r="I1865" t="s">
        <v>22</v>
      </c>
      <c r="J1865" t="s">
        <v>22</v>
      </c>
      <c r="K1865" t="s">
        <v>3132</v>
      </c>
      <c r="L1865" t="s">
        <v>1922</v>
      </c>
      <c r="M1865" t="s">
        <v>28</v>
      </c>
      <c r="N1865">
        <v>2</v>
      </c>
      <c r="O1865" t="s">
        <v>171</v>
      </c>
      <c r="P1865" t="s">
        <v>21</v>
      </c>
      <c r="Q1865" t="s">
        <v>30</v>
      </c>
      <c r="R1865" t="str">
        <f>VLOOKUP($O1865,'Mapa Oficinas'!$A$7:$C$46,2,FALSE)</f>
        <v>Zona Sur (GBA)</v>
      </c>
      <c r="S1865" t="str">
        <f>VLOOKUP($O1865,'Mapa Oficinas'!$A$7:$C$46,3,FALSE)</f>
        <v>La Plata</v>
      </c>
    </row>
    <row r="1866" spans="1:19" x14ac:dyDescent="0.2">
      <c r="A1866" s="1">
        <v>45978</v>
      </c>
      <c r="B1866">
        <v>44</v>
      </c>
      <c r="D1866" t="s">
        <v>3118</v>
      </c>
      <c r="E1866" t="s">
        <v>16</v>
      </c>
      <c r="F1866" t="s">
        <v>47</v>
      </c>
      <c r="G1866" s="14">
        <v>50000</v>
      </c>
      <c r="H1866" s="14">
        <v>50000</v>
      </c>
      <c r="I1866" t="s">
        <v>22</v>
      </c>
      <c r="J1866" t="s">
        <v>22</v>
      </c>
      <c r="K1866" t="s">
        <v>3119</v>
      </c>
      <c r="L1866" t="s">
        <v>2667</v>
      </c>
      <c r="M1866" t="s">
        <v>19</v>
      </c>
      <c r="N1866">
        <v>1</v>
      </c>
      <c r="O1866" t="s">
        <v>116</v>
      </c>
      <c r="P1866" t="s">
        <v>146</v>
      </c>
      <c r="Q1866" t="s">
        <v>30</v>
      </c>
      <c r="R1866" t="str">
        <f>VLOOKUP($O1866,'Mapa Oficinas'!$A$7:$C$46,2,FALSE)</f>
        <v>CABA</v>
      </c>
      <c r="S1866" t="str">
        <f>VLOOKUP($O1866,'Mapa Oficinas'!$A$7:$C$46,3,FALSE)</f>
        <v>Puerto Madero</v>
      </c>
    </row>
    <row r="1867" spans="1:19" x14ac:dyDescent="0.2">
      <c r="A1867" s="1">
        <v>45978</v>
      </c>
      <c r="B1867" t="s">
        <v>3112</v>
      </c>
      <c r="D1867" t="s">
        <v>3113</v>
      </c>
      <c r="E1867" t="s">
        <v>16</v>
      </c>
      <c r="F1867" t="s">
        <v>17</v>
      </c>
      <c r="G1867" s="14">
        <v>82000</v>
      </c>
      <c r="H1867" s="14">
        <v>77000</v>
      </c>
      <c r="I1867" t="s">
        <v>22</v>
      </c>
      <c r="J1867" t="s">
        <v>22</v>
      </c>
      <c r="K1867" t="s">
        <v>3114</v>
      </c>
      <c r="L1867" t="s">
        <v>1323</v>
      </c>
      <c r="M1867" t="s">
        <v>19</v>
      </c>
      <c r="N1867">
        <v>2</v>
      </c>
      <c r="O1867" t="s">
        <v>116</v>
      </c>
      <c r="P1867" t="s">
        <v>21</v>
      </c>
      <c r="Q1867" t="s">
        <v>30</v>
      </c>
      <c r="R1867" t="str">
        <f>VLOOKUP($O1867,'Mapa Oficinas'!$A$7:$C$46,2,FALSE)</f>
        <v>CABA</v>
      </c>
      <c r="S1867" t="str">
        <f>VLOOKUP($O1867,'Mapa Oficinas'!$A$7:$C$46,3,FALSE)</f>
        <v>Puerto Madero</v>
      </c>
    </row>
    <row r="1868" spans="1:19" x14ac:dyDescent="0.2">
      <c r="A1868" s="1">
        <v>45978</v>
      </c>
      <c r="B1868" t="s">
        <v>3124</v>
      </c>
      <c r="D1868" t="s">
        <v>3125</v>
      </c>
      <c r="E1868" t="s">
        <v>16</v>
      </c>
      <c r="F1868" t="s">
        <v>17</v>
      </c>
      <c r="G1868" s="14">
        <v>81000</v>
      </c>
      <c r="H1868" s="14">
        <v>79500</v>
      </c>
      <c r="I1868" t="s">
        <v>22</v>
      </c>
      <c r="J1868" t="s">
        <v>22</v>
      </c>
      <c r="K1868" t="s">
        <v>3126</v>
      </c>
      <c r="L1868" t="s">
        <v>298</v>
      </c>
      <c r="M1868" t="s">
        <v>19</v>
      </c>
      <c r="N1868">
        <v>2</v>
      </c>
      <c r="O1868" t="s">
        <v>20</v>
      </c>
      <c r="P1868" t="s">
        <v>21</v>
      </c>
      <c r="Q1868" t="s">
        <v>30</v>
      </c>
      <c r="R1868" t="str">
        <f>VLOOKUP($O1868,'Mapa Oficinas'!$A$7:$C$46,2,FALSE)</f>
        <v>CABA</v>
      </c>
      <c r="S1868" t="str">
        <f>VLOOKUP($O1868,'Mapa Oficinas'!$A$7:$C$46,3,FALSE)</f>
        <v>Palermo</v>
      </c>
    </row>
    <row r="1869" spans="1:19" x14ac:dyDescent="0.2">
      <c r="A1869" s="1">
        <v>45978</v>
      </c>
      <c r="B1869" t="s">
        <v>3127</v>
      </c>
      <c r="D1869" t="s">
        <v>3128</v>
      </c>
      <c r="E1869" t="s">
        <v>16</v>
      </c>
      <c r="F1869" t="s">
        <v>17</v>
      </c>
      <c r="G1869" s="14">
        <v>115000</v>
      </c>
      <c r="H1869" s="14">
        <v>105000</v>
      </c>
      <c r="I1869" t="s">
        <v>22</v>
      </c>
      <c r="J1869" t="s">
        <v>22</v>
      </c>
      <c r="K1869" t="s">
        <v>3129</v>
      </c>
      <c r="L1869" t="s">
        <v>1077</v>
      </c>
      <c r="M1869" t="s">
        <v>19</v>
      </c>
      <c r="N1869">
        <v>2</v>
      </c>
      <c r="O1869" t="s">
        <v>20</v>
      </c>
      <c r="P1869" t="s">
        <v>21</v>
      </c>
      <c r="Q1869" t="s">
        <v>30</v>
      </c>
      <c r="R1869" t="str">
        <f>VLOOKUP($O1869,'Mapa Oficinas'!$A$7:$C$46,2,FALSE)</f>
        <v>CABA</v>
      </c>
      <c r="S1869" t="str">
        <f>VLOOKUP($O1869,'Mapa Oficinas'!$A$7:$C$46,3,FALSE)</f>
        <v>Palermo</v>
      </c>
    </row>
    <row r="1870" spans="1:19" x14ac:dyDescent="0.2">
      <c r="A1870" s="1">
        <v>45978</v>
      </c>
      <c r="B1870" t="s">
        <v>3122</v>
      </c>
      <c r="D1870" t="s">
        <v>3122</v>
      </c>
      <c r="E1870" t="s">
        <v>16</v>
      </c>
      <c r="F1870" t="s">
        <v>17</v>
      </c>
      <c r="G1870" s="14">
        <v>123000</v>
      </c>
      <c r="H1870" s="14">
        <v>123000</v>
      </c>
      <c r="I1870" t="s">
        <v>22</v>
      </c>
      <c r="J1870" t="s">
        <v>22</v>
      </c>
      <c r="K1870" t="s">
        <v>3122</v>
      </c>
      <c r="L1870" t="s">
        <v>1064</v>
      </c>
      <c r="M1870" t="s">
        <v>19</v>
      </c>
      <c r="N1870">
        <v>1</v>
      </c>
      <c r="O1870" t="s">
        <v>35</v>
      </c>
      <c r="P1870" t="s">
        <v>131</v>
      </c>
      <c r="Q1870" t="s">
        <v>30</v>
      </c>
      <c r="R1870" t="str">
        <f>VLOOKUP($O1870,'Mapa Oficinas'!$A$7:$C$46,2,FALSE)</f>
        <v>Zona Norte (GBA)</v>
      </c>
      <c r="S1870" t="str">
        <f>VLOOKUP($O1870,'Mapa Oficinas'!$A$7:$C$46,3,FALSE)</f>
        <v>Vicente López</v>
      </c>
    </row>
    <row r="1871" spans="1:19" x14ac:dyDescent="0.2">
      <c r="A1871" s="1">
        <v>45978</v>
      </c>
      <c r="B1871" t="s">
        <v>3115</v>
      </c>
      <c r="D1871" t="s">
        <v>3116</v>
      </c>
      <c r="E1871" t="s">
        <v>16</v>
      </c>
      <c r="F1871" t="s">
        <v>17</v>
      </c>
      <c r="G1871" s="14">
        <v>145000</v>
      </c>
      <c r="H1871" s="14">
        <v>142000</v>
      </c>
      <c r="I1871" t="s">
        <v>22</v>
      </c>
      <c r="J1871" t="s">
        <v>22</v>
      </c>
      <c r="K1871" t="s">
        <v>3117</v>
      </c>
      <c r="L1871" t="s">
        <v>398</v>
      </c>
      <c r="M1871" t="s">
        <v>72</v>
      </c>
      <c r="N1871">
        <v>2</v>
      </c>
      <c r="O1871" t="s">
        <v>35</v>
      </c>
      <c r="P1871" t="s">
        <v>21</v>
      </c>
      <c r="Q1871" t="s">
        <v>30</v>
      </c>
      <c r="R1871" t="str">
        <f>VLOOKUP($O1871,'Mapa Oficinas'!$A$7:$C$46,2,FALSE)</f>
        <v>Zona Norte (GBA)</v>
      </c>
      <c r="S1871" t="str">
        <f>VLOOKUP($O1871,'Mapa Oficinas'!$A$7:$C$46,3,FALSE)</f>
        <v>Vicente López</v>
      </c>
    </row>
    <row r="1872" spans="1:19" x14ac:dyDescent="0.2">
      <c r="A1872" s="1">
        <v>45978</v>
      </c>
      <c r="B1872" t="s">
        <v>3120</v>
      </c>
      <c r="D1872" t="s">
        <v>3121</v>
      </c>
      <c r="E1872" t="s">
        <v>16</v>
      </c>
      <c r="F1872" t="s">
        <v>17</v>
      </c>
      <c r="G1872" s="14">
        <v>178000</v>
      </c>
      <c r="H1872" s="14">
        <v>178000</v>
      </c>
      <c r="I1872" t="s">
        <v>22</v>
      </c>
      <c r="J1872" t="s">
        <v>22</v>
      </c>
      <c r="K1872" t="s">
        <v>494</v>
      </c>
      <c r="L1872" t="s">
        <v>495</v>
      </c>
      <c r="M1872" t="s">
        <v>28</v>
      </c>
      <c r="N1872">
        <v>2</v>
      </c>
      <c r="O1872" t="s">
        <v>40</v>
      </c>
      <c r="P1872" t="s">
        <v>44</v>
      </c>
      <c r="Q1872" t="s">
        <v>30</v>
      </c>
      <c r="R1872" t="str">
        <f>VLOOKUP($O1872,'Mapa Oficinas'!$A$7:$C$46,2,FALSE)</f>
        <v>Zona Norte (GBA)</v>
      </c>
      <c r="S1872" t="str">
        <f>VLOOKUP($O1872,'Mapa Oficinas'!$A$7:$C$46,3,FALSE)</f>
        <v>Pilar</v>
      </c>
    </row>
    <row r="1873" spans="1:19" x14ac:dyDescent="0.2">
      <c r="A1873" s="1">
        <v>45978</v>
      </c>
      <c r="B1873">
        <v>10571</v>
      </c>
      <c r="D1873" t="s">
        <v>3111</v>
      </c>
      <c r="E1873" t="s">
        <v>16</v>
      </c>
      <c r="F1873" t="s">
        <v>17</v>
      </c>
      <c r="G1873" s="14">
        <v>250000</v>
      </c>
      <c r="H1873" s="14">
        <v>250000</v>
      </c>
      <c r="I1873" t="s">
        <v>22</v>
      </c>
      <c r="J1873" t="s">
        <v>22</v>
      </c>
      <c r="K1873" t="s">
        <v>3111</v>
      </c>
      <c r="L1873" t="s">
        <v>79</v>
      </c>
      <c r="M1873" t="s">
        <v>19</v>
      </c>
      <c r="N1873">
        <v>1</v>
      </c>
      <c r="O1873" t="s">
        <v>103</v>
      </c>
      <c r="P1873" t="s">
        <v>146</v>
      </c>
      <c r="Q1873" t="s">
        <v>30</v>
      </c>
      <c r="R1873" t="str">
        <f>VLOOKUP($O1873,'Mapa Oficinas'!$A$7:$C$46,2,FALSE)</f>
        <v>CABA</v>
      </c>
      <c r="S1873" t="str">
        <f>VLOOKUP($O1873,'Mapa Oficinas'!$A$7:$C$46,3,FALSE)</f>
        <v>Barrio Parque</v>
      </c>
    </row>
    <row r="1874" spans="1:19" x14ac:dyDescent="0.2">
      <c r="A1874" s="1">
        <v>45979</v>
      </c>
      <c r="B1874" t="s">
        <v>3057</v>
      </c>
      <c r="D1874" t="s">
        <v>3058</v>
      </c>
      <c r="E1874" t="s">
        <v>16</v>
      </c>
      <c r="F1874" t="s">
        <v>17</v>
      </c>
      <c r="G1874" s="14">
        <v>46000</v>
      </c>
      <c r="H1874" s="14">
        <v>42000</v>
      </c>
      <c r="I1874" t="s">
        <v>22</v>
      </c>
      <c r="J1874" t="s">
        <v>22</v>
      </c>
      <c r="K1874" t="s">
        <v>3059</v>
      </c>
      <c r="L1874" t="s">
        <v>3060</v>
      </c>
      <c r="M1874" t="s">
        <v>28</v>
      </c>
      <c r="N1874">
        <v>2</v>
      </c>
      <c r="O1874" t="s">
        <v>227</v>
      </c>
      <c r="P1874" t="s">
        <v>21</v>
      </c>
      <c r="Q1874" t="s">
        <v>30</v>
      </c>
      <c r="R1874" t="str">
        <f>VLOOKUP($O1874,'Mapa Oficinas'!$A$7:$C$46,2,FALSE)</f>
        <v>Zona Oeste (GBA)</v>
      </c>
      <c r="S1874" t="str">
        <f>VLOOKUP($O1874,'Mapa Oficinas'!$A$7:$C$46,3,FALSE)</f>
        <v>Parque Leloir</v>
      </c>
    </row>
    <row r="1875" spans="1:19" x14ac:dyDescent="0.2">
      <c r="A1875" s="1">
        <v>45979</v>
      </c>
      <c r="B1875" t="s">
        <v>3073</v>
      </c>
      <c r="D1875" t="s">
        <v>3074</v>
      </c>
      <c r="E1875" t="s">
        <v>16</v>
      </c>
      <c r="F1875" t="s">
        <v>38</v>
      </c>
      <c r="G1875" s="14">
        <v>62000</v>
      </c>
      <c r="H1875" s="14">
        <v>58000</v>
      </c>
      <c r="I1875" t="s">
        <v>22</v>
      </c>
      <c r="J1875" t="s">
        <v>22</v>
      </c>
      <c r="K1875" t="s">
        <v>3075</v>
      </c>
      <c r="L1875" t="s">
        <v>54</v>
      </c>
      <c r="M1875" t="s">
        <v>28</v>
      </c>
      <c r="N1875">
        <v>1</v>
      </c>
      <c r="O1875" t="s">
        <v>55</v>
      </c>
      <c r="P1875" t="s">
        <v>131</v>
      </c>
      <c r="Q1875" t="s">
        <v>30</v>
      </c>
      <c r="R1875" t="str">
        <f>VLOOKUP($O1875,'Mapa Oficinas'!$A$7:$C$46,2,FALSE)</f>
        <v>Interior - Santa Fe</v>
      </c>
      <c r="S1875" t="str">
        <f>VLOOKUP($O1875,'Mapa Oficinas'!$A$7:$C$46,3,FALSE)</f>
        <v>Capital Santa Fe</v>
      </c>
    </row>
    <row r="1876" spans="1:19" x14ac:dyDescent="0.2">
      <c r="A1876" s="1">
        <v>45979</v>
      </c>
      <c r="B1876">
        <v>2</v>
      </c>
      <c r="D1876" t="s">
        <v>3109</v>
      </c>
      <c r="E1876" t="s">
        <v>16</v>
      </c>
      <c r="F1876" t="s">
        <v>47</v>
      </c>
      <c r="G1876" s="14">
        <v>73000</v>
      </c>
      <c r="H1876" s="14">
        <v>73000</v>
      </c>
      <c r="I1876" t="s">
        <v>22</v>
      </c>
      <c r="J1876" t="s">
        <v>22</v>
      </c>
      <c r="K1876" t="s">
        <v>3110</v>
      </c>
      <c r="L1876" t="s">
        <v>2016</v>
      </c>
      <c r="M1876" t="s">
        <v>28</v>
      </c>
      <c r="N1876">
        <v>1</v>
      </c>
      <c r="O1876" t="s">
        <v>198</v>
      </c>
      <c r="P1876" t="s">
        <v>146</v>
      </c>
      <c r="Q1876" t="s">
        <v>30</v>
      </c>
      <c r="R1876" t="str">
        <f>VLOOKUP($O1876,'Mapa Oficinas'!$A$7:$C$46,2,FALSE)</f>
        <v>CABA</v>
      </c>
      <c r="S1876" t="str">
        <f>VLOOKUP($O1876,'Mapa Oficinas'!$A$7:$C$46,3,FALSE)</f>
        <v>Caballito</v>
      </c>
    </row>
    <row r="1877" spans="1:19" x14ac:dyDescent="0.2">
      <c r="A1877" s="1">
        <v>45979</v>
      </c>
      <c r="B1877" t="s">
        <v>3080</v>
      </c>
      <c r="D1877" t="s">
        <v>3081</v>
      </c>
      <c r="E1877" t="s">
        <v>16</v>
      </c>
      <c r="F1877" t="s">
        <v>17</v>
      </c>
      <c r="G1877" s="14">
        <v>85000</v>
      </c>
      <c r="H1877" s="14">
        <v>79500</v>
      </c>
      <c r="I1877" t="s">
        <v>22</v>
      </c>
      <c r="J1877" t="s">
        <v>22</v>
      </c>
      <c r="K1877" t="s">
        <v>3082</v>
      </c>
      <c r="L1877" t="s">
        <v>3083</v>
      </c>
      <c r="M1877" t="s">
        <v>19</v>
      </c>
      <c r="N1877">
        <v>1</v>
      </c>
      <c r="O1877" t="s">
        <v>142</v>
      </c>
      <c r="P1877" t="s">
        <v>146</v>
      </c>
      <c r="Q1877" t="s">
        <v>30</v>
      </c>
      <c r="R1877" t="str">
        <f>VLOOKUP($O1877,'Mapa Oficinas'!$A$7:$C$46,2,FALSE)</f>
        <v>Zona Norte (GBA)</v>
      </c>
      <c r="S1877" t="str">
        <f>VLOOKUP($O1877,'Mapa Oficinas'!$A$7:$C$46,3,FALSE)</f>
        <v>Nordelta</v>
      </c>
    </row>
    <row r="1878" spans="1:19" x14ac:dyDescent="0.2">
      <c r="A1878" s="1">
        <v>45979</v>
      </c>
      <c r="B1878" t="s">
        <v>3076</v>
      </c>
      <c r="D1878" t="s">
        <v>3077</v>
      </c>
      <c r="E1878" t="s">
        <v>16</v>
      </c>
      <c r="F1878" t="s">
        <v>17</v>
      </c>
      <c r="G1878" s="14">
        <v>95000</v>
      </c>
      <c r="H1878" s="14">
        <v>87500</v>
      </c>
      <c r="I1878" t="s">
        <v>22</v>
      </c>
      <c r="J1878" t="s">
        <v>22</v>
      </c>
      <c r="K1878" t="s">
        <v>3078</v>
      </c>
      <c r="L1878" t="s">
        <v>3079</v>
      </c>
      <c r="M1878" t="s">
        <v>19</v>
      </c>
      <c r="N1878">
        <v>2</v>
      </c>
      <c r="O1878" t="s">
        <v>142</v>
      </c>
      <c r="P1878" t="s">
        <v>41</v>
      </c>
      <c r="Q1878" t="s">
        <v>30</v>
      </c>
      <c r="R1878" t="str">
        <f>VLOOKUP($O1878,'Mapa Oficinas'!$A$7:$C$46,2,FALSE)</f>
        <v>Zona Norte (GBA)</v>
      </c>
      <c r="S1878" t="str">
        <f>VLOOKUP($O1878,'Mapa Oficinas'!$A$7:$C$46,3,FALSE)</f>
        <v>Nordelta</v>
      </c>
    </row>
    <row r="1879" spans="1:19" x14ac:dyDescent="0.2">
      <c r="A1879" s="1">
        <v>45979</v>
      </c>
      <c r="B1879" t="s">
        <v>3069</v>
      </c>
      <c r="D1879" t="s">
        <v>3070</v>
      </c>
      <c r="E1879" t="s">
        <v>16</v>
      </c>
      <c r="F1879" t="s">
        <v>47</v>
      </c>
      <c r="G1879" s="14">
        <v>130000</v>
      </c>
      <c r="H1879" s="14">
        <v>110000</v>
      </c>
      <c r="I1879" t="s">
        <v>22</v>
      </c>
      <c r="J1879" t="s">
        <v>22</v>
      </c>
      <c r="K1879" t="s">
        <v>3071</v>
      </c>
      <c r="L1879" t="s">
        <v>3072</v>
      </c>
      <c r="M1879" t="s">
        <v>19</v>
      </c>
      <c r="N1879">
        <v>2</v>
      </c>
      <c r="O1879" t="s">
        <v>142</v>
      </c>
      <c r="P1879" t="s">
        <v>21</v>
      </c>
      <c r="Q1879" t="s">
        <v>30</v>
      </c>
      <c r="R1879" t="str">
        <f>VLOOKUP($O1879,'Mapa Oficinas'!$A$7:$C$46,2,FALSE)</f>
        <v>Zona Norte (GBA)</v>
      </c>
      <c r="S1879" t="str">
        <f>VLOOKUP($O1879,'Mapa Oficinas'!$A$7:$C$46,3,FALSE)</f>
        <v>Nordelta</v>
      </c>
    </row>
    <row r="1880" spans="1:19" x14ac:dyDescent="0.2">
      <c r="A1880" s="1">
        <v>45979</v>
      </c>
      <c r="B1880" t="s">
        <v>3095</v>
      </c>
      <c r="D1880" t="s">
        <v>3096</v>
      </c>
      <c r="E1880" t="s">
        <v>16</v>
      </c>
      <c r="F1880" t="s">
        <v>17</v>
      </c>
      <c r="G1880" s="14">
        <v>125000</v>
      </c>
      <c r="H1880" s="14">
        <v>110000</v>
      </c>
      <c r="I1880" t="s">
        <v>22</v>
      </c>
      <c r="J1880" t="s">
        <v>22</v>
      </c>
      <c r="K1880" t="s">
        <v>3097</v>
      </c>
      <c r="L1880" t="s">
        <v>1368</v>
      </c>
      <c r="M1880" t="s">
        <v>72</v>
      </c>
      <c r="N1880">
        <v>2</v>
      </c>
      <c r="O1880" t="s">
        <v>223</v>
      </c>
      <c r="P1880" t="s">
        <v>21</v>
      </c>
      <c r="Q1880" t="s">
        <v>30</v>
      </c>
      <c r="R1880" t="str">
        <f>VLOOKUP($O1880,'Mapa Oficinas'!$A$7:$C$46,2,FALSE)</f>
        <v>Zona Norte (GBA)</v>
      </c>
      <c r="S1880" t="str">
        <f>VLOOKUP($O1880,'Mapa Oficinas'!$A$7:$C$46,3,FALSE)</f>
        <v>San Isidro</v>
      </c>
    </row>
    <row r="1881" spans="1:19" x14ac:dyDescent="0.2">
      <c r="A1881" s="1">
        <v>45979</v>
      </c>
      <c r="B1881" t="s">
        <v>3098</v>
      </c>
      <c r="D1881" t="s">
        <v>3099</v>
      </c>
      <c r="E1881" t="s">
        <v>16</v>
      </c>
      <c r="F1881" t="s">
        <v>17</v>
      </c>
      <c r="G1881" s="14">
        <v>119000</v>
      </c>
      <c r="H1881" s="14">
        <v>119000</v>
      </c>
      <c r="I1881" t="s">
        <v>22</v>
      </c>
      <c r="J1881" t="s">
        <v>22</v>
      </c>
      <c r="K1881" t="s">
        <v>3100</v>
      </c>
      <c r="L1881" t="s">
        <v>217</v>
      </c>
      <c r="M1881" t="s">
        <v>19</v>
      </c>
      <c r="N1881">
        <v>1</v>
      </c>
      <c r="O1881" t="s">
        <v>20</v>
      </c>
      <c r="P1881" t="s">
        <v>146</v>
      </c>
      <c r="Q1881" t="s">
        <v>30</v>
      </c>
      <c r="R1881" t="str">
        <f>VLOOKUP($O1881,'Mapa Oficinas'!$A$7:$C$46,2,FALSE)</f>
        <v>CABA</v>
      </c>
      <c r="S1881" t="str">
        <f>VLOOKUP($O1881,'Mapa Oficinas'!$A$7:$C$46,3,FALSE)</f>
        <v>Palermo</v>
      </c>
    </row>
    <row r="1882" spans="1:19" x14ac:dyDescent="0.2">
      <c r="A1882" s="1">
        <v>45979</v>
      </c>
      <c r="B1882" t="s">
        <v>3092</v>
      </c>
      <c r="D1882" t="s">
        <v>3093</v>
      </c>
      <c r="E1882" t="s">
        <v>16</v>
      </c>
      <c r="F1882" t="s">
        <v>17</v>
      </c>
      <c r="G1882" s="14">
        <v>122000</v>
      </c>
      <c r="H1882" s="14">
        <v>122000</v>
      </c>
      <c r="I1882" t="s">
        <v>22</v>
      </c>
      <c r="J1882" t="s">
        <v>22</v>
      </c>
      <c r="K1882" t="s">
        <v>3094</v>
      </c>
      <c r="L1882" t="s">
        <v>1228</v>
      </c>
      <c r="M1882" t="s">
        <v>28</v>
      </c>
      <c r="N1882">
        <v>2</v>
      </c>
      <c r="O1882" t="s">
        <v>142</v>
      </c>
      <c r="P1882" t="s">
        <v>41</v>
      </c>
      <c r="Q1882" t="s">
        <v>30</v>
      </c>
      <c r="R1882" t="str">
        <f>VLOOKUP($O1882,'Mapa Oficinas'!$A$7:$C$46,2,FALSE)</f>
        <v>Zona Norte (GBA)</v>
      </c>
      <c r="S1882" t="str">
        <f>VLOOKUP($O1882,'Mapa Oficinas'!$A$7:$C$46,3,FALSE)</f>
        <v>Nordelta</v>
      </c>
    </row>
    <row r="1883" spans="1:19" x14ac:dyDescent="0.2">
      <c r="A1883" s="1">
        <v>45979</v>
      </c>
      <c r="B1883" t="s">
        <v>3102</v>
      </c>
      <c r="D1883" t="s">
        <v>3103</v>
      </c>
      <c r="E1883" t="s">
        <v>16</v>
      </c>
      <c r="F1883" t="s">
        <v>17</v>
      </c>
      <c r="G1883" s="14">
        <v>145000</v>
      </c>
      <c r="H1883" s="14">
        <v>133000</v>
      </c>
      <c r="I1883" t="s">
        <v>22</v>
      </c>
      <c r="J1883" t="s">
        <v>22</v>
      </c>
      <c r="K1883" t="s">
        <v>3104</v>
      </c>
      <c r="L1883" t="s">
        <v>564</v>
      </c>
      <c r="M1883" t="s">
        <v>19</v>
      </c>
      <c r="N1883">
        <v>2</v>
      </c>
      <c r="O1883" t="s">
        <v>103</v>
      </c>
      <c r="P1883" t="s">
        <v>21</v>
      </c>
      <c r="Q1883" t="s">
        <v>30</v>
      </c>
      <c r="R1883" t="str">
        <f>VLOOKUP($O1883,'Mapa Oficinas'!$A$7:$C$46,2,FALSE)</f>
        <v>CABA</v>
      </c>
      <c r="S1883" t="str">
        <f>VLOOKUP($O1883,'Mapa Oficinas'!$A$7:$C$46,3,FALSE)</f>
        <v>Barrio Parque</v>
      </c>
    </row>
    <row r="1884" spans="1:19" x14ac:dyDescent="0.2">
      <c r="A1884" s="1">
        <v>45979</v>
      </c>
      <c r="B1884" t="s">
        <v>3066</v>
      </c>
      <c r="D1884" t="s">
        <v>3067</v>
      </c>
      <c r="E1884" t="s">
        <v>16</v>
      </c>
      <c r="F1884" t="s">
        <v>47</v>
      </c>
      <c r="G1884" s="14">
        <v>200000</v>
      </c>
      <c r="H1884" s="14">
        <v>136000</v>
      </c>
      <c r="I1884" t="s">
        <v>22</v>
      </c>
      <c r="J1884" t="s">
        <v>22</v>
      </c>
      <c r="K1884" t="s">
        <v>3068</v>
      </c>
      <c r="L1884" t="s">
        <v>330</v>
      </c>
      <c r="M1884" t="s">
        <v>19</v>
      </c>
      <c r="N1884">
        <v>2</v>
      </c>
      <c r="O1884" t="s">
        <v>142</v>
      </c>
      <c r="P1884" t="s">
        <v>41</v>
      </c>
      <c r="Q1884" t="s">
        <v>30</v>
      </c>
      <c r="R1884" t="str">
        <f>VLOOKUP($O1884,'Mapa Oficinas'!$A$7:$C$46,2,FALSE)</f>
        <v>Zona Norte (GBA)</v>
      </c>
      <c r="S1884" t="str">
        <f>VLOOKUP($O1884,'Mapa Oficinas'!$A$7:$C$46,3,FALSE)</f>
        <v>Nordelta</v>
      </c>
    </row>
    <row r="1885" spans="1:19" x14ac:dyDescent="0.2">
      <c r="A1885" s="1">
        <v>45979</v>
      </c>
      <c r="B1885" t="s">
        <v>3084</v>
      </c>
      <c r="D1885" t="s">
        <v>3085</v>
      </c>
      <c r="E1885" t="s">
        <v>16</v>
      </c>
      <c r="F1885" t="s">
        <v>134</v>
      </c>
      <c r="G1885" s="14">
        <v>139000</v>
      </c>
      <c r="H1885" s="14">
        <v>138000</v>
      </c>
      <c r="I1885" t="s">
        <v>22</v>
      </c>
      <c r="J1885" t="s">
        <v>22</v>
      </c>
      <c r="K1885" t="s">
        <v>1774</v>
      </c>
      <c r="L1885" t="s">
        <v>1775</v>
      </c>
      <c r="M1885" t="s">
        <v>72</v>
      </c>
      <c r="N1885">
        <v>2</v>
      </c>
      <c r="O1885" t="s">
        <v>130</v>
      </c>
      <c r="P1885" t="s">
        <v>41</v>
      </c>
      <c r="Q1885" t="s">
        <v>30</v>
      </c>
      <c r="R1885" t="str">
        <f>VLOOKUP($O1885,'Mapa Oficinas'!$A$7:$C$46,2,FALSE)</f>
        <v>Interior - Río Negro</v>
      </c>
      <c r="S1885" t="str">
        <f>VLOOKUP($O1885,'Mapa Oficinas'!$A$7:$C$46,3,FALSE)</f>
        <v>Bariloche</v>
      </c>
    </row>
    <row r="1886" spans="1:19" x14ac:dyDescent="0.2">
      <c r="A1886" s="1">
        <v>45979</v>
      </c>
      <c r="B1886">
        <v>10528</v>
      </c>
      <c r="D1886" t="s">
        <v>3101</v>
      </c>
      <c r="E1886" t="s">
        <v>16</v>
      </c>
      <c r="F1886" t="s">
        <v>17</v>
      </c>
      <c r="G1886" s="14">
        <v>0</v>
      </c>
      <c r="H1886" s="14">
        <v>160000</v>
      </c>
      <c r="I1886" t="s">
        <v>22</v>
      </c>
      <c r="J1886" t="s">
        <v>22</v>
      </c>
      <c r="K1886" t="s">
        <v>3101</v>
      </c>
      <c r="L1886" t="s">
        <v>318</v>
      </c>
      <c r="M1886" t="s">
        <v>19</v>
      </c>
      <c r="N1886">
        <v>1</v>
      </c>
      <c r="O1886" t="s">
        <v>103</v>
      </c>
      <c r="P1886" t="s">
        <v>146</v>
      </c>
      <c r="Q1886" t="s">
        <v>30</v>
      </c>
      <c r="R1886" t="str">
        <f>VLOOKUP($O1886,'Mapa Oficinas'!$A$7:$C$46,2,FALSE)</f>
        <v>CABA</v>
      </c>
      <c r="S1886" t="str">
        <f>VLOOKUP($O1886,'Mapa Oficinas'!$A$7:$C$46,3,FALSE)</f>
        <v>Barrio Parque</v>
      </c>
    </row>
    <row r="1887" spans="1:19" x14ac:dyDescent="0.2">
      <c r="A1887" s="1">
        <v>45979</v>
      </c>
      <c r="B1887" t="s">
        <v>3090</v>
      </c>
      <c r="D1887" t="s">
        <v>3091</v>
      </c>
      <c r="E1887" t="s">
        <v>16</v>
      </c>
      <c r="F1887" t="s">
        <v>17</v>
      </c>
      <c r="G1887" s="14">
        <v>260000</v>
      </c>
      <c r="H1887" s="14">
        <v>200000</v>
      </c>
      <c r="I1887" t="s">
        <v>22</v>
      </c>
      <c r="J1887" t="s">
        <v>22</v>
      </c>
      <c r="K1887" t="s">
        <v>3091</v>
      </c>
      <c r="L1887" t="s">
        <v>155</v>
      </c>
      <c r="M1887" t="s">
        <v>28</v>
      </c>
      <c r="N1887">
        <v>2</v>
      </c>
      <c r="O1887" t="s">
        <v>142</v>
      </c>
      <c r="P1887" t="s">
        <v>41</v>
      </c>
      <c r="Q1887" t="s">
        <v>30</v>
      </c>
      <c r="R1887" t="str">
        <f>VLOOKUP($O1887,'Mapa Oficinas'!$A$7:$C$46,2,FALSE)</f>
        <v>Zona Norte (GBA)</v>
      </c>
      <c r="S1887" t="str">
        <f>VLOOKUP($O1887,'Mapa Oficinas'!$A$7:$C$46,3,FALSE)</f>
        <v>Nordelta</v>
      </c>
    </row>
    <row r="1888" spans="1:19" x14ac:dyDescent="0.2">
      <c r="A1888" s="1">
        <v>45979</v>
      </c>
      <c r="B1888" t="s">
        <v>3086</v>
      </c>
      <c r="D1888" t="s">
        <v>3087</v>
      </c>
      <c r="E1888" t="s">
        <v>16</v>
      </c>
      <c r="F1888" t="s">
        <v>47</v>
      </c>
      <c r="G1888" s="14">
        <v>230000</v>
      </c>
      <c r="H1888" s="14">
        <v>225000</v>
      </c>
      <c r="I1888" t="s">
        <v>22</v>
      </c>
      <c r="J1888" t="s">
        <v>22</v>
      </c>
      <c r="K1888" t="s">
        <v>3088</v>
      </c>
      <c r="L1888" t="s">
        <v>3089</v>
      </c>
      <c r="M1888" t="s">
        <v>28</v>
      </c>
      <c r="N1888">
        <v>2</v>
      </c>
      <c r="O1888" t="s">
        <v>142</v>
      </c>
      <c r="P1888" t="s">
        <v>41</v>
      </c>
      <c r="Q1888" t="s">
        <v>30</v>
      </c>
      <c r="R1888" t="str">
        <f>VLOOKUP($O1888,'Mapa Oficinas'!$A$7:$C$46,2,FALSE)</f>
        <v>Zona Norte (GBA)</v>
      </c>
      <c r="S1888" t="str">
        <f>VLOOKUP($O1888,'Mapa Oficinas'!$A$7:$C$46,3,FALSE)</f>
        <v>Nordelta</v>
      </c>
    </row>
    <row r="1889" spans="1:19" x14ac:dyDescent="0.2">
      <c r="A1889" s="1">
        <v>45979</v>
      </c>
      <c r="B1889" t="s">
        <v>3105</v>
      </c>
      <c r="D1889" t="s">
        <v>3106</v>
      </c>
      <c r="E1889" t="s">
        <v>16</v>
      </c>
      <c r="F1889" t="s">
        <v>17</v>
      </c>
      <c r="G1889" s="14">
        <v>257000</v>
      </c>
      <c r="H1889" s="14">
        <v>253000</v>
      </c>
      <c r="I1889" t="s">
        <v>22</v>
      </c>
      <c r="J1889" t="s">
        <v>22</v>
      </c>
      <c r="K1889" t="s">
        <v>3107</v>
      </c>
      <c r="L1889" t="s">
        <v>3108</v>
      </c>
      <c r="M1889" t="s">
        <v>19</v>
      </c>
      <c r="N1889">
        <v>2</v>
      </c>
      <c r="O1889" t="s">
        <v>103</v>
      </c>
      <c r="P1889" t="s">
        <v>21</v>
      </c>
      <c r="Q1889" t="s">
        <v>30</v>
      </c>
      <c r="R1889" t="str">
        <f>VLOOKUP($O1889,'Mapa Oficinas'!$A$7:$C$46,2,FALSE)</f>
        <v>CABA</v>
      </c>
      <c r="S1889" t="str">
        <f>VLOOKUP($O1889,'Mapa Oficinas'!$A$7:$C$46,3,FALSE)</f>
        <v>Barrio Parque</v>
      </c>
    </row>
    <row r="1890" spans="1:19" x14ac:dyDescent="0.2">
      <c r="A1890" s="1">
        <v>45979</v>
      </c>
      <c r="B1890">
        <v>14112025</v>
      </c>
      <c r="D1890" t="s">
        <v>3055</v>
      </c>
      <c r="E1890" t="s">
        <v>16</v>
      </c>
      <c r="F1890" t="s">
        <v>184</v>
      </c>
      <c r="G1890" s="14">
        <v>520000</v>
      </c>
      <c r="H1890" s="14">
        <v>520000</v>
      </c>
      <c r="I1890" t="s">
        <v>22</v>
      </c>
      <c r="J1890" t="s">
        <v>22</v>
      </c>
      <c r="L1890" t="s">
        <v>3056</v>
      </c>
      <c r="M1890" t="s">
        <v>97</v>
      </c>
      <c r="N1890">
        <v>1</v>
      </c>
      <c r="O1890" t="s">
        <v>130</v>
      </c>
      <c r="P1890" t="s">
        <v>131</v>
      </c>
      <c r="Q1890" t="s">
        <v>30</v>
      </c>
      <c r="R1890" t="str">
        <f>VLOOKUP($O1890,'Mapa Oficinas'!$A$7:$C$46,2,FALSE)</f>
        <v>Interior - Río Negro</v>
      </c>
      <c r="S1890" t="str">
        <f>VLOOKUP($O1890,'Mapa Oficinas'!$A$7:$C$46,3,FALSE)</f>
        <v>Bariloche</v>
      </c>
    </row>
    <row r="1891" spans="1:19" x14ac:dyDescent="0.2">
      <c r="A1891" s="1">
        <v>45980</v>
      </c>
      <c r="B1891" t="s">
        <v>3043</v>
      </c>
      <c r="D1891" t="s">
        <v>3044</v>
      </c>
      <c r="E1891" t="s">
        <v>16</v>
      </c>
      <c r="F1891" t="s">
        <v>47</v>
      </c>
      <c r="G1891" s="14">
        <v>77900</v>
      </c>
      <c r="H1891" s="14">
        <v>74000</v>
      </c>
      <c r="I1891" t="s">
        <v>22</v>
      </c>
      <c r="J1891" t="s">
        <v>22</v>
      </c>
      <c r="K1891" t="s">
        <v>3045</v>
      </c>
      <c r="L1891" t="s">
        <v>217</v>
      </c>
      <c r="M1891" t="s">
        <v>19</v>
      </c>
      <c r="N1891">
        <v>2</v>
      </c>
      <c r="O1891" t="s">
        <v>252</v>
      </c>
      <c r="P1891" t="s">
        <v>21</v>
      </c>
      <c r="Q1891" t="s">
        <v>30</v>
      </c>
      <c r="R1891" t="str">
        <f>VLOOKUP($O1891,'Mapa Oficinas'!$A$7:$C$46,2,FALSE)</f>
        <v>CABA</v>
      </c>
      <c r="S1891" t="str">
        <f>VLOOKUP($O1891,'Mapa Oficinas'!$A$7:$C$46,3,FALSE)</f>
        <v>Belgrano</v>
      </c>
    </row>
    <row r="1892" spans="1:19" x14ac:dyDescent="0.2">
      <c r="A1892" s="1">
        <v>45980</v>
      </c>
      <c r="B1892" t="s">
        <v>3052</v>
      </c>
      <c r="D1892" t="s">
        <v>1547</v>
      </c>
      <c r="E1892" t="s">
        <v>16</v>
      </c>
      <c r="F1892" t="s">
        <v>47</v>
      </c>
      <c r="G1892" s="14">
        <v>119000</v>
      </c>
      <c r="H1892" s="14">
        <v>110000</v>
      </c>
      <c r="I1892" t="s">
        <v>22</v>
      </c>
      <c r="J1892" t="s">
        <v>22</v>
      </c>
      <c r="K1892" t="s">
        <v>3053</v>
      </c>
      <c r="L1892" t="s">
        <v>888</v>
      </c>
      <c r="M1892" t="s">
        <v>19</v>
      </c>
      <c r="N1892">
        <v>2</v>
      </c>
      <c r="O1892" t="s">
        <v>198</v>
      </c>
      <c r="P1892" t="s">
        <v>276</v>
      </c>
      <c r="Q1892" t="s">
        <v>30</v>
      </c>
      <c r="R1892" t="str">
        <f>VLOOKUP($O1892,'Mapa Oficinas'!$A$7:$C$46,2,FALSE)</f>
        <v>CABA</v>
      </c>
      <c r="S1892" t="str">
        <f>VLOOKUP($O1892,'Mapa Oficinas'!$A$7:$C$46,3,FALSE)</f>
        <v>Caballito</v>
      </c>
    </row>
    <row r="1893" spans="1:19" x14ac:dyDescent="0.2">
      <c r="A1893" s="1">
        <v>45980</v>
      </c>
      <c r="B1893" t="s">
        <v>3037</v>
      </c>
      <c r="D1893" t="s">
        <v>3038</v>
      </c>
      <c r="E1893" t="s">
        <v>16</v>
      </c>
      <c r="F1893" t="s">
        <v>17</v>
      </c>
      <c r="G1893" s="14">
        <v>119000</v>
      </c>
      <c r="H1893" s="14">
        <v>119000</v>
      </c>
      <c r="I1893" t="s">
        <v>22</v>
      </c>
      <c r="J1893" t="s">
        <v>22</v>
      </c>
      <c r="K1893" t="s">
        <v>3039</v>
      </c>
      <c r="L1893" t="s">
        <v>318</v>
      </c>
      <c r="M1893" t="s">
        <v>19</v>
      </c>
      <c r="N1893">
        <v>1</v>
      </c>
      <c r="O1893" t="s">
        <v>73</v>
      </c>
      <c r="P1893" t="s">
        <v>146</v>
      </c>
      <c r="Q1893" t="s">
        <v>30</v>
      </c>
      <c r="R1893" t="str">
        <f>VLOOKUP($O1893,'Mapa Oficinas'!$A$7:$C$46,2,FALSE)</f>
        <v>CABA</v>
      </c>
      <c r="S1893" t="str">
        <f>VLOOKUP($O1893,'Mapa Oficinas'!$A$7:$C$46,3,FALSE)</f>
        <v>Recoleta</v>
      </c>
    </row>
    <row r="1894" spans="1:19" x14ac:dyDescent="0.2">
      <c r="A1894" s="1">
        <v>45980</v>
      </c>
      <c r="B1894" t="s">
        <v>3034</v>
      </c>
      <c r="D1894" t="s">
        <v>3035</v>
      </c>
      <c r="E1894" t="s">
        <v>16</v>
      </c>
      <c r="F1894" t="s">
        <v>17</v>
      </c>
      <c r="G1894" s="14">
        <v>135000</v>
      </c>
      <c r="H1894" s="14">
        <v>135000</v>
      </c>
      <c r="I1894" t="s">
        <v>22</v>
      </c>
      <c r="J1894" t="s">
        <v>22</v>
      </c>
      <c r="K1894" t="s">
        <v>3036</v>
      </c>
      <c r="L1894" t="s">
        <v>282</v>
      </c>
      <c r="M1894" t="s">
        <v>19</v>
      </c>
      <c r="N1894">
        <v>1</v>
      </c>
      <c r="O1894" t="s">
        <v>547</v>
      </c>
      <c r="P1894" t="s">
        <v>146</v>
      </c>
      <c r="Q1894" t="s">
        <v>30</v>
      </c>
      <c r="R1894" t="str">
        <f>VLOOKUP($O1894,'Mapa Oficinas'!$A$7:$C$46,2,FALSE)</f>
        <v>CABA</v>
      </c>
      <c r="S1894" t="str">
        <f>VLOOKUP($O1894,'Mapa Oficinas'!$A$7:$C$46,3,FALSE)</f>
        <v>Núñez</v>
      </c>
    </row>
    <row r="1895" spans="1:19" x14ac:dyDescent="0.2">
      <c r="A1895" s="1">
        <v>45980</v>
      </c>
      <c r="B1895" t="s">
        <v>3049</v>
      </c>
      <c r="D1895" t="s">
        <v>3050</v>
      </c>
      <c r="E1895" t="s">
        <v>16</v>
      </c>
      <c r="F1895" t="s">
        <v>17</v>
      </c>
      <c r="G1895" s="14">
        <v>265000</v>
      </c>
      <c r="H1895" s="14">
        <v>265000</v>
      </c>
      <c r="I1895" t="s">
        <v>22</v>
      </c>
      <c r="J1895" t="s">
        <v>22</v>
      </c>
      <c r="K1895" t="s">
        <v>3051</v>
      </c>
      <c r="L1895" t="s">
        <v>79</v>
      </c>
      <c r="M1895" t="s">
        <v>19</v>
      </c>
      <c r="N1895">
        <v>1</v>
      </c>
      <c r="O1895" t="s">
        <v>35</v>
      </c>
      <c r="P1895" t="s">
        <v>66</v>
      </c>
      <c r="Q1895" t="s">
        <v>30</v>
      </c>
      <c r="R1895" t="str">
        <f>VLOOKUP($O1895,'Mapa Oficinas'!$A$7:$C$46,2,FALSE)</f>
        <v>Zona Norte (GBA)</v>
      </c>
      <c r="S1895" t="str">
        <f>VLOOKUP($O1895,'Mapa Oficinas'!$A$7:$C$46,3,FALSE)</f>
        <v>Vicente López</v>
      </c>
    </row>
    <row r="1896" spans="1:19" x14ac:dyDescent="0.2">
      <c r="A1896" s="1">
        <v>45980</v>
      </c>
      <c r="B1896" t="s">
        <v>3046</v>
      </c>
      <c r="D1896" t="s">
        <v>3047</v>
      </c>
      <c r="E1896" t="s">
        <v>16</v>
      </c>
      <c r="F1896" t="s">
        <v>17</v>
      </c>
      <c r="G1896" s="14">
        <v>290000</v>
      </c>
      <c r="H1896" s="14">
        <v>273000</v>
      </c>
      <c r="I1896" t="s">
        <v>22</v>
      </c>
      <c r="J1896" t="s">
        <v>22</v>
      </c>
      <c r="K1896" t="s">
        <v>3048</v>
      </c>
      <c r="L1896" t="s">
        <v>576</v>
      </c>
      <c r="M1896" t="s">
        <v>28</v>
      </c>
      <c r="N1896">
        <v>1</v>
      </c>
      <c r="O1896" t="s">
        <v>142</v>
      </c>
      <c r="P1896" t="s">
        <v>146</v>
      </c>
      <c r="Q1896" t="s">
        <v>30</v>
      </c>
      <c r="R1896" t="str">
        <f>VLOOKUP($O1896,'Mapa Oficinas'!$A$7:$C$46,2,FALSE)</f>
        <v>Zona Norte (GBA)</v>
      </c>
      <c r="S1896" t="str">
        <f>VLOOKUP($O1896,'Mapa Oficinas'!$A$7:$C$46,3,FALSE)</f>
        <v>Nordelta</v>
      </c>
    </row>
    <row r="1897" spans="1:19" x14ac:dyDescent="0.2">
      <c r="A1897" s="1">
        <v>45980</v>
      </c>
      <c r="B1897" t="s">
        <v>3040</v>
      </c>
      <c r="D1897" t="s">
        <v>3041</v>
      </c>
      <c r="E1897" t="s">
        <v>16</v>
      </c>
      <c r="F1897" t="s">
        <v>17</v>
      </c>
      <c r="G1897" s="14">
        <v>325000</v>
      </c>
      <c r="H1897" s="14">
        <v>342000</v>
      </c>
      <c r="I1897" t="s">
        <v>22</v>
      </c>
      <c r="J1897" t="s">
        <v>22</v>
      </c>
      <c r="K1897" t="s">
        <v>3042</v>
      </c>
      <c r="L1897" t="s">
        <v>2088</v>
      </c>
      <c r="M1897" t="s">
        <v>28</v>
      </c>
      <c r="N1897">
        <v>1</v>
      </c>
      <c r="O1897" t="s">
        <v>142</v>
      </c>
      <c r="P1897" t="s">
        <v>146</v>
      </c>
      <c r="Q1897" t="s">
        <v>30</v>
      </c>
      <c r="R1897" t="str">
        <f>VLOOKUP($O1897,'Mapa Oficinas'!$A$7:$C$46,2,FALSE)</f>
        <v>Zona Norte (GBA)</v>
      </c>
      <c r="S1897" t="str">
        <f>VLOOKUP($O1897,'Mapa Oficinas'!$A$7:$C$46,3,FALSE)</f>
        <v>Nordelta</v>
      </c>
    </row>
    <row r="1898" spans="1:19" x14ac:dyDescent="0.2">
      <c r="A1898" s="1">
        <v>45981</v>
      </c>
      <c r="B1898" t="s">
        <v>3015</v>
      </c>
      <c r="D1898" t="s">
        <v>3016</v>
      </c>
      <c r="E1898" t="s">
        <v>16</v>
      </c>
      <c r="F1898" t="s">
        <v>17</v>
      </c>
      <c r="G1898" s="14">
        <v>67000</v>
      </c>
      <c r="H1898" s="14">
        <v>65500</v>
      </c>
      <c r="I1898" t="s">
        <v>22</v>
      </c>
      <c r="J1898" t="s">
        <v>22</v>
      </c>
      <c r="K1898" t="s">
        <v>3017</v>
      </c>
      <c r="L1898" t="s">
        <v>1177</v>
      </c>
      <c r="M1898" t="s">
        <v>19</v>
      </c>
      <c r="N1898">
        <v>2</v>
      </c>
      <c r="O1898" t="s">
        <v>103</v>
      </c>
      <c r="P1898" t="s">
        <v>21</v>
      </c>
      <c r="Q1898" t="s">
        <v>30</v>
      </c>
      <c r="R1898" t="str">
        <f>VLOOKUP($O1898,'Mapa Oficinas'!$A$7:$C$46,2,FALSE)</f>
        <v>CABA</v>
      </c>
      <c r="S1898" t="str">
        <f>VLOOKUP($O1898,'Mapa Oficinas'!$A$7:$C$46,3,FALSE)</f>
        <v>Barrio Parque</v>
      </c>
    </row>
    <row r="1899" spans="1:19" x14ac:dyDescent="0.2">
      <c r="A1899" s="1">
        <v>45981</v>
      </c>
      <c r="B1899" t="s">
        <v>3015</v>
      </c>
      <c r="D1899" t="s">
        <v>3016</v>
      </c>
      <c r="E1899" t="s">
        <v>16</v>
      </c>
      <c r="F1899" t="s">
        <v>17</v>
      </c>
      <c r="G1899" s="14">
        <v>67000</v>
      </c>
      <c r="H1899" s="14">
        <v>65500</v>
      </c>
      <c r="I1899" t="s">
        <v>22</v>
      </c>
      <c r="J1899" t="s">
        <v>22</v>
      </c>
      <c r="K1899" t="s">
        <v>3017</v>
      </c>
      <c r="L1899" t="s">
        <v>1177</v>
      </c>
      <c r="M1899" t="s">
        <v>19</v>
      </c>
      <c r="N1899">
        <v>2</v>
      </c>
      <c r="O1899" t="s">
        <v>103</v>
      </c>
      <c r="P1899" t="s">
        <v>21</v>
      </c>
      <c r="Q1899" t="s">
        <v>30</v>
      </c>
      <c r="R1899" t="str">
        <f>VLOOKUP($O1899,'Mapa Oficinas'!$A$7:$C$46,2,FALSE)</f>
        <v>CABA</v>
      </c>
      <c r="S1899" t="str">
        <f>VLOOKUP($O1899,'Mapa Oficinas'!$A$7:$C$46,3,FALSE)</f>
        <v>Barrio Parque</v>
      </c>
    </row>
    <row r="1900" spans="1:19" x14ac:dyDescent="0.2">
      <c r="A1900" s="1">
        <v>45981</v>
      </c>
      <c r="B1900" t="s">
        <v>3031</v>
      </c>
      <c r="D1900" t="s">
        <v>3032</v>
      </c>
      <c r="E1900" t="s">
        <v>16</v>
      </c>
      <c r="F1900" t="s">
        <v>17</v>
      </c>
      <c r="G1900" s="14">
        <v>149500</v>
      </c>
      <c r="H1900" s="14">
        <v>100000</v>
      </c>
      <c r="I1900" t="s">
        <v>22</v>
      </c>
      <c r="J1900" t="s">
        <v>22</v>
      </c>
      <c r="K1900" t="s">
        <v>3033</v>
      </c>
      <c r="L1900" t="s">
        <v>503</v>
      </c>
      <c r="M1900" t="s">
        <v>19</v>
      </c>
      <c r="N1900">
        <v>2</v>
      </c>
      <c r="O1900" t="s">
        <v>359</v>
      </c>
      <c r="P1900" t="s">
        <v>21</v>
      </c>
      <c r="Q1900" t="s">
        <v>30</v>
      </c>
      <c r="R1900" t="str">
        <f>VLOOKUP($O1900,'Mapa Oficinas'!$A$7:$C$46,2,FALSE)</f>
        <v>CABA</v>
      </c>
      <c r="S1900" t="str">
        <f>VLOOKUP($O1900,'Mapa Oficinas'!$A$7:$C$46,3,FALSE)</f>
        <v>Palermo</v>
      </c>
    </row>
    <row r="1901" spans="1:19" x14ac:dyDescent="0.2">
      <c r="A1901" s="1">
        <v>45981</v>
      </c>
      <c r="B1901" t="s">
        <v>3018</v>
      </c>
      <c r="D1901" t="s">
        <v>3019</v>
      </c>
      <c r="E1901" t="s">
        <v>16</v>
      </c>
      <c r="F1901" t="s">
        <v>17</v>
      </c>
      <c r="G1901" s="14">
        <v>137000</v>
      </c>
      <c r="H1901" s="14">
        <v>128000</v>
      </c>
      <c r="I1901" t="s">
        <v>22</v>
      </c>
      <c r="J1901" t="s">
        <v>22</v>
      </c>
      <c r="K1901" t="s">
        <v>3020</v>
      </c>
      <c r="L1901" t="s">
        <v>393</v>
      </c>
      <c r="M1901" t="s">
        <v>28</v>
      </c>
      <c r="N1901">
        <v>2</v>
      </c>
      <c r="O1901" t="s">
        <v>35</v>
      </c>
      <c r="P1901" t="s">
        <v>21</v>
      </c>
      <c r="Q1901" t="s">
        <v>30</v>
      </c>
      <c r="R1901" t="str">
        <f>VLOOKUP($O1901,'Mapa Oficinas'!$A$7:$C$46,2,FALSE)</f>
        <v>Zona Norte (GBA)</v>
      </c>
      <c r="S1901" t="str">
        <f>VLOOKUP($O1901,'Mapa Oficinas'!$A$7:$C$46,3,FALSE)</f>
        <v>Vicente López</v>
      </c>
    </row>
    <row r="1902" spans="1:19" x14ac:dyDescent="0.2">
      <c r="A1902" s="1">
        <v>45981</v>
      </c>
      <c r="B1902" t="s">
        <v>3021</v>
      </c>
      <c r="D1902" t="s">
        <v>3022</v>
      </c>
      <c r="E1902" t="s">
        <v>16</v>
      </c>
      <c r="F1902" t="s">
        <v>17</v>
      </c>
      <c r="G1902" s="14">
        <v>142000</v>
      </c>
      <c r="H1902" s="14">
        <v>142000</v>
      </c>
      <c r="I1902" t="s">
        <v>22</v>
      </c>
      <c r="J1902" t="s">
        <v>22</v>
      </c>
      <c r="K1902" t="s">
        <v>3022</v>
      </c>
      <c r="L1902" t="s">
        <v>398</v>
      </c>
      <c r="M1902" t="s">
        <v>19</v>
      </c>
      <c r="N1902">
        <v>2</v>
      </c>
      <c r="O1902" t="s">
        <v>20</v>
      </c>
      <c r="P1902" t="s">
        <v>21</v>
      </c>
      <c r="Q1902" t="s">
        <v>30</v>
      </c>
      <c r="R1902" t="str">
        <f>VLOOKUP($O1902,'Mapa Oficinas'!$A$7:$C$46,2,FALSE)</f>
        <v>CABA</v>
      </c>
      <c r="S1902" t="str">
        <f>VLOOKUP($O1902,'Mapa Oficinas'!$A$7:$C$46,3,FALSE)</f>
        <v>Palermo</v>
      </c>
    </row>
    <row r="1903" spans="1:19" x14ac:dyDescent="0.2">
      <c r="A1903" s="1">
        <v>45981</v>
      </c>
      <c r="B1903" t="s">
        <v>3027</v>
      </c>
      <c r="D1903" t="s">
        <v>3028</v>
      </c>
      <c r="E1903" t="s">
        <v>16</v>
      </c>
      <c r="F1903" t="s">
        <v>47</v>
      </c>
      <c r="G1903" s="14">
        <v>179000</v>
      </c>
      <c r="H1903" s="14">
        <v>166000</v>
      </c>
      <c r="I1903" t="s">
        <v>22</v>
      </c>
      <c r="J1903" t="s">
        <v>22</v>
      </c>
      <c r="K1903" t="s">
        <v>3029</v>
      </c>
      <c r="L1903" t="s">
        <v>3030</v>
      </c>
      <c r="M1903" t="s">
        <v>28</v>
      </c>
      <c r="N1903">
        <v>2</v>
      </c>
      <c r="O1903" t="s">
        <v>142</v>
      </c>
      <c r="P1903" t="s">
        <v>276</v>
      </c>
      <c r="Q1903" t="s">
        <v>30</v>
      </c>
      <c r="R1903" t="str">
        <f>VLOOKUP($O1903,'Mapa Oficinas'!$A$7:$C$46,2,FALSE)</f>
        <v>Zona Norte (GBA)</v>
      </c>
      <c r="S1903" t="str">
        <f>VLOOKUP($O1903,'Mapa Oficinas'!$A$7:$C$46,3,FALSE)</f>
        <v>Nordelta</v>
      </c>
    </row>
    <row r="1904" spans="1:19" x14ac:dyDescent="0.2">
      <c r="A1904" s="1">
        <v>45981</v>
      </c>
      <c r="B1904" t="s">
        <v>3009</v>
      </c>
      <c r="D1904" t="s">
        <v>3010</v>
      </c>
      <c r="E1904" t="s">
        <v>16</v>
      </c>
      <c r="F1904" t="s">
        <v>17</v>
      </c>
      <c r="G1904" s="14">
        <v>260000</v>
      </c>
      <c r="H1904" s="14">
        <v>250000</v>
      </c>
      <c r="I1904" t="s">
        <v>22</v>
      </c>
      <c r="J1904" t="s">
        <v>22</v>
      </c>
      <c r="K1904" t="s">
        <v>3011</v>
      </c>
      <c r="L1904" t="s">
        <v>413</v>
      </c>
      <c r="M1904" t="s">
        <v>19</v>
      </c>
      <c r="N1904">
        <v>2</v>
      </c>
      <c r="O1904" t="s">
        <v>103</v>
      </c>
      <c r="P1904" t="s">
        <v>276</v>
      </c>
      <c r="Q1904" t="s">
        <v>30</v>
      </c>
      <c r="R1904" t="str">
        <f>VLOOKUP($O1904,'Mapa Oficinas'!$A$7:$C$46,2,FALSE)</f>
        <v>CABA</v>
      </c>
      <c r="S1904" t="str">
        <f>VLOOKUP($O1904,'Mapa Oficinas'!$A$7:$C$46,3,FALSE)</f>
        <v>Barrio Parque</v>
      </c>
    </row>
    <row r="1905" spans="1:19" x14ac:dyDescent="0.2">
      <c r="A1905" s="1">
        <v>45981</v>
      </c>
      <c r="B1905" t="s">
        <v>3012</v>
      </c>
      <c r="D1905" t="s">
        <v>3013</v>
      </c>
      <c r="E1905" t="s">
        <v>16</v>
      </c>
      <c r="F1905" t="s">
        <v>17</v>
      </c>
      <c r="G1905" s="14">
        <v>300000</v>
      </c>
      <c r="H1905" s="14">
        <v>285000</v>
      </c>
      <c r="I1905" t="s">
        <v>22</v>
      </c>
      <c r="J1905" t="s">
        <v>22</v>
      </c>
      <c r="K1905" t="s">
        <v>3014</v>
      </c>
      <c r="L1905" t="s">
        <v>1246</v>
      </c>
      <c r="M1905" t="s">
        <v>28</v>
      </c>
      <c r="N1905">
        <v>2</v>
      </c>
      <c r="O1905" t="s">
        <v>103</v>
      </c>
      <c r="P1905" t="s">
        <v>21</v>
      </c>
      <c r="Q1905" t="s">
        <v>30</v>
      </c>
      <c r="R1905" t="str">
        <f>VLOOKUP($O1905,'Mapa Oficinas'!$A$7:$C$46,2,FALSE)</f>
        <v>CABA</v>
      </c>
      <c r="S1905" t="str">
        <f>VLOOKUP($O1905,'Mapa Oficinas'!$A$7:$C$46,3,FALSE)</f>
        <v>Barrio Parque</v>
      </c>
    </row>
    <row r="1906" spans="1:19" x14ac:dyDescent="0.2">
      <c r="A1906" s="1">
        <v>45982</v>
      </c>
      <c r="B1906" t="s">
        <v>2999</v>
      </c>
      <c r="D1906" t="s">
        <v>3000</v>
      </c>
      <c r="E1906" t="s">
        <v>16</v>
      </c>
      <c r="F1906" t="s">
        <v>243</v>
      </c>
      <c r="G1906" s="14">
        <v>58000</v>
      </c>
      <c r="H1906" s="14">
        <v>54000</v>
      </c>
      <c r="I1906" t="s">
        <v>22</v>
      </c>
      <c r="J1906" t="s">
        <v>22</v>
      </c>
      <c r="K1906" t="s">
        <v>3001</v>
      </c>
      <c r="L1906" t="s">
        <v>909</v>
      </c>
      <c r="M1906" t="s">
        <v>19</v>
      </c>
      <c r="N1906">
        <v>2</v>
      </c>
      <c r="O1906" t="s">
        <v>246</v>
      </c>
      <c r="P1906" t="s">
        <v>21</v>
      </c>
      <c r="Q1906" t="s">
        <v>30</v>
      </c>
      <c r="R1906" t="str">
        <f>VLOOKUP($O1906,'Mapa Oficinas'!$A$7:$C$46,2,FALSE)</f>
        <v>Interior - Salta</v>
      </c>
      <c r="S1906" t="str">
        <f>VLOOKUP($O1906,'Mapa Oficinas'!$A$7:$C$46,3,FALSE)</f>
        <v>San Lorenzo Chico</v>
      </c>
    </row>
    <row r="1907" spans="1:19" x14ac:dyDescent="0.2">
      <c r="A1907" s="1">
        <v>45982</v>
      </c>
      <c r="B1907" t="s">
        <v>3006</v>
      </c>
      <c r="D1907" t="s">
        <v>3007</v>
      </c>
      <c r="E1907" t="s">
        <v>16</v>
      </c>
      <c r="F1907" t="s">
        <v>134</v>
      </c>
      <c r="G1907" s="14">
        <v>178100</v>
      </c>
      <c r="H1907" s="14">
        <v>170000</v>
      </c>
      <c r="I1907" t="s">
        <v>22</v>
      </c>
      <c r="J1907" t="s">
        <v>22</v>
      </c>
      <c r="K1907" t="s">
        <v>3008</v>
      </c>
      <c r="L1907" t="s">
        <v>136</v>
      </c>
      <c r="M1907" t="s">
        <v>19</v>
      </c>
      <c r="N1907">
        <v>1</v>
      </c>
      <c r="O1907" t="s">
        <v>130</v>
      </c>
      <c r="P1907" t="s">
        <v>66</v>
      </c>
      <c r="Q1907" t="s">
        <v>30</v>
      </c>
      <c r="R1907" t="str">
        <f>VLOOKUP($O1907,'Mapa Oficinas'!$A$7:$C$46,2,FALSE)</f>
        <v>Interior - Río Negro</v>
      </c>
      <c r="S1907" t="str">
        <f>VLOOKUP($O1907,'Mapa Oficinas'!$A$7:$C$46,3,FALSE)</f>
        <v>Bariloche</v>
      </c>
    </row>
    <row r="1908" spans="1:19" x14ac:dyDescent="0.2">
      <c r="A1908" s="1">
        <v>45986</v>
      </c>
      <c r="B1908" t="s">
        <v>2994</v>
      </c>
      <c r="D1908" t="s">
        <v>2995</v>
      </c>
      <c r="E1908" t="s">
        <v>16</v>
      </c>
      <c r="F1908" t="s">
        <v>1708</v>
      </c>
      <c r="G1908" s="14">
        <v>38500</v>
      </c>
      <c r="H1908" s="14">
        <v>36000</v>
      </c>
      <c r="I1908" t="s">
        <v>22</v>
      </c>
      <c r="J1908" t="s">
        <v>22</v>
      </c>
      <c r="K1908" t="s">
        <v>2996</v>
      </c>
      <c r="L1908" t="s">
        <v>2997</v>
      </c>
      <c r="M1908" t="s">
        <v>97</v>
      </c>
      <c r="N1908">
        <v>2</v>
      </c>
      <c r="O1908" t="s">
        <v>367</v>
      </c>
      <c r="P1908" t="s">
        <v>21</v>
      </c>
      <c r="Q1908" t="s">
        <v>30</v>
      </c>
      <c r="R1908" t="str">
        <f>VLOOKUP($O1908,'Mapa Oficinas'!$A$7:$C$46,2,FALSE)</f>
        <v>Interior - Neuquén</v>
      </c>
      <c r="S1908" t="str">
        <f>VLOOKUP($O1908,'Mapa Oficinas'!$A$7:$C$46,3,FALSE)</f>
        <v>San Martín de los Andes</v>
      </c>
    </row>
    <row r="1909" spans="1:19" x14ac:dyDescent="0.2">
      <c r="A1909" s="1">
        <v>45986</v>
      </c>
      <c r="B1909" t="s">
        <v>2979</v>
      </c>
      <c r="D1909" t="s">
        <v>2980</v>
      </c>
      <c r="E1909" t="s">
        <v>16</v>
      </c>
      <c r="F1909" t="s">
        <v>17</v>
      </c>
      <c r="G1909" s="14">
        <v>41999</v>
      </c>
      <c r="H1909" s="14">
        <v>41200</v>
      </c>
      <c r="I1909" t="s">
        <v>22</v>
      </c>
      <c r="J1909" t="s">
        <v>22</v>
      </c>
      <c r="K1909" t="s">
        <v>2981</v>
      </c>
      <c r="L1909" t="s">
        <v>2982</v>
      </c>
      <c r="M1909" t="s">
        <v>19</v>
      </c>
      <c r="N1909">
        <v>2</v>
      </c>
      <c r="O1909" t="s">
        <v>227</v>
      </c>
      <c r="P1909" t="s">
        <v>21</v>
      </c>
      <c r="Q1909" t="s">
        <v>30</v>
      </c>
      <c r="R1909" t="str">
        <f>VLOOKUP($O1909,'Mapa Oficinas'!$A$7:$C$46,2,FALSE)</f>
        <v>Zona Oeste (GBA)</v>
      </c>
      <c r="S1909" t="str">
        <f>VLOOKUP($O1909,'Mapa Oficinas'!$A$7:$C$46,3,FALSE)</f>
        <v>Parque Leloir</v>
      </c>
    </row>
    <row r="1910" spans="1:19" x14ac:dyDescent="0.2">
      <c r="A1910" s="1">
        <v>45986</v>
      </c>
      <c r="B1910">
        <v>25112025</v>
      </c>
      <c r="D1910" t="s">
        <v>2985</v>
      </c>
      <c r="E1910" t="s">
        <v>16</v>
      </c>
      <c r="F1910" t="s">
        <v>134</v>
      </c>
      <c r="G1910" s="14">
        <v>70000</v>
      </c>
      <c r="H1910" s="14">
        <v>70000</v>
      </c>
      <c r="I1910" t="s">
        <v>22</v>
      </c>
      <c r="J1910" t="s">
        <v>22</v>
      </c>
      <c r="L1910" t="s">
        <v>129</v>
      </c>
      <c r="M1910" t="s">
        <v>19</v>
      </c>
      <c r="N1910">
        <v>1</v>
      </c>
      <c r="O1910" t="s">
        <v>130</v>
      </c>
      <c r="P1910" t="s">
        <v>131</v>
      </c>
      <c r="Q1910" t="s">
        <v>30</v>
      </c>
      <c r="R1910" t="str">
        <f>VLOOKUP($O1910,'Mapa Oficinas'!$A$7:$C$46,2,FALSE)</f>
        <v>Interior - Río Negro</v>
      </c>
      <c r="S1910" t="str">
        <f>VLOOKUP($O1910,'Mapa Oficinas'!$A$7:$C$46,3,FALSE)</f>
        <v>Bariloche</v>
      </c>
    </row>
    <row r="1911" spans="1:19" x14ac:dyDescent="0.2">
      <c r="A1911" s="1">
        <v>45986</v>
      </c>
      <c r="D1911" t="s">
        <v>2983</v>
      </c>
      <c r="E1911" t="s">
        <v>16</v>
      </c>
      <c r="F1911" t="s">
        <v>82</v>
      </c>
      <c r="G1911" s="14">
        <v>78000</v>
      </c>
      <c r="H1911" s="14">
        <v>78000</v>
      </c>
      <c r="I1911" t="s">
        <v>22</v>
      </c>
      <c r="J1911" t="s">
        <v>22</v>
      </c>
      <c r="K1911" t="s">
        <v>2984</v>
      </c>
      <c r="L1911" t="s">
        <v>71</v>
      </c>
      <c r="M1911" t="s">
        <v>19</v>
      </c>
      <c r="N1911">
        <v>2</v>
      </c>
      <c r="O1911" t="s">
        <v>686</v>
      </c>
      <c r="P1911" t="s">
        <v>36</v>
      </c>
      <c r="Q1911" t="s">
        <v>30</v>
      </c>
      <c r="R1911" t="str">
        <f>VLOOKUP($O1911,'Mapa Oficinas'!$A$7:$C$46,2,FALSE)</f>
        <v>CABA</v>
      </c>
      <c r="S1911" t="str">
        <f>VLOOKUP($O1911,'Mapa Oficinas'!$A$7:$C$46,3,FALSE)</f>
        <v>Retiro</v>
      </c>
    </row>
    <row r="1912" spans="1:19" x14ac:dyDescent="0.2">
      <c r="A1912" s="1">
        <v>45986</v>
      </c>
      <c r="B1912" t="s">
        <v>2991</v>
      </c>
      <c r="D1912" t="s">
        <v>2992</v>
      </c>
      <c r="E1912" t="s">
        <v>16</v>
      </c>
      <c r="F1912" t="s">
        <v>17</v>
      </c>
      <c r="G1912" s="14">
        <v>93900</v>
      </c>
      <c r="H1912" s="14">
        <v>90000</v>
      </c>
      <c r="I1912" t="s">
        <v>22</v>
      </c>
      <c r="J1912" t="s">
        <v>22</v>
      </c>
      <c r="K1912" t="s">
        <v>2993</v>
      </c>
      <c r="L1912" t="s">
        <v>1633</v>
      </c>
      <c r="M1912" t="s">
        <v>19</v>
      </c>
      <c r="N1912">
        <v>2</v>
      </c>
      <c r="O1912" t="s">
        <v>103</v>
      </c>
      <c r="P1912" t="s">
        <v>276</v>
      </c>
      <c r="Q1912" t="s">
        <v>30</v>
      </c>
      <c r="R1912" t="str">
        <f>VLOOKUP($O1912,'Mapa Oficinas'!$A$7:$C$46,2,FALSE)</f>
        <v>CABA</v>
      </c>
      <c r="S1912" t="str">
        <f>VLOOKUP($O1912,'Mapa Oficinas'!$A$7:$C$46,3,FALSE)</f>
        <v>Barrio Parque</v>
      </c>
    </row>
    <row r="1913" spans="1:19" x14ac:dyDescent="0.2">
      <c r="A1913" s="1">
        <v>45986</v>
      </c>
      <c r="B1913" t="s">
        <v>2986</v>
      </c>
      <c r="D1913" t="s">
        <v>2986</v>
      </c>
      <c r="E1913" t="s">
        <v>16</v>
      </c>
      <c r="F1913" t="s">
        <v>17</v>
      </c>
      <c r="G1913" s="14">
        <v>145000</v>
      </c>
      <c r="H1913" s="14">
        <v>145000</v>
      </c>
      <c r="I1913" t="s">
        <v>22</v>
      </c>
      <c r="J1913" t="s">
        <v>22</v>
      </c>
      <c r="K1913" t="s">
        <v>2986</v>
      </c>
      <c r="L1913" t="s">
        <v>107</v>
      </c>
      <c r="M1913" t="s">
        <v>28</v>
      </c>
      <c r="N1913">
        <v>1</v>
      </c>
      <c r="O1913" t="s">
        <v>35</v>
      </c>
      <c r="P1913" t="s">
        <v>131</v>
      </c>
      <c r="Q1913" t="s">
        <v>30</v>
      </c>
      <c r="R1913" t="str">
        <f>VLOOKUP($O1913,'Mapa Oficinas'!$A$7:$C$46,2,FALSE)</f>
        <v>Zona Norte (GBA)</v>
      </c>
      <c r="S1913" t="str">
        <f>VLOOKUP($O1913,'Mapa Oficinas'!$A$7:$C$46,3,FALSE)</f>
        <v>Vicente López</v>
      </c>
    </row>
    <row r="1914" spans="1:19" x14ac:dyDescent="0.2">
      <c r="A1914" s="1">
        <v>45986</v>
      </c>
      <c r="B1914" t="s">
        <v>2987</v>
      </c>
      <c r="D1914" t="s">
        <v>2988</v>
      </c>
      <c r="E1914" t="s">
        <v>16</v>
      </c>
      <c r="F1914" t="s">
        <v>17</v>
      </c>
      <c r="G1914" s="14">
        <v>160000</v>
      </c>
      <c r="H1914" s="14">
        <v>148000</v>
      </c>
      <c r="I1914" t="s">
        <v>22</v>
      </c>
      <c r="J1914" t="s">
        <v>22</v>
      </c>
      <c r="K1914" t="s">
        <v>2989</v>
      </c>
      <c r="L1914" t="s">
        <v>441</v>
      </c>
      <c r="M1914" t="s">
        <v>28</v>
      </c>
      <c r="N1914">
        <v>2</v>
      </c>
      <c r="O1914" t="s">
        <v>40</v>
      </c>
      <c r="P1914" t="s">
        <v>44</v>
      </c>
      <c r="Q1914" t="s">
        <v>30</v>
      </c>
      <c r="R1914" t="str">
        <f>VLOOKUP($O1914,'Mapa Oficinas'!$A$7:$C$46,2,FALSE)</f>
        <v>Zona Norte (GBA)</v>
      </c>
      <c r="S1914" t="str">
        <f>VLOOKUP($O1914,'Mapa Oficinas'!$A$7:$C$46,3,FALSE)</f>
        <v>Pilar</v>
      </c>
    </row>
    <row r="1915" spans="1:19" x14ac:dyDescent="0.2">
      <c r="A1915" s="1">
        <v>45986</v>
      </c>
      <c r="B1915">
        <v>10618</v>
      </c>
      <c r="D1915" t="s">
        <v>2990</v>
      </c>
      <c r="E1915" t="s">
        <v>16</v>
      </c>
      <c r="F1915" t="s">
        <v>17</v>
      </c>
      <c r="G1915" s="14">
        <v>190000</v>
      </c>
      <c r="H1915" s="14">
        <v>190000</v>
      </c>
      <c r="I1915" t="s">
        <v>22</v>
      </c>
      <c r="J1915" t="s">
        <v>22</v>
      </c>
      <c r="K1915" t="s">
        <v>2990</v>
      </c>
      <c r="L1915" t="s">
        <v>102</v>
      </c>
      <c r="M1915" t="s">
        <v>19</v>
      </c>
      <c r="N1915">
        <v>1</v>
      </c>
      <c r="O1915" t="s">
        <v>103</v>
      </c>
      <c r="P1915" t="s">
        <v>146</v>
      </c>
      <c r="Q1915" t="s">
        <v>30</v>
      </c>
      <c r="R1915" t="str">
        <f>VLOOKUP($O1915,'Mapa Oficinas'!$A$7:$C$46,2,FALSE)</f>
        <v>CABA</v>
      </c>
      <c r="S1915" t="str">
        <f>VLOOKUP($O1915,'Mapa Oficinas'!$A$7:$C$46,3,FALSE)</f>
        <v>Barrio Parque</v>
      </c>
    </row>
    <row r="1916" spans="1:19" x14ac:dyDescent="0.2">
      <c r="A1916" s="1">
        <v>45987</v>
      </c>
      <c r="B1916" t="s">
        <v>2958</v>
      </c>
      <c r="D1916" t="s">
        <v>2959</v>
      </c>
      <c r="E1916" t="s">
        <v>16</v>
      </c>
      <c r="F1916" t="s">
        <v>17</v>
      </c>
      <c r="G1916" s="14">
        <v>55000</v>
      </c>
      <c r="H1916" s="14">
        <v>50000</v>
      </c>
      <c r="I1916" t="s">
        <v>22</v>
      </c>
      <c r="J1916" t="s">
        <v>22</v>
      </c>
      <c r="K1916" t="s">
        <v>2960</v>
      </c>
      <c r="L1916" t="s">
        <v>2443</v>
      </c>
      <c r="M1916" t="s">
        <v>19</v>
      </c>
      <c r="N1916">
        <v>2</v>
      </c>
      <c r="O1916" t="s">
        <v>87</v>
      </c>
      <c r="P1916" t="s">
        <v>21</v>
      </c>
      <c r="Q1916" t="s">
        <v>30</v>
      </c>
      <c r="R1916" t="str">
        <f>VLOOKUP($O1916,'Mapa Oficinas'!$A$7:$C$46,2,FALSE)</f>
        <v>Zona Norte (GBA)</v>
      </c>
      <c r="S1916" t="str">
        <f>VLOOKUP($O1916,'Mapa Oficinas'!$A$7:$C$46,3,FALSE)</f>
        <v>Tigre</v>
      </c>
    </row>
    <row r="1917" spans="1:19" x14ac:dyDescent="0.2">
      <c r="A1917" s="1">
        <v>45987</v>
      </c>
      <c r="B1917" t="s">
        <v>2976</v>
      </c>
      <c r="D1917" t="s">
        <v>2977</v>
      </c>
      <c r="E1917" t="s">
        <v>16</v>
      </c>
      <c r="F1917" t="s">
        <v>17</v>
      </c>
      <c r="G1917" s="14">
        <v>109000</v>
      </c>
      <c r="H1917" s="14">
        <v>95000</v>
      </c>
      <c r="I1917" t="s">
        <v>22</v>
      </c>
      <c r="J1917" t="s">
        <v>22</v>
      </c>
      <c r="K1917" t="s">
        <v>2978</v>
      </c>
      <c r="L1917" t="s">
        <v>1077</v>
      </c>
      <c r="M1917" t="s">
        <v>19</v>
      </c>
      <c r="N1917">
        <v>2</v>
      </c>
      <c r="O1917" t="s">
        <v>103</v>
      </c>
      <c r="P1917" t="s">
        <v>36</v>
      </c>
      <c r="Q1917" t="s">
        <v>30</v>
      </c>
      <c r="R1917" t="str">
        <f>VLOOKUP($O1917,'Mapa Oficinas'!$A$7:$C$46,2,FALSE)</f>
        <v>CABA</v>
      </c>
      <c r="S1917" t="str">
        <f>VLOOKUP($O1917,'Mapa Oficinas'!$A$7:$C$46,3,FALSE)</f>
        <v>Barrio Parque</v>
      </c>
    </row>
    <row r="1918" spans="1:19" x14ac:dyDescent="0.2">
      <c r="A1918" s="1">
        <v>45987</v>
      </c>
      <c r="B1918" t="s">
        <v>2961</v>
      </c>
      <c r="D1918" t="s">
        <v>2962</v>
      </c>
      <c r="E1918" t="s">
        <v>16</v>
      </c>
      <c r="F1918" t="s">
        <v>17</v>
      </c>
      <c r="G1918" s="14">
        <v>95000</v>
      </c>
      <c r="H1918" s="14">
        <v>95000</v>
      </c>
      <c r="I1918" t="s">
        <v>22</v>
      </c>
      <c r="J1918" t="s">
        <v>22</v>
      </c>
      <c r="K1918" t="s">
        <v>2963</v>
      </c>
      <c r="L1918" t="s">
        <v>1077</v>
      </c>
      <c r="M1918" t="s">
        <v>19</v>
      </c>
      <c r="N1918">
        <v>2</v>
      </c>
      <c r="O1918" t="s">
        <v>73</v>
      </c>
      <c r="P1918" t="s">
        <v>36</v>
      </c>
      <c r="Q1918" t="s">
        <v>30</v>
      </c>
      <c r="R1918" t="str">
        <f>VLOOKUP($O1918,'Mapa Oficinas'!$A$7:$C$46,2,FALSE)</f>
        <v>CABA</v>
      </c>
      <c r="S1918" t="str">
        <f>VLOOKUP($O1918,'Mapa Oficinas'!$A$7:$C$46,3,FALSE)</f>
        <v>Recoleta</v>
      </c>
    </row>
    <row r="1919" spans="1:19" x14ac:dyDescent="0.2">
      <c r="A1919" s="1">
        <v>45987</v>
      </c>
      <c r="B1919" t="s">
        <v>2970</v>
      </c>
      <c r="D1919" t="s">
        <v>2971</v>
      </c>
      <c r="E1919" t="s">
        <v>16</v>
      </c>
      <c r="F1919" t="s">
        <v>38</v>
      </c>
      <c r="G1919" s="14">
        <v>110000</v>
      </c>
      <c r="H1919" s="14">
        <v>107000</v>
      </c>
      <c r="I1919" t="s">
        <v>22</v>
      </c>
      <c r="J1919" t="s">
        <v>22</v>
      </c>
      <c r="K1919" t="s">
        <v>2972</v>
      </c>
      <c r="L1919" t="s">
        <v>1983</v>
      </c>
      <c r="M1919" t="s">
        <v>97</v>
      </c>
      <c r="N1919">
        <v>2</v>
      </c>
      <c r="O1919" t="s">
        <v>98</v>
      </c>
      <c r="P1919" t="s">
        <v>41</v>
      </c>
      <c r="Q1919" t="s">
        <v>30</v>
      </c>
      <c r="R1919" t="str">
        <f>VLOOKUP($O1919,'Mapa Oficinas'!$A$7:$C$46,2,FALSE)</f>
        <v>Interior - Neuquén</v>
      </c>
      <c r="S1919" t="str">
        <f>VLOOKUP($O1919,'Mapa Oficinas'!$A$7:$C$46,3,FALSE)</f>
        <v>Villa La Angostura</v>
      </c>
    </row>
    <row r="1920" spans="1:19" x14ac:dyDescent="0.2">
      <c r="A1920" s="1">
        <v>45987</v>
      </c>
      <c r="B1920" t="s">
        <v>2973</v>
      </c>
      <c r="D1920" t="s">
        <v>2974</v>
      </c>
      <c r="E1920" t="s">
        <v>16</v>
      </c>
      <c r="F1920" t="s">
        <v>17</v>
      </c>
      <c r="G1920" s="14">
        <v>159900</v>
      </c>
      <c r="H1920" s="14">
        <v>150000</v>
      </c>
      <c r="I1920" t="s">
        <v>22</v>
      </c>
      <c r="J1920" t="s">
        <v>22</v>
      </c>
      <c r="K1920" t="s">
        <v>2975</v>
      </c>
      <c r="L1920" t="s">
        <v>79</v>
      </c>
      <c r="M1920" t="s">
        <v>19</v>
      </c>
      <c r="N1920">
        <v>2</v>
      </c>
      <c r="O1920" t="s">
        <v>103</v>
      </c>
      <c r="P1920" t="s">
        <v>276</v>
      </c>
      <c r="Q1920" t="s">
        <v>30</v>
      </c>
      <c r="R1920" t="str">
        <f>VLOOKUP($O1920,'Mapa Oficinas'!$A$7:$C$46,2,FALSE)</f>
        <v>CABA</v>
      </c>
      <c r="S1920" t="str">
        <f>VLOOKUP($O1920,'Mapa Oficinas'!$A$7:$C$46,3,FALSE)</f>
        <v>Barrio Parque</v>
      </c>
    </row>
    <row r="1921" spans="1:19" x14ac:dyDescent="0.2">
      <c r="A1921" s="1">
        <v>45988</v>
      </c>
      <c r="B1921" t="s">
        <v>2950</v>
      </c>
      <c r="D1921" t="s">
        <v>2951</v>
      </c>
      <c r="E1921" t="s">
        <v>16</v>
      </c>
      <c r="F1921" t="s">
        <v>82</v>
      </c>
      <c r="G1921" s="14">
        <v>58000</v>
      </c>
      <c r="H1921" s="14">
        <v>51000</v>
      </c>
      <c r="I1921" t="s">
        <v>22</v>
      </c>
      <c r="J1921" t="s">
        <v>22</v>
      </c>
      <c r="K1921" t="s">
        <v>2952</v>
      </c>
      <c r="L1921" t="s">
        <v>54</v>
      </c>
      <c r="M1921" t="s">
        <v>300</v>
      </c>
      <c r="N1921">
        <v>1</v>
      </c>
      <c r="O1921" t="s">
        <v>55</v>
      </c>
      <c r="P1921" t="s">
        <v>131</v>
      </c>
      <c r="Q1921" t="s">
        <v>30</v>
      </c>
      <c r="R1921" t="str">
        <f>VLOOKUP($O1921,'Mapa Oficinas'!$A$7:$C$46,2,FALSE)</f>
        <v>Interior - Santa Fe</v>
      </c>
      <c r="S1921" t="str">
        <f>VLOOKUP($O1921,'Mapa Oficinas'!$A$7:$C$46,3,FALSE)</f>
        <v>Capital Santa Fe</v>
      </c>
    </row>
    <row r="1922" spans="1:19" x14ac:dyDescent="0.2">
      <c r="A1922" s="1">
        <v>45988</v>
      </c>
      <c r="B1922" t="s">
        <v>2947</v>
      </c>
      <c r="D1922" t="s">
        <v>2948</v>
      </c>
      <c r="E1922" t="s">
        <v>16</v>
      </c>
      <c r="F1922" t="s">
        <v>17</v>
      </c>
      <c r="G1922" s="14">
        <v>89000</v>
      </c>
      <c r="H1922" s="14">
        <v>84000</v>
      </c>
      <c r="I1922" t="s">
        <v>22</v>
      </c>
      <c r="J1922" t="s">
        <v>22</v>
      </c>
      <c r="K1922" t="s">
        <v>2949</v>
      </c>
      <c r="L1922" t="s">
        <v>79</v>
      </c>
      <c r="M1922" t="s">
        <v>19</v>
      </c>
      <c r="N1922">
        <v>2</v>
      </c>
      <c r="O1922" t="s">
        <v>29</v>
      </c>
      <c r="P1922" t="s">
        <v>21</v>
      </c>
      <c r="Q1922" t="s">
        <v>30</v>
      </c>
      <c r="R1922" t="str">
        <f>VLOOKUP($O1922,'Mapa Oficinas'!$A$7:$C$46,2,FALSE)</f>
        <v>CABA</v>
      </c>
      <c r="S1922" t="str">
        <f>VLOOKUP($O1922,'Mapa Oficinas'!$A$7:$C$46,3,FALSE)</f>
        <v>Núñez</v>
      </c>
    </row>
    <row r="1923" spans="1:19" x14ac:dyDescent="0.2">
      <c r="A1923" s="1">
        <v>45988</v>
      </c>
      <c r="B1923" t="s">
        <v>2953</v>
      </c>
      <c r="D1923" t="s">
        <v>2954</v>
      </c>
      <c r="E1923" t="s">
        <v>16</v>
      </c>
      <c r="F1923" t="s">
        <v>17</v>
      </c>
      <c r="G1923" s="14">
        <v>143000</v>
      </c>
      <c r="H1923" s="14">
        <v>143000</v>
      </c>
      <c r="I1923" t="s">
        <v>22</v>
      </c>
      <c r="J1923" t="s">
        <v>22</v>
      </c>
      <c r="K1923" t="s">
        <v>2954</v>
      </c>
      <c r="L1923" t="s">
        <v>398</v>
      </c>
      <c r="M1923" t="s">
        <v>19</v>
      </c>
      <c r="N1923">
        <v>1</v>
      </c>
      <c r="O1923" t="s">
        <v>20</v>
      </c>
      <c r="P1923" t="s">
        <v>146</v>
      </c>
      <c r="Q1923" t="s">
        <v>30</v>
      </c>
      <c r="R1923" t="str">
        <f>VLOOKUP($O1923,'Mapa Oficinas'!$A$7:$C$46,2,FALSE)</f>
        <v>CABA</v>
      </c>
      <c r="S1923" t="str">
        <f>VLOOKUP($O1923,'Mapa Oficinas'!$A$7:$C$46,3,FALSE)</f>
        <v>Palermo</v>
      </c>
    </row>
    <row r="1924" spans="1:19" x14ac:dyDescent="0.2">
      <c r="A1924" s="1">
        <v>45988</v>
      </c>
      <c r="B1924" t="s">
        <v>2940</v>
      </c>
      <c r="D1924" t="s">
        <v>2941</v>
      </c>
      <c r="E1924" t="s">
        <v>16</v>
      </c>
      <c r="F1924" t="s">
        <v>82</v>
      </c>
      <c r="G1924" s="14">
        <v>0</v>
      </c>
      <c r="H1924" s="14">
        <v>150000</v>
      </c>
      <c r="I1924" t="s">
        <v>22</v>
      </c>
      <c r="J1924" t="s">
        <v>22</v>
      </c>
      <c r="K1924" t="s">
        <v>2942</v>
      </c>
      <c r="L1924" t="s">
        <v>54</v>
      </c>
      <c r="M1924" t="s">
        <v>28</v>
      </c>
      <c r="N1924">
        <v>1</v>
      </c>
      <c r="O1924" t="s">
        <v>55</v>
      </c>
      <c r="P1924" t="s">
        <v>131</v>
      </c>
      <c r="Q1924" t="s">
        <v>30</v>
      </c>
      <c r="R1924" t="str">
        <f>VLOOKUP($O1924,'Mapa Oficinas'!$A$7:$C$46,2,FALSE)</f>
        <v>Interior - Santa Fe</v>
      </c>
      <c r="S1924" t="str">
        <f>VLOOKUP($O1924,'Mapa Oficinas'!$A$7:$C$46,3,FALSE)</f>
        <v>Capital Santa Fe</v>
      </c>
    </row>
    <row r="1925" spans="1:19" x14ac:dyDescent="0.2">
      <c r="A1925" s="1">
        <v>45988</v>
      </c>
      <c r="B1925" t="s">
        <v>2955</v>
      </c>
      <c r="D1925" t="s">
        <v>2956</v>
      </c>
      <c r="E1925" t="s">
        <v>16</v>
      </c>
      <c r="F1925" t="s">
        <v>17</v>
      </c>
      <c r="G1925" s="14">
        <v>200000</v>
      </c>
      <c r="H1925" s="14">
        <v>198000</v>
      </c>
      <c r="I1925" t="s">
        <v>22</v>
      </c>
      <c r="J1925" t="s">
        <v>22</v>
      </c>
      <c r="K1925" t="s">
        <v>2957</v>
      </c>
      <c r="L1925" t="s">
        <v>330</v>
      </c>
      <c r="M1925" t="s">
        <v>28</v>
      </c>
      <c r="N1925">
        <v>2</v>
      </c>
      <c r="O1925" t="s">
        <v>103</v>
      </c>
      <c r="P1925" t="s">
        <v>276</v>
      </c>
      <c r="Q1925" t="s">
        <v>30</v>
      </c>
      <c r="R1925" t="str">
        <f>VLOOKUP($O1925,'Mapa Oficinas'!$A$7:$C$46,2,FALSE)</f>
        <v>CABA</v>
      </c>
      <c r="S1925" t="str">
        <f>VLOOKUP($O1925,'Mapa Oficinas'!$A$7:$C$46,3,FALSE)</f>
        <v>Barrio Parque</v>
      </c>
    </row>
    <row r="1926" spans="1:19" x14ac:dyDescent="0.2">
      <c r="A1926" s="1">
        <v>45988</v>
      </c>
      <c r="B1926" t="s">
        <v>2943</v>
      </c>
      <c r="D1926" t="s">
        <v>2944</v>
      </c>
      <c r="E1926" t="s">
        <v>16</v>
      </c>
      <c r="F1926" t="s">
        <v>184</v>
      </c>
      <c r="G1926" s="14">
        <v>425000</v>
      </c>
      <c r="H1926" s="14">
        <v>420000</v>
      </c>
      <c r="I1926" t="s">
        <v>22</v>
      </c>
      <c r="J1926" t="s">
        <v>22</v>
      </c>
      <c r="K1926" t="s">
        <v>2945</v>
      </c>
      <c r="L1926" t="s">
        <v>995</v>
      </c>
      <c r="M1926" t="s">
        <v>28</v>
      </c>
      <c r="N1926">
        <v>2</v>
      </c>
      <c r="O1926" t="s">
        <v>130</v>
      </c>
      <c r="P1926" t="s">
        <v>21</v>
      </c>
      <c r="Q1926" t="s">
        <v>30</v>
      </c>
      <c r="R1926" t="str">
        <f>VLOOKUP($O1926,'Mapa Oficinas'!$A$7:$C$46,2,FALSE)</f>
        <v>Interior - Río Negro</v>
      </c>
      <c r="S1926" t="str">
        <f>VLOOKUP($O1926,'Mapa Oficinas'!$A$7:$C$46,3,FALSE)</f>
        <v>Bariloche</v>
      </c>
    </row>
    <row r="1927" spans="1:19" x14ac:dyDescent="0.2">
      <c r="A1927" s="1">
        <v>45989</v>
      </c>
      <c r="B1927" t="s">
        <v>2912</v>
      </c>
      <c r="D1927" t="s">
        <v>2913</v>
      </c>
      <c r="E1927" t="s">
        <v>16</v>
      </c>
      <c r="F1927" t="s">
        <v>17</v>
      </c>
      <c r="G1927" s="14">
        <v>55000</v>
      </c>
      <c r="H1927" s="14">
        <v>55000</v>
      </c>
      <c r="I1927" t="s">
        <v>22</v>
      </c>
      <c r="J1927" t="s">
        <v>22</v>
      </c>
      <c r="K1927" t="s">
        <v>2914</v>
      </c>
      <c r="L1927" t="s">
        <v>2361</v>
      </c>
      <c r="M1927" t="s">
        <v>28</v>
      </c>
      <c r="N1927">
        <v>2</v>
      </c>
      <c r="O1927" t="s">
        <v>20</v>
      </c>
      <c r="P1927" t="s">
        <v>21</v>
      </c>
      <c r="Q1927" t="s">
        <v>30</v>
      </c>
      <c r="R1927" t="str">
        <f>VLOOKUP($O1927,'Mapa Oficinas'!$A$7:$C$46,2,FALSE)</f>
        <v>CABA</v>
      </c>
      <c r="S1927" t="str">
        <f>VLOOKUP($O1927,'Mapa Oficinas'!$A$7:$C$46,3,FALSE)</f>
        <v>Palermo</v>
      </c>
    </row>
    <row r="1928" spans="1:19" x14ac:dyDescent="0.2">
      <c r="A1928" s="1">
        <v>45989</v>
      </c>
      <c r="B1928" t="s">
        <v>2918</v>
      </c>
      <c r="D1928" t="s">
        <v>2919</v>
      </c>
      <c r="E1928" t="s">
        <v>16</v>
      </c>
      <c r="F1928" t="s">
        <v>17</v>
      </c>
      <c r="G1928" s="14">
        <v>69400</v>
      </c>
      <c r="H1928" s="14">
        <v>69400</v>
      </c>
      <c r="I1928" t="s">
        <v>22</v>
      </c>
      <c r="J1928" t="s">
        <v>22</v>
      </c>
      <c r="K1928" t="s">
        <v>2920</v>
      </c>
      <c r="L1928" t="s">
        <v>141</v>
      </c>
      <c r="M1928" t="s">
        <v>19</v>
      </c>
      <c r="N1928">
        <v>2</v>
      </c>
      <c r="O1928" t="s">
        <v>29</v>
      </c>
      <c r="P1928" t="s">
        <v>21</v>
      </c>
      <c r="Q1928" t="s">
        <v>30</v>
      </c>
      <c r="R1928" t="str">
        <f>VLOOKUP($O1928,'Mapa Oficinas'!$A$7:$C$46,2,FALSE)</f>
        <v>CABA</v>
      </c>
      <c r="S1928" t="str">
        <f>VLOOKUP($O1928,'Mapa Oficinas'!$A$7:$C$46,3,FALSE)</f>
        <v>Núñez</v>
      </c>
    </row>
    <row r="1929" spans="1:19" x14ac:dyDescent="0.2">
      <c r="A1929" s="1">
        <v>45989</v>
      </c>
      <c r="B1929" t="s">
        <v>2932</v>
      </c>
      <c r="D1929" t="s">
        <v>2933</v>
      </c>
      <c r="E1929" t="s">
        <v>16</v>
      </c>
      <c r="F1929" t="s">
        <v>17</v>
      </c>
      <c r="G1929" s="14">
        <v>82000</v>
      </c>
      <c r="H1929" s="14">
        <v>82000</v>
      </c>
      <c r="I1929" t="s">
        <v>22</v>
      </c>
      <c r="J1929" t="s">
        <v>22</v>
      </c>
      <c r="K1929" t="s">
        <v>2934</v>
      </c>
      <c r="L1929" t="s">
        <v>217</v>
      </c>
      <c r="M1929" t="s">
        <v>19</v>
      </c>
      <c r="N1929">
        <v>1</v>
      </c>
      <c r="O1929" t="s">
        <v>73</v>
      </c>
      <c r="P1929" t="s">
        <v>146</v>
      </c>
      <c r="Q1929" t="s">
        <v>30</v>
      </c>
      <c r="R1929" t="str">
        <f>VLOOKUP($O1929,'Mapa Oficinas'!$A$7:$C$46,2,FALSE)</f>
        <v>CABA</v>
      </c>
      <c r="S1929" t="str">
        <f>VLOOKUP($O1929,'Mapa Oficinas'!$A$7:$C$46,3,FALSE)</f>
        <v>Recoleta</v>
      </c>
    </row>
    <row r="1930" spans="1:19" x14ac:dyDescent="0.2">
      <c r="A1930" s="1">
        <v>45989</v>
      </c>
      <c r="D1930" t="s">
        <v>2921</v>
      </c>
      <c r="E1930" t="s">
        <v>16</v>
      </c>
      <c r="F1930" t="s">
        <v>17</v>
      </c>
      <c r="G1930" s="14">
        <v>86000</v>
      </c>
      <c r="H1930" s="14">
        <v>83000</v>
      </c>
      <c r="I1930" t="s">
        <v>22</v>
      </c>
      <c r="J1930" t="s">
        <v>22</v>
      </c>
      <c r="K1930" t="s">
        <v>2922</v>
      </c>
      <c r="L1930" t="s">
        <v>277</v>
      </c>
      <c r="M1930" t="s">
        <v>19</v>
      </c>
      <c r="N1930">
        <v>1</v>
      </c>
      <c r="O1930" t="s">
        <v>686</v>
      </c>
      <c r="P1930" t="s">
        <v>131</v>
      </c>
      <c r="Q1930" t="s">
        <v>30</v>
      </c>
      <c r="R1930" t="str">
        <f>VLOOKUP($O1930,'Mapa Oficinas'!$A$7:$C$46,2,FALSE)</f>
        <v>CABA</v>
      </c>
      <c r="S1930" t="str">
        <f>VLOOKUP($O1930,'Mapa Oficinas'!$A$7:$C$46,3,FALSE)</f>
        <v>Retiro</v>
      </c>
    </row>
    <row r="1931" spans="1:19" x14ac:dyDescent="0.2">
      <c r="A1931" s="1">
        <v>45989</v>
      </c>
      <c r="B1931" t="s">
        <v>2929</v>
      </c>
      <c r="D1931" t="s">
        <v>2930</v>
      </c>
      <c r="E1931" t="s">
        <v>16</v>
      </c>
      <c r="F1931" t="s">
        <v>17</v>
      </c>
      <c r="G1931" s="14">
        <v>108000</v>
      </c>
      <c r="H1931" s="14">
        <v>104000</v>
      </c>
      <c r="I1931" t="s">
        <v>22</v>
      </c>
      <c r="J1931" t="s">
        <v>22</v>
      </c>
      <c r="K1931" t="s">
        <v>2931</v>
      </c>
      <c r="L1931" t="s">
        <v>217</v>
      </c>
      <c r="M1931" t="s">
        <v>72</v>
      </c>
      <c r="N1931">
        <v>2</v>
      </c>
      <c r="O1931" t="s">
        <v>103</v>
      </c>
      <c r="P1931" t="s">
        <v>21</v>
      </c>
      <c r="Q1931" t="s">
        <v>30</v>
      </c>
      <c r="R1931" t="str">
        <f>VLOOKUP($O1931,'Mapa Oficinas'!$A$7:$C$46,2,FALSE)</f>
        <v>CABA</v>
      </c>
      <c r="S1931" t="str">
        <f>VLOOKUP($O1931,'Mapa Oficinas'!$A$7:$C$46,3,FALSE)</f>
        <v>Barrio Parque</v>
      </c>
    </row>
    <row r="1932" spans="1:19" x14ac:dyDescent="0.2">
      <c r="A1932" s="1">
        <v>45989</v>
      </c>
      <c r="B1932" t="s">
        <v>2906</v>
      </c>
      <c r="D1932" t="s">
        <v>2907</v>
      </c>
      <c r="E1932" t="s">
        <v>16</v>
      </c>
      <c r="F1932" t="s">
        <v>47</v>
      </c>
      <c r="G1932" s="14">
        <v>270000</v>
      </c>
      <c r="H1932" s="14">
        <v>106730</v>
      </c>
      <c r="I1932" t="s">
        <v>22</v>
      </c>
      <c r="J1932" t="s">
        <v>22</v>
      </c>
      <c r="K1932" t="s">
        <v>2908</v>
      </c>
      <c r="L1932" t="s">
        <v>1945</v>
      </c>
      <c r="M1932" t="s">
        <v>28</v>
      </c>
      <c r="N1932">
        <v>2</v>
      </c>
      <c r="O1932" t="s">
        <v>50</v>
      </c>
      <c r="P1932" t="s">
        <v>36</v>
      </c>
      <c r="Q1932" t="s">
        <v>30</v>
      </c>
      <c r="R1932" t="str">
        <f>VLOOKUP($O1932,'Mapa Oficinas'!$A$7:$C$46,2,FALSE)</f>
        <v>CABA</v>
      </c>
      <c r="S1932" t="str">
        <f>VLOOKUP($O1932,'Mapa Oficinas'!$A$7:$C$46,3,FALSE)</f>
        <v>Villa Urquiza</v>
      </c>
    </row>
    <row r="1933" spans="1:19" x14ac:dyDescent="0.2">
      <c r="A1933" s="1">
        <v>45989</v>
      </c>
      <c r="B1933" t="s">
        <v>2935</v>
      </c>
      <c r="D1933" t="s">
        <v>2936</v>
      </c>
      <c r="E1933" t="s">
        <v>16</v>
      </c>
      <c r="F1933" t="s">
        <v>17</v>
      </c>
      <c r="G1933" s="14">
        <v>130000</v>
      </c>
      <c r="H1933" s="14">
        <v>122000</v>
      </c>
      <c r="I1933" t="s">
        <v>22</v>
      </c>
      <c r="J1933" t="s">
        <v>22</v>
      </c>
      <c r="K1933" t="s">
        <v>2937</v>
      </c>
      <c r="L1933" t="s">
        <v>318</v>
      </c>
      <c r="M1933" t="s">
        <v>19</v>
      </c>
      <c r="N1933">
        <v>2</v>
      </c>
      <c r="O1933" t="s">
        <v>73</v>
      </c>
      <c r="P1933" t="s">
        <v>276</v>
      </c>
      <c r="Q1933" t="s">
        <v>30</v>
      </c>
      <c r="R1933" t="str">
        <f>VLOOKUP($O1933,'Mapa Oficinas'!$A$7:$C$46,2,FALSE)</f>
        <v>CABA</v>
      </c>
      <c r="S1933" t="str">
        <f>VLOOKUP($O1933,'Mapa Oficinas'!$A$7:$C$46,3,FALSE)</f>
        <v>Recoleta</v>
      </c>
    </row>
    <row r="1934" spans="1:19" x14ac:dyDescent="0.2">
      <c r="A1934" s="1">
        <v>45989</v>
      </c>
      <c r="B1934" t="s">
        <v>2909</v>
      </c>
      <c r="D1934" t="s">
        <v>2910</v>
      </c>
      <c r="E1934" t="s">
        <v>16</v>
      </c>
      <c r="F1934" t="s">
        <v>17</v>
      </c>
      <c r="G1934" s="14">
        <v>139000</v>
      </c>
      <c r="H1934" s="14">
        <v>125000</v>
      </c>
      <c r="I1934" t="s">
        <v>22</v>
      </c>
      <c r="J1934" t="s">
        <v>22</v>
      </c>
      <c r="K1934" t="s">
        <v>2911</v>
      </c>
      <c r="L1934" t="s">
        <v>1004</v>
      </c>
      <c r="M1934" t="s">
        <v>19</v>
      </c>
      <c r="N1934">
        <v>2</v>
      </c>
      <c r="O1934" t="s">
        <v>20</v>
      </c>
      <c r="P1934" t="s">
        <v>21</v>
      </c>
      <c r="Q1934" t="s">
        <v>30</v>
      </c>
      <c r="R1934" t="str">
        <f>VLOOKUP($O1934,'Mapa Oficinas'!$A$7:$C$46,2,FALSE)</f>
        <v>CABA</v>
      </c>
      <c r="S1934" t="str">
        <f>VLOOKUP($O1934,'Mapa Oficinas'!$A$7:$C$46,3,FALSE)</f>
        <v>Palermo</v>
      </c>
    </row>
    <row r="1935" spans="1:19" x14ac:dyDescent="0.2">
      <c r="A1935" s="1">
        <v>45989</v>
      </c>
      <c r="B1935" t="s">
        <v>2915</v>
      </c>
      <c r="D1935" t="s">
        <v>2916</v>
      </c>
      <c r="E1935" t="s">
        <v>16</v>
      </c>
      <c r="F1935" t="s">
        <v>17</v>
      </c>
      <c r="G1935" s="14">
        <v>149900</v>
      </c>
      <c r="H1935" s="14">
        <v>126000</v>
      </c>
      <c r="I1935" t="s">
        <v>22</v>
      </c>
      <c r="J1935" t="s">
        <v>22</v>
      </c>
      <c r="K1935" t="s">
        <v>2917</v>
      </c>
      <c r="L1935" t="s">
        <v>111</v>
      </c>
      <c r="M1935" t="s">
        <v>72</v>
      </c>
      <c r="N1935">
        <v>2</v>
      </c>
      <c r="O1935" t="s">
        <v>252</v>
      </c>
      <c r="P1935" t="s">
        <v>21</v>
      </c>
      <c r="Q1935" t="s">
        <v>30</v>
      </c>
      <c r="R1935" t="str">
        <f>VLOOKUP($O1935,'Mapa Oficinas'!$A$7:$C$46,2,FALSE)</f>
        <v>CABA</v>
      </c>
      <c r="S1935" t="str">
        <f>VLOOKUP($O1935,'Mapa Oficinas'!$A$7:$C$46,3,FALSE)</f>
        <v>Belgrano</v>
      </c>
    </row>
    <row r="1936" spans="1:19" x14ac:dyDescent="0.2">
      <c r="A1936" s="1">
        <v>45989</v>
      </c>
      <c r="B1936" t="s">
        <v>2923</v>
      </c>
      <c r="D1936" t="s">
        <v>2924</v>
      </c>
      <c r="E1936" t="s">
        <v>16</v>
      </c>
      <c r="F1936" t="s">
        <v>896</v>
      </c>
      <c r="G1936" s="14">
        <v>150000</v>
      </c>
      <c r="H1936" s="14">
        <v>145000</v>
      </c>
      <c r="I1936" t="s">
        <v>22</v>
      </c>
      <c r="J1936" t="s">
        <v>22</v>
      </c>
      <c r="K1936" t="s">
        <v>2925</v>
      </c>
      <c r="L1936" t="s">
        <v>442</v>
      </c>
      <c r="M1936" t="s">
        <v>19</v>
      </c>
      <c r="N1936">
        <v>2</v>
      </c>
      <c r="O1936" t="s">
        <v>98</v>
      </c>
      <c r="P1936" t="s">
        <v>41</v>
      </c>
      <c r="Q1936" t="s">
        <v>30</v>
      </c>
      <c r="R1936" t="str">
        <f>VLOOKUP($O1936,'Mapa Oficinas'!$A$7:$C$46,2,FALSE)</f>
        <v>Interior - Neuquén</v>
      </c>
      <c r="S1936" t="str">
        <f>VLOOKUP($O1936,'Mapa Oficinas'!$A$7:$C$46,3,FALSE)</f>
        <v>Villa La Angostura</v>
      </c>
    </row>
    <row r="1937" spans="1:19" x14ac:dyDescent="0.2">
      <c r="A1937" s="1">
        <v>45989</v>
      </c>
      <c r="B1937" t="s">
        <v>2926</v>
      </c>
      <c r="D1937" t="s">
        <v>2927</v>
      </c>
      <c r="E1937" t="s">
        <v>16</v>
      </c>
      <c r="F1937" t="s">
        <v>17</v>
      </c>
      <c r="G1937" s="14">
        <v>246000</v>
      </c>
      <c r="H1937" s="14">
        <v>230000</v>
      </c>
      <c r="I1937" t="s">
        <v>22</v>
      </c>
      <c r="J1937" t="s">
        <v>22</v>
      </c>
      <c r="K1937" t="s">
        <v>2928</v>
      </c>
      <c r="L1937" t="s">
        <v>700</v>
      </c>
      <c r="M1937" t="s">
        <v>19</v>
      </c>
      <c r="N1937">
        <v>2</v>
      </c>
      <c r="O1937" t="s">
        <v>103</v>
      </c>
      <c r="P1937" t="s">
        <v>21</v>
      </c>
      <c r="Q1937" t="s">
        <v>30</v>
      </c>
      <c r="R1937" t="str">
        <f>VLOOKUP($O1937,'Mapa Oficinas'!$A$7:$C$46,2,FALSE)</f>
        <v>CABA</v>
      </c>
      <c r="S1937" t="str">
        <f>VLOOKUP($O1937,'Mapa Oficinas'!$A$7:$C$46,3,FALSE)</f>
        <v>Barrio Parque</v>
      </c>
    </row>
    <row r="1938" spans="1:19" x14ac:dyDescent="0.2">
      <c r="A1938" s="1">
        <v>45990</v>
      </c>
      <c r="B1938" t="s">
        <v>2902</v>
      </c>
      <c r="D1938" t="s">
        <v>2903</v>
      </c>
      <c r="E1938" t="s">
        <v>16</v>
      </c>
      <c r="F1938" t="s">
        <v>17</v>
      </c>
      <c r="G1938" s="14">
        <v>195000</v>
      </c>
      <c r="H1938" s="14">
        <v>195000</v>
      </c>
      <c r="I1938" t="s">
        <v>22</v>
      </c>
      <c r="J1938" t="s">
        <v>22</v>
      </c>
      <c r="K1938" t="s">
        <v>2904</v>
      </c>
      <c r="L1938" t="s">
        <v>191</v>
      </c>
      <c r="M1938" t="s">
        <v>19</v>
      </c>
      <c r="N1938">
        <v>2</v>
      </c>
      <c r="O1938" t="s">
        <v>359</v>
      </c>
      <c r="P1938" t="s">
        <v>21</v>
      </c>
      <c r="Q1938" t="s">
        <v>30</v>
      </c>
      <c r="R1938" t="str">
        <f>VLOOKUP($O1938,'Mapa Oficinas'!$A$7:$C$46,2,FALSE)</f>
        <v>CABA</v>
      </c>
      <c r="S1938" t="str">
        <f>VLOOKUP($O1938,'Mapa Oficinas'!$A$7:$C$46,3,FALSE)</f>
        <v>Palermo</v>
      </c>
    </row>
    <row r="1939" spans="1:19" x14ac:dyDescent="0.2">
      <c r="A1939" s="1">
        <v>45991</v>
      </c>
      <c r="B1939" t="s">
        <v>2897</v>
      </c>
      <c r="D1939" t="s">
        <v>2898</v>
      </c>
      <c r="E1939" t="s">
        <v>16</v>
      </c>
      <c r="F1939" t="s">
        <v>17</v>
      </c>
      <c r="G1939" s="14">
        <v>60000</v>
      </c>
      <c r="H1939" s="14">
        <v>58445</v>
      </c>
      <c r="I1939" t="s">
        <v>22</v>
      </c>
      <c r="J1939" t="s">
        <v>22</v>
      </c>
      <c r="K1939" t="s">
        <v>2899</v>
      </c>
      <c r="L1939" t="s">
        <v>2900</v>
      </c>
      <c r="M1939" t="s">
        <v>97</v>
      </c>
      <c r="N1939">
        <v>2</v>
      </c>
      <c r="O1939" t="s">
        <v>87</v>
      </c>
      <c r="P1939" t="s">
        <v>21</v>
      </c>
      <c r="Q1939" t="s">
        <v>30</v>
      </c>
      <c r="R1939" t="str">
        <f>VLOOKUP($O1939,'Mapa Oficinas'!$A$7:$C$46,2,FALSE)</f>
        <v>Zona Norte (GBA)</v>
      </c>
      <c r="S1939" t="str">
        <f>VLOOKUP($O1939,'Mapa Oficinas'!$A$7:$C$46,3,FALSE)</f>
        <v>Tigre</v>
      </c>
    </row>
    <row r="1940" spans="1:19" x14ac:dyDescent="0.2">
      <c r="A1940" s="1">
        <v>45991</v>
      </c>
      <c r="B1940" t="s">
        <v>2893</v>
      </c>
      <c r="D1940" t="s">
        <v>2894</v>
      </c>
      <c r="E1940" t="s">
        <v>16</v>
      </c>
      <c r="F1940" t="s">
        <v>17</v>
      </c>
      <c r="G1940" s="14">
        <v>106730</v>
      </c>
      <c r="H1940" s="14">
        <v>106730</v>
      </c>
      <c r="I1940" t="s">
        <v>22</v>
      </c>
      <c r="J1940" t="s">
        <v>22</v>
      </c>
      <c r="K1940" t="s">
        <v>2895</v>
      </c>
      <c r="L1940" t="s">
        <v>2896</v>
      </c>
      <c r="M1940" t="s">
        <v>19</v>
      </c>
      <c r="N1940">
        <v>1</v>
      </c>
      <c r="O1940" t="s">
        <v>142</v>
      </c>
      <c r="P1940" t="s">
        <v>146</v>
      </c>
      <c r="Q1940" t="s">
        <v>30</v>
      </c>
      <c r="R1940" t="str">
        <f>VLOOKUP($O1940,'Mapa Oficinas'!$A$7:$C$46,2,FALSE)</f>
        <v>Zona Norte (GBA)</v>
      </c>
      <c r="S1940" t="str">
        <f>VLOOKUP($O1940,'Mapa Oficinas'!$A$7:$C$46,3,FALSE)</f>
        <v>Nordelta</v>
      </c>
    </row>
    <row r="1941" spans="1:19" x14ac:dyDescent="0.2">
      <c r="A1941" s="1">
        <v>45991</v>
      </c>
      <c r="B1941" t="s">
        <v>2890</v>
      </c>
      <c r="D1941" t="s">
        <v>2891</v>
      </c>
      <c r="E1941" t="s">
        <v>16</v>
      </c>
      <c r="F1941" t="s">
        <v>17</v>
      </c>
      <c r="G1941" s="14">
        <v>105700</v>
      </c>
      <c r="H1941" s="14">
        <v>116800</v>
      </c>
      <c r="I1941" t="s">
        <v>22</v>
      </c>
      <c r="J1941" t="s">
        <v>22</v>
      </c>
      <c r="K1941" t="s">
        <v>2892</v>
      </c>
      <c r="L1941" t="s">
        <v>470</v>
      </c>
      <c r="M1941" t="s">
        <v>19</v>
      </c>
      <c r="N1941">
        <v>2</v>
      </c>
      <c r="O1941" t="s">
        <v>142</v>
      </c>
      <c r="P1941" t="s">
        <v>41</v>
      </c>
      <c r="Q1941" t="s">
        <v>30</v>
      </c>
      <c r="R1941" t="str">
        <f>VLOOKUP($O1941,'Mapa Oficinas'!$A$7:$C$46,2,FALSE)</f>
        <v>Zona Norte (GBA)</v>
      </c>
      <c r="S1941" t="str">
        <f>VLOOKUP($O1941,'Mapa Oficinas'!$A$7:$C$46,3,FALSE)</f>
        <v>Nordelta</v>
      </c>
    </row>
    <row r="1942" spans="1:19" x14ac:dyDescent="0.2">
      <c r="A1942" s="1">
        <v>45992</v>
      </c>
      <c r="B1942" t="s">
        <v>2875</v>
      </c>
      <c r="D1942" t="s">
        <v>2876</v>
      </c>
      <c r="E1942" t="s">
        <v>16</v>
      </c>
      <c r="F1942" t="s">
        <v>17</v>
      </c>
      <c r="G1942" s="14">
        <v>40000</v>
      </c>
      <c r="H1942" s="14">
        <v>37000</v>
      </c>
      <c r="I1942" t="s">
        <v>22</v>
      </c>
      <c r="J1942" t="s">
        <v>22</v>
      </c>
      <c r="K1942" t="s">
        <v>2877</v>
      </c>
      <c r="L1942" t="s">
        <v>298</v>
      </c>
      <c r="M1942" t="s">
        <v>19</v>
      </c>
      <c r="N1942">
        <v>2</v>
      </c>
      <c r="O1942" t="s">
        <v>261</v>
      </c>
      <c r="P1942" t="s">
        <v>276</v>
      </c>
      <c r="Q1942" t="s">
        <v>30</v>
      </c>
      <c r="R1942" t="str">
        <f>VLOOKUP($O1942,'Mapa Oficinas'!$A$7:$C$46,2,FALSE)</f>
        <v>CABA</v>
      </c>
      <c r="S1942" t="str">
        <f>VLOOKUP($O1942,'Mapa Oficinas'!$A$7:$C$46,3,FALSE)</f>
        <v>Núñez</v>
      </c>
    </row>
    <row r="1943" spans="1:19" x14ac:dyDescent="0.2">
      <c r="A1943" s="1">
        <v>45992</v>
      </c>
      <c r="B1943" t="s">
        <v>2706</v>
      </c>
      <c r="D1943" t="s">
        <v>2707</v>
      </c>
      <c r="E1943" t="s">
        <v>16</v>
      </c>
      <c r="F1943" t="s">
        <v>17</v>
      </c>
      <c r="G1943" s="14">
        <v>47000</v>
      </c>
      <c r="H1943" s="14">
        <v>44000</v>
      </c>
      <c r="I1943" t="s">
        <v>22</v>
      </c>
      <c r="J1943" t="s">
        <v>22</v>
      </c>
      <c r="K1943" t="s">
        <v>2708</v>
      </c>
      <c r="L1943" t="s">
        <v>593</v>
      </c>
      <c r="M1943" t="s">
        <v>19</v>
      </c>
      <c r="N1943">
        <v>2</v>
      </c>
      <c r="O1943" t="s">
        <v>65</v>
      </c>
      <c r="P1943" t="s">
        <v>21</v>
      </c>
      <c r="Q1943" t="s">
        <v>30</v>
      </c>
      <c r="R1943" t="str">
        <f>VLOOKUP($O1943,'Mapa Oficinas'!$A$7:$C$46,2,FALSE)</f>
        <v>Interior - Mendoza</v>
      </c>
      <c r="S1943" t="str">
        <f>VLOOKUP($O1943,'Mapa Oficinas'!$A$7:$C$46,3,FALSE)</f>
        <v>Capital Mendoza</v>
      </c>
    </row>
    <row r="1944" spans="1:19" x14ac:dyDescent="0.2">
      <c r="A1944" s="1">
        <v>45992</v>
      </c>
      <c r="B1944" t="s">
        <v>2783</v>
      </c>
      <c r="D1944" t="s">
        <v>2784</v>
      </c>
      <c r="E1944" t="s">
        <v>16</v>
      </c>
      <c r="F1944" t="s">
        <v>17</v>
      </c>
      <c r="G1944" s="14">
        <v>49500</v>
      </c>
      <c r="H1944" s="14">
        <v>46500</v>
      </c>
      <c r="I1944" t="s">
        <v>22</v>
      </c>
      <c r="J1944" t="s">
        <v>22</v>
      </c>
      <c r="K1944" t="s">
        <v>2785</v>
      </c>
      <c r="L1944" t="s">
        <v>2482</v>
      </c>
      <c r="M1944" t="s">
        <v>19</v>
      </c>
      <c r="N1944">
        <v>1</v>
      </c>
      <c r="O1944" t="s">
        <v>65</v>
      </c>
      <c r="P1944" t="s">
        <v>66</v>
      </c>
      <c r="Q1944" t="s">
        <v>30</v>
      </c>
      <c r="R1944" t="str">
        <f>VLOOKUP($O1944,'Mapa Oficinas'!$A$7:$C$46,2,FALSE)</f>
        <v>Interior - Mendoza</v>
      </c>
      <c r="S1944" t="str">
        <f>VLOOKUP($O1944,'Mapa Oficinas'!$A$7:$C$46,3,FALSE)</f>
        <v>Capital Mendoza</v>
      </c>
    </row>
    <row r="1945" spans="1:19" x14ac:dyDescent="0.2">
      <c r="A1945" s="1">
        <v>45992</v>
      </c>
      <c r="B1945" t="s">
        <v>2861</v>
      </c>
      <c r="D1945" t="s">
        <v>2862</v>
      </c>
      <c r="E1945" t="s">
        <v>16</v>
      </c>
      <c r="F1945" t="s">
        <v>17</v>
      </c>
      <c r="G1945" s="14">
        <v>48000</v>
      </c>
      <c r="H1945" s="14">
        <v>46600</v>
      </c>
      <c r="I1945" t="s">
        <v>22</v>
      </c>
      <c r="J1945" t="s">
        <v>22</v>
      </c>
      <c r="K1945" t="s">
        <v>2863</v>
      </c>
      <c r="L1945" t="s">
        <v>2864</v>
      </c>
      <c r="M1945" t="s">
        <v>19</v>
      </c>
      <c r="N1945">
        <v>1</v>
      </c>
      <c r="O1945" t="s">
        <v>65</v>
      </c>
      <c r="P1945" t="s">
        <v>66</v>
      </c>
      <c r="Q1945" t="s">
        <v>30</v>
      </c>
      <c r="R1945" t="str">
        <f>VLOOKUP($O1945,'Mapa Oficinas'!$A$7:$C$46,2,FALSE)</f>
        <v>Interior - Mendoza</v>
      </c>
      <c r="S1945" t="str">
        <f>VLOOKUP($O1945,'Mapa Oficinas'!$A$7:$C$46,3,FALSE)</f>
        <v>Capital Mendoza</v>
      </c>
    </row>
    <row r="1946" spans="1:19" x14ac:dyDescent="0.2">
      <c r="A1946" s="1">
        <v>45992</v>
      </c>
      <c r="B1946" t="s">
        <v>2834</v>
      </c>
      <c r="D1946" t="s">
        <v>2835</v>
      </c>
      <c r="E1946" t="s">
        <v>16</v>
      </c>
      <c r="F1946" t="s">
        <v>17</v>
      </c>
      <c r="G1946" s="14">
        <v>50000</v>
      </c>
      <c r="H1946" s="14">
        <v>47500</v>
      </c>
      <c r="I1946" t="s">
        <v>22</v>
      </c>
      <c r="J1946" t="s">
        <v>22</v>
      </c>
      <c r="K1946" t="s">
        <v>2836</v>
      </c>
      <c r="L1946" t="s">
        <v>2815</v>
      </c>
      <c r="M1946" t="s">
        <v>19</v>
      </c>
      <c r="N1946">
        <v>2</v>
      </c>
      <c r="O1946" t="s">
        <v>65</v>
      </c>
      <c r="P1946" t="s">
        <v>21</v>
      </c>
      <c r="Q1946" t="s">
        <v>30</v>
      </c>
      <c r="R1946" t="str">
        <f>VLOOKUP($O1946,'Mapa Oficinas'!$A$7:$C$46,2,FALSE)</f>
        <v>Interior - Mendoza</v>
      </c>
      <c r="S1946" t="str">
        <f>VLOOKUP($O1946,'Mapa Oficinas'!$A$7:$C$46,3,FALSE)</f>
        <v>Capital Mendoza</v>
      </c>
    </row>
    <row r="1947" spans="1:19" x14ac:dyDescent="0.2">
      <c r="A1947" s="1">
        <v>45992</v>
      </c>
      <c r="B1947" t="s">
        <v>2819</v>
      </c>
      <c r="D1947" t="s">
        <v>2820</v>
      </c>
      <c r="E1947" t="s">
        <v>16</v>
      </c>
      <c r="F1947" t="s">
        <v>17</v>
      </c>
      <c r="G1947" s="14">
        <v>50000</v>
      </c>
      <c r="H1947" s="14">
        <v>48000</v>
      </c>
      <c r="I1947" t="s">
        <v>22</v>
      </c>
      <c r="J1947" t="s">
        <v>22</v>
      </c>
      <c r="K1947" t="s">
        <v>2821</v>
      </c>
      <c r="L1947" t="s">
        <v>1713</v>
      </c>
      <c r="M1947" t="s">
        <v>19</v>
      </c>
      <c r="N1947">
        <v>1</v>
      </c>
      <c r="O1947" t="s">
        <v>65</v>
      </c>
      <c r="P1947" t="s">
        <v>66</v>
      </c>
      <c r="Q1947" t="s">
        <v>30</v>
      </c>
      <c r="R1947" t="str">
        <f>VLOOKUP($O1947,'Mapa Oficinas'!$A$7:$C$46,2,FALSE)</f>
        <v>Interior - Mendoza</v>
      </c>
      <c r="S1947" t="str">
        <f>VLOOKUP($O1947,'Mapa Oficinas'!$A$7:$C$46,3,FALSE)</f>
        <v>Capital Mendoza</v>
      </c>
    </row>
    <row r="1948" spans="1:19" x14ac:dyDescent="0.2">
      <c r="A1948" s="1">
        <v>45992</v>
      </c>
      <c r="B1948" t="s">
        <v>2774</v>
      </c>
      <c r="D1948" t="s">
        <v>2775</v>
      </c>
      <c r="E1948" t="s">
        <v>16</v>
      </c>
      <c r="F1948" t="s">
        <v>17</v>
      </c>
      <c r="G1948" s="14">
        <v>55000</v>
      </c>
      <c r="H1948" s="14">
        <v>48000</v>
      </c>
      <c r="I1948" t="s">
        <v>22</v>
      </c>
      <c r="J1948" t="s">
        <v>22</v>
      </c>
      <c r="K1948" t="s">
        <v>2776</v>
      </c>
      <c r="L1948" t="s">
        <v>593</v>
      </c>
      <c r="M1948" t="s">
        <v>19</v>
      </c>
      <c r="N1948">
        <v>2</v>
      </c>
      <c r="O1948" t="s">
        <v>65</v>
      </c>
      <c r="P1948" t="s">
        <v>21</v>
      </c>
      <c r="Q1948" t="s">
        <v>30</v>
      </c>
      <c r="R1948" t="str">
        <f>VLOOKUP($O1948,'Mapa Oficinas'!$A$7:$C$46,2,FALSE)</f>
        <v>Interior - Mendoza</v>
      </c>
      <c r="S1948" t="str">
        <f>VLOOKUP($O1948,'Mapa Oficinas'!$A$7:$C$46,3,FALSE)</f>
        <v>Capital Mendoza</v>
      </c>
    </row>
    <row r="1949" spans="1:19" x14ac:dyDescent="0.2">
      <c r="A1949" s="1">
        <v>45992</v>
      </c>
      <c r="B1949" t="s">
        <v>2743</v>
      </c>
      <c r="D1949" t="s">
        <v>2744</v>
      </c>
      <c r="E1949" t="s">
        <v>16</v>
      </c>
      <c r="F1949" t="s">
        <v>17</v>
      </c>
      <c r="G1949" s="14">
        <v>48000</v>
      </c>
      <c r="H1949" s="14">
        <v>48000</v>
      </c>
      <c r="I1949" t="s">
        <v>22</v>
      </c>
      <c r="J1949" t="s">
        <v>22</v>
      </c>
      <c r="K1949" t="s">
        <v>2745</v>
      </c>
      <c r="L1949" t="s">
        <v>2746</v>
      </c>
      <c r="M1949" t="s">
        <v>28</v>
      </c>
      <c r="N1949">
        <v>2</v>
      </c>
      <c r="O1949" t="s">
        <v>65</v>
      </c>
      <c r="P1949" t="s">
        <v>21</v>
      </c>
      <c r="Q1949" t="s">
        <v>30</v>
      </c>
      <c r="R1949" t="str">
        <f>VLOOKUP($O1949,'Mapa Oficinas'!$A$7:$C$46,2,FALSE)</f>
        <v>Interior - Mendoza</v>
      </c>
      <c r="S1949" t="str">
        <f>VLOOKUP($O1949,'Mapa Oficinas'!$A$7:$C$46,3,FALSE)</f>
        <v>Capital Mendoza</v>
      </c>
    </row>
    <row r="1950" spans="1:19" x14ac:dyDescent="0.2">
      <c r="A1950" s="1">
        <v>45992</v>
      </c>
      <c r="B1950" t="s">
        <v>2791</v>
      </c>
      <c r="D1950" t="s">
        <v>2792</v>
      </c>
      <c r="E1950" t="s">
        <v>16</v>
      </c>
      <c r="F1950" t="s">
        <v>82</v>
      </c>
      <c r="G1950" s="14">
        <v>48000</v>
      </c>
      <c r="H1950" s="14">
        <v>48000</v>
      </c>
      <c r="I1950" t="s">
        <v>22</v>
      </c>
      <c r="J1950" t="s">
        <v>22</v>
      </c>
      <c r="K1950" t="s">
        <v>2793</v>
      </c>
      <c r="L1950" t="s">
        <v>1877</v>
      </c>
      <c r="M1950" t="s">
        <v>13</v>
      </c>
      <c r="N1950">
        <v>2</v>
      </c>
      <c r="O1950" t="s">
        <v>65</v>
      </c>
      <c r="P1950" t="s">
        <v>41</v>
      </c>
      <c r="Q1950" t="s">
        <v>30</v>
      </c>
      <c r="R1950" t="str">
        <f>VLOOKUP($O1950,'Mapa Oficinas'!$A$7:$C$46,2,FALSE)</f>
        <v>Interior - Mendoza</v>
      </c>
      <c r="S1950" t="str">
        <f>VLOOKUP($O1950,'Mapa Oficinas'!$A$7:$C$46,3,FALSE)</f>
        <v>Capital Mendoza</v>
      </c>
    </row>
    <row r="1951" spans="1:19" x14ac:dyDescent="0.2">
      <c r="A1951" s="1">
        <v>45992</v>
      </c>
      <c r="B1951" t="s">
        <v>2777</v>
      </c>
      <c r="D1951" t="s">
        <v>2778</v>
      </c>
      <c r="E1951" t="s">
        <v>16</v>
      </c>
      <c r="F1951" t="s">
        <v>17</v>
      </c>
      <c r="G1951" s="14">
        <v>56000</v>
      </c>
      <c r="H1951" s="14">
        <v>51000</v>
      </c>
      <c r="I1951" t="s">
        <v>22</v>
      </c>
      <c r="J1951" t="s">
        <v>22</v>
      </c>
      <c r="K1951" t="s">
        <v>2779</v>
      </c>
      <c r="L1951" t="s">
        <v>2719</v>
      </c>
      <c r="M1951" t="s">
        <v>28</v>
      </c>
      <c r="N1951">
        <v>2</v>
      </c>
      <c r="O1951" t="s">
        <v>65</v>
      </c>
      <c r="P1951" t="s">
        <v>21</v>
      </c>
      <c r="Q1951" t="s">
        <v>30</v>
      </c>
      <c r="R1951" t="str">
        <f>VLOOKUP($O1951,'Mapa Oficinas'!$A$7:$C$46,2,FALSE)</f>
        <v>Interior - Mendoza</v>
      </c>
      <c r="S1951" t="str">
        <f>VLOOKUP($O1951,'Mapa Oficinas'!$A$7:$C$46,3,FALSE)</f>
        <v>Capital Mendoza</v>
      </c>
    </row>
    <row r="1952" spans="1:19" x14ac:dyDescent="0.2">
      <c r="A1952" s="1">
        <v>45992</v>
      </c>
      <c r="B1952" t="s">
        <v>2698</v>
      </c>
      <c r="D1952" t="s">
        <v>2699</v>
      </c>
      <c r="E1952" t="s">
        <v>16</v>
      </c>
      <c r="F1952" t="s">
        <v>17</v>
      </c>
      <c r="G1952" s="14">
        <v>52000</v>
      </c>
      <c r="H1952" s="14">
        <v>51500</v>
      </c>
      <c r="I1952" t="s">
        <v>22</v>
      </c>
      <c r="J1952" t="s">
        <v>22</v>
      </c>
      <c r="K1952" t="s">
        <v>2700</v>
      </c>
      <c r="L1952" t="s">
        <v>2701</v>
      </c>
      <c r="M1952" t="s">
        <v>28</v>
      </c>
      <c r="N1952">
        <v>2</v>
      </c>
      <c r="O1952" t="s">
        <v>171</v>
      </c>
      <c r="P1952" t="s">
        <v>41</v>
      </c>
      <c r="Q1952" t="s">
        <v>30</v>
      </c>
      <c r="R1952" t="str">
        <f>VLOOKUP($O1952,'Mapa Oficinas'!$A$7:$C$46,2,FALSE)</f>
        <v>Zona Sur (GBA)</v>
      </c>
      <c r="S1952" t="str">
        <f>VLOOKUP($O1952,'Mapa Oficinas'!$A$7:$C$46,3,FALSE)</f>
        <v>La Plata</v>
      </c>
    </row>
    <row r="1953" spans="1:19" x14ac:dyDescent="0.2">
      <c r="A1953" s="1">
        <v>45992</v>
      </c>
      <c r="B1953" t="s">
        <v>2739</v>
      </c>
      <c r="D1953" t="s">
        <v>2740</v>
      </c>
      <c r="E1953" t="s">
        <v>16</v>
      </c>
      <c r="F1953" t="s">
        <v>17</v>
      </c>
      <c r="G1953" s="14">
        <v>52000</v>
      </c>
      <c r="H1953" s="14">
        <v>52500</v>
      </c>
      <c r="I1953" t="s">
        <v>22</v>
      </c>
      <c r="J1953" t="s">
        <v>22</v>
      </c>
      <c r="K1953" t="s">
        <v>2741</v>
      </c>
      <c r="L1953" t="s">
        <v>2742</v>
      </c>
      <c r="M1953" t="s">
        <v>19</v>
      </c>
      <c r="N1953">
        <v>2</v>
      </c>
      <c r="O1953" t="s">
        <v>65</v>
      </c>
      <c r="P1953" t="s">
        <v>21</v>
      </c>
      <c r="Q1953" t="s">
        <v>30</v>
      </c>
      <c r="R1953" t="str">
        <f>VLOOKUP($O1953,'Mapa Oficinas'!$A$7:$C$46,2,FALSE)</f>
        <v>Interior - Mendoza</v>
      </c>
      <c r="S1953" t="str">
        <f>VLOOKUP($O1953,'Mapa Oficinas'!$A$7:$C$46,3,FALSE)</f>
        <v>Capital Mendoza</v>
      </c>
    </row>
    <row r="1954" spans="1:19" x14ac:dyDescent="0.2">
      <c r="A1954" s="1">
        <v>45992</v>
      </c>
      <c r="B1954" t="s">
        <v>2802</v>
      </c>
      <c r="D1954" t="s">
        <v>2803</v>
      </c>
      <c r="E1954" t="s">
        <v>16</v>
      </c>
      <c r="F1954" t="s">
        <v>17</v>
      </c>
      <c r="G1954" s="14">
        <v>65000</v>
      </c>
      <c r="H1954" s="14">
        <v>54500</v>
      </c>
      <c r="I1954" t="s">
        <v>22</v>
      </c>
      <c r="J1954" t="s">
        <v>22</v>
      </c>
      <c r="K1954" t="s">
        <v>2803</v>
      </c>
      <c r="L1954" t="s">
        <v>2072</v>
      </c>
      <c r="M1954" t="s">
        <v>19</v>
      </c>
      <c r="N1954">
        <v>2</v>
      </c>
      <c r="O1954" t="s">
        <v>65</v>
      </c>
      <c r="P1954" t="s">
        <v>21</v>
      </c>
      <c r="Q1954" t="s">
        <v>30</v>
      </c>
      <c r="R1954" t="str">
        <f>VLOOKUP($O1954,'Mapa Oficinas'!$A$7:$C$46,2,FALSE)</f>
        <v>Interior - Mendoza</v>
      </c>
      <c r="S1954" t="str">
        <f>VLOOKUP($O1954,'Mapa Oficinas'!$A$7:$C$46,3,FALSE)</f>
        <v>Capital Mendoza</v>
      </c>
    </row>
    <row r="1955" spans="1:19" x14ac:dyDescent="0.2">
      <c r="A1955" s="1">
        <v>45992</v>
      </c>
      <c r="B1955" t="s">
        <v>2766</v>
      </c>
      <c r="D1955" t="s">
        <v>2767</v>
      </c>
      <c r="E1955" t="s">
        <v>16</v>
      </c>
      <c r="F1955" t="s">
        <v>17</v>
      </c>
      <c r="G1955" s="14">
        <v>55500</v>
      </c>
      <c r="H1955" s="14">
        <v>55500</v>
      </c>
      <c r="I1955" t="s">
        <v>22</v>
      </c>
      <c r="J1955" t="s">
        <v>22</v>
      </c>
      <c r="L1955" t="s">
        <v>2768</v>
      </c>
      <c r="M1955" t="s">
        <v>19</v>
      </c>
      <c r="N1955">
        <v>1</v>
      </c>
      <c r="O1955" t="s">
        <v>171</v>
      </c>
      <c r="P1955" t="s">
        <v>131</v>
      </c>
      <c r="Q1955" t="s">
        <v>30</v>
      </c>
      <c r="R1955" t="str">
        <f>VLOOKUP($O1955,'Mapa Oficinas'!$A$7:$C$46,2,FALSE)</f>
        <v>Zona Sur (GBA)</v>
      </c>
      <c r="S1955" t="str">
        <f>VLOOKUP($O1955,'Mapa Oficinas'!$A$7:$C$46,3,FALSE)</f>
        <v>La Plata</v>
      </c>
    </row>
    <row r="1956" spans="1:19" x14ac:dyDescent="0.2">
      <c r="A1956" s="1">
        <v>45992</v>
      </c>
      <c r="B1956" t="s">
        <v>2764</v>
      </c>
      <c r="D1956" t="s">
        <v>2765</v>
      </c>
      <c r="E1956" t="s">
        <v>16</v>
      </c>
      <c r="F1956" t="s">
        <v>17</v>
      </c>
      <c r="G1956" s="14">
        <v>59000</v>
      </c>
      <c r="H1956" s="14">
        <v>59000</v>
      </c>
      <c r="I1956" t="s">
        <v>22</v>
      </c>
      <c r="J1956" t="s">
        <v>22</v>
      </c>
      <c r="L1956" t="s">
        <v>170</v>
      </c>
      <c r="M1956" t="s">
        <v>72</v>
      </c>
      <c r="N1956">
        <v>1</v>
      </c>
      <c r="O1956" t="s">
        <v>171</v>
      </c>
      <c r="P1956" t="s">
        <v>66</v>
      </c>
      <c r="Q1956" t="s">
        <v>30</v>
      </c>
      <c r="R1956" t="str">
        <f>VLOOKUP($O1956,'Mapa Oficinas'!$A$7:$C$46,2,FALSE)</f>
        <v>Zona Sur (GBA)</v>
      </c>
      <c r="S1956" t="str">
        <f>VLOOKUP($O1956,'Mapa Oficinas'!$A$7:$C$46,3,FALSE)</f>
        <v>La Plata</v>
      </c>
    </row>
    <row r="1957" spans="1:19" x14ac:dyDescent="0.2">
      <c r="A1957" s="1">
        <v>45992</v>
      </c>
      <c r="B1957" t="s">
        <v>2780</v>
      </c>
      <c r="D1957" t="s">
        <v>2781</v>
      </c>
      <c r="E1957" t="s">
        <v>16</v>
      </c>
      <c r="F1957" t="s">
        <v>17</v>
      </c>
      <c r="G1957" s="14">
        <v>65000</v>
      </c>
      <c r="H1957" s="14">
        <v>60000</v>
      </c>
      <c r="I1957" t="s">
        <v>22</v>
      </c>
      <c r="J1957" t="s">
        <v>22</v>
      </c>
      <c r="K1957" t="s">
        <v>2782</v>
      </c>
      <c r="L1957" t="s">
        <v>419</v>
      </c>
      <c r="M1957" t="s">
        <v>19</v>
      </c>
      <c r="N1957">
        <v>1</v>
      </c>
      <c r="O1957" t="s">
        <v>65</v>
      </c>
      <c r="P1957" t="s">
        <v>66</v>
      </c>
      <c r="Q1957" t="s">
        <v>30</v>
      </c>
      <c r="R1957" t="str">
        <f>VLOOKUP($O1957,'Mapa Oficinas'!$A$7:$C$46,2,FALSE)</f>
        <v>Interior - Mendoza</v>
      </c>
      <c r="S1957" t="str">
        <f>VLOOKUP($O1957,'Mapa Oficinas'!$A$7:$C$46,3,FALSE)</f>
        <v>Capital Mendoza</v>
      </c>
    </row>
    <row r="1958" spans="1:19" x14ac:dyDescent="0.2">
      <c r="A1958" s="1">
        <v>45992</v>
      </c>
      <c r="B1958" t="s">
        <v>2771</v>
      </c>
      <c r="D1958" t="s">
        <v>2772</v>
      </c>
      <c r="E1958" t="s">
        <v>16</v>
      </c>
      <c r="F1958" t="s">
        <v>17</v>
      </c>
      <c r="G1958" s="14">
        <v>60000</v>
      </c>
      <c r="H1958" s="14">
        <v>60000</v>
      </c>
      <c r="I1958" t="s">
        <v>22</v>
      </c>
      <c r="J1958" t="s">
        <v>22</v>
      </c>
      <c r="K1958" t="s">
        <v>2773</v>
      </c>
      <c r="L1958" t="s">
        <v>70</v>
      </c>
      <c r="M1958" t="s">
        <v>19</v>
      </c>
      <c r="N1958">
        <v>2</v>
      </c>
      <c r="O1958" t="s">
        <v>65</v>
      </c>
      <c r="P1958" t="s">
        <v>21</v>
      </c>
      <c r="Q1958" t="s">
        <v>30</v>
      </c>
      <c r="R1958" t="str">
        <f>VLOOKUP($O1958,'Mapa Oficinas'!$A$7:$C$46,2,FALSE)</f>
        <v>Interior - Mendoza</v>
      </c>
      <c r="S1958" t="str">
        <f>VLOOKUP($O1958,'Mapa Oficinas'!$A$7:$C$46,3,FALSE)</f>
        <v>Capital Mendoza</v>
      </c>
    </row>
    <row r="1959" spans="1:19" x14ac:dyDescent="0.2">
      <c r="A1959" s="1">
        <v>45992</v>
      </c>
      <c r="B1959" t="s">
        <v>2804</v>
      </c>
      <c r="D1959" t="s">
        <v>2805</v>
      </c>
      <c r="E1959" t="s">
        <v>16</v>
      </c>
      <c r="F1959" t="s">
        <v>17</v>
      </c>
      <c r="G1959" s="14">
        <v>59500</v>
      </c>
      <c r="H1959" s="14">
        <v>63300</v>
      </c>
      <c r="I1959" t="s">
        <v>22</v>
      </c>
      <c r="J1959" t="s">
        <v>22</v>
      </c>
      <c r="K1959" t="s">
        <v>2805</v>
      </c>
      <c r="L1959" t="s">
        <v>2806</v>
      </c>
      <c r="M1959" t="s">
        <v>19</v>
      </c>
      <c r="N1959">
        <v>2</v>
      </c>
      <c r="O1959" t="s">
        <v>65</v>
      </c>
      <c r="P1959" t="s">
        <v>21</v>
      </c>
      <c r="Q1959" t="s">
        <v>30</v>
      </c>
      <c r="R1959" t="str">
        <f>VLOOKUP($O1959,'Mapa Oficinas'!$A$7:$C$46,2,FALSE)</f>
        <v>Interior - Mendoza</v>
      </c>
      <c r="S1959" t="str">
        <f>VLOOKUP($O1959,'Mapa Oficinas'!$A$7:$C$46,3,FALSE)</f>
        <v>Capital Mendoza</v>
      </c>
    </row>
    <row r="1960" spans="1:19" x14ac:dyDescent="0.2">
      <c r="A1960" s="1">
        <v>45992</v>
      </c>
      <c r="B1960" t="s">
        <v>2850</v>
      </c>
      <c r="D1960" t="s">
        <v>2851</v>
      </c>
      <c r="E1960" t="s">
        <v>16</v>
      </c>
      <c r="F1960" t="s">
        <v>184</v>
      </c>
      <c r="G1960" s="14">
        <v>68000</v>
      </c>
      <c r="H1960" s="14">
        <v>65000</v>
      </c>
      <c r="I1960" t="s">
        <v>22</v>
      </c>
      <c r="J1960" t="s">
        <v>22</v>
      </c>
      <c r="K1960" t="s">
        <v>2852</v>
      </c>
      <c r="L1960" t="s">
        <v>1454</v>
      </c>
      <c r="M1960" t="s">
        <v>97</v>
      </c>
      <c r="N1960">
        <v>1</v>
      </c>
      <c r="O1960" t="s">
        <v>130</v>
      </c>
      <c r="P1960" t="s">
        <v>66</v>
      </c>
      <c r="Q1960" t="s">
        <v>30</v>
      </c>
      <c r="R1960" t="str">
        <f>VLOOKUP($O1960,'Mapa Oficinas'!$A$7:$C$46,2,FALSE)</f>
        <v>Interior - Río Negro</v>
      </c>
      <c r="S1960" t="str">
        <f>VLOOKUP($O1960,'Mapa Oficinas'!$A$7:$C$46,3,FALSE)</f>
        <v>Bariloche</v>
      </c>
    </row>
    <row r="1961" spans="1:19" x14ac:dyDescent="0.2">
      <c r="A1961" s="1">
        <v>45992</v>
      </c>
      <c r="B1961" t="s">
        <v>2716</v>
      </c>
      <c r="D1961" t="s">
        <v>2717</v>
      </c>
      <c r="E1961" t="s">
        <v>16</v>
      </c>
      <c r="F1961" t="s">
        <v>82</v>
      </c>
      <c r="G1961" s="14">
        <v>66000</v>
      </c>
      <c r="H1961" s="14">
        <v>66000</v>
      </c>
      <c r="I1961" t="s">
        <v>22</v>
      </c>
      <c r="J1961" t="s">
        <v>22</v>
      </c>
      <c r="K1961" t="s">
        <v>2718</v>
      </c>
      <c r="L1961" t="s">
        <v>355</v>
      </c>
      <c r="M1961" t="s">
        <v>19</v>
      </c>
      <c r="N1961">
        <v>2</v>
      </c>
      <c r="O1961" t="s">
        <v>65</v>
      </c>
      <c r="P1961" t="s">
        <v>41</v>
      </c>
      <c r="Q1961" t="s">
        <v>30</v>
      </c>
      <c r="R1961" t="str">
        <f>VLOOKUP($O1961,'Mapa Oficinas'!$A$7:$C$46,2,FALSE)</f>
        <v>Interior - Mendoza</v>
      </c>
      <c r="S1961" t="str">
        <f>VLOOKUP($O1961,'Mapa Oficinas'!$A$7:$C$46,3,FALSE)</f>
        <v>Capital Mendoza</v>
      </c>
    </row>
    <row r="1962" spans="1:19" x14ac:dyDescent="0.2">
      <c r="A1962" s="1">
        <v>45992</v>
      </c>
      <c r="B1962" t="s">
        <v>2786</v>
      </c>
      <c r="D1962" t="s">
        <v>2787</v>
      </c>
      <c r="E1962" t="s">
        <v>16</v>
      </c>
      <c r="F1962" t="s">
        <v>17</v>
      </c>
      <c r="G1962" s="14">
        <v>83000</v>
      </c>
      <c r="H1962" s="14">
        <v>70000</v>
      </c>
      <c r="I1962" t="s">
        <v>22</v>
      </c>
      <c r="J1962" t="s">
        <v>22</v>
      </c>
      <c r="K1962" t="s">
        <v>2788</v>
      </c>
      <c r="L1962" t="s">
        <v>2768</v>
      </c>
      <c r="M1962" t="s">
        <v>28</v>
      </c>
      <c r="N1962">
        <v>1</v>
      </c>
      <c r="O1962" t="s">
        <v>171</v>
      </c>
      <c r="P1962" t="s">
        <v>66</v>
      </c>
      <c r="Q1962" t="s">
        <v>30</v>
      </c>
      <c r="R1962" t="str">
        <f>VLOOKUP($O1962,'Mapa Oficinas'!$A$7:$C$46,2,FALSE)</f>
        <v>Zona Sur (GBA)</v>
      </c>
      <c r="S1962" t="str">
        <f>VLOOKUP($O1962,'Mapa Oficinas'!$A$7:$C$46,3,FALSE)</f>
        <v>La Plata</v>
      </c>
    </row>
    <row r="1963" spans="1:19" x14ac:dyDescent="0.2">
      <c r="A1963" s="1">
        <v>45992</v>
      </c>
      <c r="B1963" t="s">
        <v>2831</v>
      </c>
      <c r="D1963" t="s">
        <v>2832</v>
      </c>
      <c r="E1963" t="s">
        <v>16</v>
      </c>
      <c r="F1963" t="s">
        <v>17</v>
      </c>
      <c r="G1963" s="14">
        <v>75000</v>
      </c>
      <c r="H1963" s="14">
        <v>71000</v>
      </c>
      <c r="I1963" t="s">
        <v>22</v>
      </c>
      <c r="J1963" t="s">
        <v>22</v>
      </c>
      <c r="K1963" t="s">
        <v>2833</v>
      </c>
      <c r="L1963" t="s">
        <v>696</v>
      </c>
      <c r="M1963" t="s">
        <v>300</v>
      </c>
      <c r="N1963">
        <v>2</v>
      </c>
      <c r="O1963" t="s">
        <v>65</v>
      </c>
      <c r="P1963" t="s">
        <v>21</v>
      </c>
      <c r="Q1963" t="s">
        <v>30</v>
      </c>
      <c r="R1963" t="str">
        <f>VLOOKUP($O1963,'Mapa Oficinas'!$A$7:$C$46,2,FALSE)</f>
        <v>Interior - Mendoza</v>
      </c>
      <c r="S1963" t="str">
        <f>VLOOKUP($O1963,'Mapa Oficinas'!$A$7:$C$46,3,FALSE)</f>
        <v>Capital Mendoza</v>
      </c>
    </row>
    <row r="1964" spans="1:19" x14ac:dyDescent="0.2">
      <c r="A1964" s="1">
        <v>45992</v>
      </c>
      <c r="B1964" t="s">
        <v>2816</v>
      </c>
      <c r="D1964" t="s">
        <v>2817</v>
      </c>
      <c r="E1964" t="s">
        <v>16</v>
      </c>
      <c r="F1964" t="s">
        <v>17</v>
      </c>
      <c r="G1964" s="14">
        <v>75000</v>
      </c>
      <c r="H1964" s="14">
        <v>73000</v>
      </c>
      <c r="I1964" t="s">
        <v>22</v>
      </c>
      <c r="J1964" t="s">
        <v>22</v>
      </c>
      <c r="K1964" t="s">
        <v>2818</v>
      </c>
      <c r="L1964" t="s">
        <v>1562</v>
      </c>
      <c r="M1964" t="s">
        <v>28</v>
      </c>
      <c r="N1964">
        <v>2</v>
      </c>
      <c r="O1964" t="s">
        <v>65</v>
      </c>
      <c r="P1964" t="s">
        <v>41</v>
      </c>
      <c r="Q1964" t="s">
        <v>30</v>
      </c>
      <c r="R1964" t="str">
        <f>VLOOKUP($O1964,'Mapa Oficinas'!$A$7:$C$46,2,FALSE)</f>
        <v>Interior - Mendoza</v>
      </c>
      <c r="S1964" t="str">
        <f>VLOOKUP($O1964,'Mapa Oficinas'!$A$7:$C$46,3,FALSE)</f>
        <v>Capital Mendoza</v>
      </c>
    </row>
    <row r="1965" spans="1:19" x14ac:dyDescent="0.2">
      <c r="A1965" s="1">
        <v>45992</v>
      </c>
      <c r="B1965" t="s">
        <v>2753</v>
      </c>
      <c r="D1965" t="s">
        <v>2754</v>
      </c>
      <c r="E1965" t="s">
        <v>16</v>
      </c>
      <c r="F1965" t="s">
        <v>17</v>
      </c>
      <c r="G1965" s="14">
        <v>70000</v>
      </c>
      <c r="H1965" s="14">
        <v>75000</v>
      </c>
      <c r="I1965" t="s">
        <v>22</v>
      </c>
      <c r="J1965" t="s">
        <v>22</v>
      </c>
      <c r="K1965" t="s">
        <v>2755</v>
      </c>
      <c r="L1965" t="s">
        <v>2742</v>
      </c>
      <c r="M1965" t="s">
        <v>19</v>
      </c>
      <c r="N1965">
        <v>2</v>
      </c>
      <c r="O1965" t="s">
        <v>65</v>
      </c>
      <c r="P1965" t="s">
        <v>21</v>
      </c>
      <c r="Q1965" t="s">
        <v>30</v>
      </c>
      <c r="R1965" t="str">
        <f>VLOOKUP($O1965,'Mapa Oficinas'!$A$7:$C$46,2,FALSE)</f>
        <v>Interior - Mendoza</v>
      </c>
      <c r="S1965" t="str">
        <f>VLOOKUP($O1965,'Mapa Oficinas'!$A$7:$C$46,3,FALSE)</f>
        <v>Capital Mendoza</v>
      </c>
    </row>
    <row r="1966" spans="1:19" x14ac:dyDescent="0.2">
      <c r="A1966" s="1">
        <v>45992</v>
      </c>
      <c r="B1966" t="s">
        <v>2756</v>
      </c>
      <c r="D1966" t="s">
        <v>2013</v>
      </c>
      <c r="E1966" t="s">
        <v>16</v>
      </c>
      <c r="F1966" t="s">
        <v>17</v>
      </c>
      <c r="G1966" s="14">
        <v>75000</v>
      </c>
      <c r="H1966" s="14">
        <v>75000</v>
      </c>
      <c r="I1966" t="s">
        <v>22</v>
      </c>
      <c r="J1966" t="s">
        <v>22</v>
      </c>
      <c r="K1966" t="s">
        <v>2757</v>
      </c>
      <c r="L1966" t="s">
        <v>64</v>
      </c>
      <c r="M1966" t="s">
        <v>28</v>
      </c>
      <c r="N1966">
        <v>1</v>
      </c>
      <c r="O1966" t="s">
        <v>65</v>
      </c>
      <c r="P1966" t="s">
        <v>66</v>
      </c>
      <c r="Q1966" t="s">
        <v>30</v>
      </c>
      <c r="R1966" t="str">
        <f>VLOOKUP($O1966,'Mapa Oficinas'!$A$7:$C$46,2,FALSE)</f>
        <v>Interior - Mendoza</v>
      </c>
      <c r="S1966" t="str">
        <f>VLOOKUP($O1966,'Mapa Oficinas'!$A$7:$C$46,3,FALSE)</f>
        <v>Capital Mendoza</v>
      </c>
    </row>
    <row r="1967" spans="1:19" x14ac:dyDescent="0.2">
      <c r="A1967" s="1">
        <v>45992</v>
      </c>
      <c r="B1967" t="s">
        <v>2798</v>
      </c>
      <c r="D1967" t="s">
        <v>2798</v>
      </c>
      <c r="E1967" t="s">
        <v>16</v>
      </c>
      <c r="F1967" t="s">
        <v>243</v>
      </c>
      <c r="G1967" s="14">
        <v>0</v>
      </c>
      <c r="H1967" s="14">
        <v>77500</v>
      </c>
      <c r="I1967" t="s">
        <v>22</v>
      </c>
      <c r="J1967" t="s">
        <v>22</v>
      </c>
      <c r="L1967" t="s">
        <v>593</v>
      </c>
      <c r="M1967" t="s">
        <v>19</v>
      </c>
      <c r="N1967">
        <v>1</v>
      </c>
      <c r="O1967" t="s">
        <v>65</v>
      </c>
      <c r="P1967" t="s">
        <v>131</v>
      </c>
      <c r="Q1967" t="s">
        <v>30</v>
      </c>
      <c r="R1967" t="str">
        <f>VLOOKUP($O1967,'Mapa Oficinas'!$A$7:$C$46,2,FALSE)</f>
        <v>Interior - Mendoza</v>
      </c>
      <c r="S1967" t="str">
        <f>VLOOKUP($O1967,'Mapa Oficinas'!$A$7:$C$46,3,FALSE)</f>
        <v>Capital Mendoza</v>
      </c>
    </row>
    <row r="1968" spans="1:19" x14ac:dyDescent="0.2">
      <c r="A1968" s="1">
        <v>45992</v>
      </c>
      <c r="B1968" t="s">
        <v>2827</v>
      </c>
      <c r="D1968" t="s">
        <v>2828</v>
      </c>
      <c r="E1968" t="s">
        <v>16</v>
      </c>
      <c r="F1968" t="s">
        <v>17</v>
      </c>
      <c r="G1968" s="14">
        <v>85000</v>
      </c>
      <c r="H1968" s="14">
        <v>80000</v>
      </c>
      <c r="I1968" t="s">
        <v>22</v>
      </c>
      <c r="J1968" t="s">
        <v>22</v>
      </c>
      <c r="K1968" t="s">
        <v>2829</v>
      </c>
      <c r="L1968" t="s">
        <v>2830</v>
      </c>
      <c r="M1968" t="s">
        <v>19</v>
      </c>
      <c r="N1968">
        <v>2</v>
      </c>
      <c r="O1968" t="s">
        <v>65</v>
      </c>
      <c r="P1968" t="s">
        <v>21</v>
      </c>
      <c r="Q1968" t="s">
        <v>30</v>
      </c>
      <c r="R1968" t="str">
        <f>VLOOKUP($O1968,'Mapa Oficinas'!$A$7:$C$46,2,FALSE)</f>
        <v>Interior - Mendoza</v>
      </c>
      <c r="S1968" t="str">
        <f>VLOOKUP($O1968,'Mapa Oficinas'!$A$7:$C$46,3,FALSE)</f>
        <v>Capital Mendoza</v>
      </c>
    </row>
    <row r="1969" spans="1:19" x14ac:dyDescent="0.2">
      <c r="A1969" s="1">
        <v>45992</v>
      </c>
      <c r="B1969" t="s">
        <v>2730</v>
      </c>
      <c r="D1969" t="s">
        <v>2731</v>
      </c>
      <c r="E1969" t="s">
        <v>16</v>
      </c>
      <c r="F1969" t="s">
        <v>58</v>
      </c>
      <c r="G1969" s="14">
        <v>109900</v>
      </c>
      <c r="H1969" s="14">
        <v>80000</v>
      </c>
      <c r="I1969" t="s">
        <v>22</v>
      </c>
      <c r="J1969" t="s">
        <v>22</v>
      </c>
      <c r="K1969" t="s">
        <v>2732</v>
      </c>
      <c r="L1969" t="s">
        <v>1368</v>
      </c>
      <c r="M1969" t="s">
        <v>72</v>
      </c>
      <c r="N1969">
        <v>2</v>
      </c>
      <c r="O1969" t="s">
        <v>50</v>
      </c>
      <c r="P1969" t="s">
        <v>21</v>
      </c>
      <c r="Q1969" t="s">
        <v>30</v>
      </c>
      <c r="R1969" t="str">
        <f>VLOOKUP($O1969,'Mapa Oficinas'!$A$7:$C$46,2,FALSE)</f>
        <v>CABA</v>
      </c>
      <c r="S1969" t="str">
        <f>VLOOKUP($O1969,'Mapa Oficinas'!$A$7:$C$46,3,FALSE)</f>
        <v>Villa Urquiza</v>
      </c>
    </row>
    <row r="1970" spans="1:19" x14ac:dyDescent="0.2">
      <c r="A1970" s="1">
        <v>45992</v>
      </c>
      <c r="B1970" t="s">
        <v>2727</v>
      </c>
      <c r="D1970" t="s">
        <v>2728</v>
      </c>
      <c r="E1970" t="s">
        <v>16</v>
      </c>
      <c r="F1970" t="s">
        <v>17</v>
      </c>
      <c r="G1970" s="14">
        <v>75000</v>
      </c>
      <c r="H1970" s="14">
        <v>81600</v>
      </c>
      <c r="I1970" t="s">
        <v>22</v>
      </c>
      <c r="J1970" t="s">
        <v>22</v>
      </c>
      <c r="K1970" t="s">
        <v>2729</v>
      </c>
      <c r="L1970" t="s">
        <v>946</v>
      </c>
      <c r="M1970" t="s">
        <v>28</v>
      </c>
      <c r="N1970">
        <v>1</v>
      </c>
      <c r="O1970" t="s">
        <v>65</v>
      </c>
      <c r="P1970" t="s">
        <v>66</v>
      </c>
      <c r="Q1970" t="s">
        <v>30</v>
      </c>
      <c r="R1970" t="str">
        <f>VLOOKUP($O1970,'Mapa Oficinas'!$A$7:$C$46,2,FALSE)</f>
        <v>Interior - Mendoza</v>
      </c>
      <c r="S1970" t="str">
        <f>VLOOKUP($O1970,'Mapa Oficinas'!$A$7:$C$46,3,FALSE)</f>
        <v>Capital Mendoza</v>
      </c>
    </row>
    <row r="1971" spans="1:19" x14ac:dyDescent="0.2">
      <c r="A1971" s="1">
        <v>45992</v>
      </c>
      <c r="B1971" t="s">
        <v>1478</v>
      </c>
      <c r="D1971" t="s">
        <v>1479</v>
      </c>
      <c r="E1971" t="s">
        <v>16</v>
      </c>
      <c r="F1971" t="s">
        <v>17</v>
      </c>
      <c r="G1971" s="14">
        <v>90000</v>
      </c>
      <c r="H1971" s="14">
        <v>88000</v>
      </c>
      <c r="I1971" t="s">
        <v>22</v>
      </c>
      <c r="J1971" t="s">
        <v>22</v>
      </c>
      <c r="K1971" t="s">
        <v>1480</v>
      </c>
      <c r="L1971" t="s">
        <v>419</v>
      </c>
      <c r="M1971" t="s">
        <v>19</v>
      </c>
      <c r="N1971">
        <v>2</v>
      </c>
      <c r="O1971" t="s">
        <v>65</v>
      </c>
      <c r="P1971" t="s">
        <v>21</v>
      </c>
      <c r="Q1971" t="s">
        <v>30</v>
      </c>
      <c r="R1971" t="str">
        <f>VLOOKUP($O1971,'Mapa Oficinas'!$A$7:$C$46,2,FALSE)</f>
        <v>Interior - Mendoza</v>
      </c>
      <c r="S1971" t="str">
        <f>VLOOKUP($O1971,'Mapa Oficinas'!$A$7:$C$46,3,FALSE)</f>
        <v>Capital Mendoza</v>
      </c>
    </row>
    <row r="1972" spans="1:19" x14ac:dyDescent="0.2">
      <c r="A1972" s="1">
        <v>45992</v>
      </c>
      <c r="B1972" t="s">
        <v>2840</v>
      </c>
      <c r="D1972" t="s">
        <v>2841</v>
      </c>
      <c r="E1972" t="s">
        <v>16</v>
      </c>
      <c r="F1972" t="s">
        <v>17</v>
      </c>
      <c r="G1972" s="14">
        <v>90000</v>
      </c>
      <c r="H1972" s="14">
        <v>88500</v>
      </c>
      <c r="I1972" t="s">
        <v>22</v>
      </c>
      <c r="J1972" t="s">
        <v>22</v>
      </c>
      <c r="K1972" t="s">
        <v>2842</v>
      </c>
      <c r="L1972" t="s">
        <v>181</v>
      </c>
      <c r="M1972" t="s">
        <v>97</v>
      </c>
      <c r="N1972">
        <v>2</v>
      </c>
      <c r="O1972" t="s">
        <v>65</v>
      </c>
      <c r="P1972" t="s">
        <v>21</v>
      </c>
      <c r="Q1972" t="s">
        <v>30</v>
      </c>
      <c r="R1972" t="str">
        <f>VLOOKUP($O1972,'Mapa Oficinas'!$A$7:$C$46,2,FALSE)</f>
        <v>Interior - Mendoza</v>
      </c>
      <c r="S1972" t="str">
        <f>VLOOKUP($O1972,'Mapa Oficinas'!$A$7:$C$46,3,FALSE)</f>
        <v>Capital Mendoza</v>
      </c>
    </row>
    <row r="1973" spans="1:19" x14ac:dyDescent="0.2">
      <c r="A1973" s="1">
        <v>45992</v>
      </c>
      <c r="B1973" t="s">
        <v>2709</v>
      </c>
      <c r="D1973" t="s">
        <v>2710</v>
      </c>
      <c r="E1973" t="s">
        <v>16</v>
      </c>
      <c r="F1973" t="s">
        <v>17</v>
      </c>
      <c r="G1973" s="14">
        <v>99000</v>
      </c>
      <c r="H1973" s="14">
        <v>90000</v>
      </c>
      <c r="I1973" t="s">
        <v>22</v>
      </c>
      <c r="J1973" t="s">
        <v>22</v>
      </c>
      <c r="K1973" t="s">
        <v>2711</v>
      </c>
      <c r="L1973" t="s">
        <v>2712</v>
      </c>
      <c r="M1973" t="s">
        <v>28</v>
      </c>
      <c r="N1973">
        <v>2</v>
      </c>
      <c r="O1973" t="s">
        <v>65</v>
      </c>
      <c r="P1973" t="s">
        <v>21</v>
      </c>
      <c r="Q1973" t="s">
        <v>30</v>
      </c>
      <c r="R1973" t="str">
        <f>VLOOKUP($O1973,'Mapa Oficinas'!$A$7:$C$46,2,FALSE)</f>
        <v>Interior - Mendoza</v>
      </c>
      <c r="S1973" t="str">
        <f>VLOOKUP($O1973,'Mapa Oficinas'!$A$7:$C$46,3,FALSE)</f>
        <v>Capital Mendoza</v>
      </c>
    </row>
    <row r="1974" spans="1:19" x14ac:dyDescent="0.2">
      <c r="A1974" s="1">
        <v>45992</v>
      </c>
      <c r="B1974" t="s">
        <v>2761</v>
      </c>
      <c r="D1974" t="s">
        <v>2762</v>
      </c>
      <c r="E1974" t="s">
        <v>16</v>
      </c>
      <c r="F1974" t="s">
        <v>82</v>
      </c>
      <c r="G1974" s="14">
        <v>99000</v>
      </c>
      <c r="H1974" s="14">
        <v>95000</v>
      </c>
      <c r="I1974" t="s">
        <v>22</v>
      </c>
      <c r="J1974" t="s">
        <v>22</v>
      </c>
      <c r="K1974" t="s">
        <v>2763</v>
      </c>
      <c r="L1974" t="s">
        <v>2095</v>
      </c>
      <c r="M1974" t="s">
        <v>19</v>
      </c>
      <c r="N1974">
        <v>2</v>
      </c>
      <c r="O1974" t="s">
        <v>65</v>
      </c>
      <c r="P1974" t="s">
        <v>41</v>
      </c>
      <c r="Q1974" t="s">
        <v>30</v>
      </c>
      <c r="R1974" t="str">
        <f>VLOOKUP($O1974,'Mapa Oficinas'!$A$7:$C$46,2,FALSE)</f>
        <v>Interior - Mendoza</v>
      </c>
      <c r="S1974" t="str">
        <f>VLOOKUP($O1974,'Mapa Oficinas'!$A$7:$C$46,3,FALSE)</f>
        <v>Capital Mendoza</v>
      </c>
    </row>
    <row r="1975" spans="1:19" x14ac:dyDescent="0.2">
      <c r="A1975" s="1">
        <v>45992</v>
      </c>
      <c r="B1975" t="s">
        <v>2694</v>
      </c>
      <c r="D1975" t="s">
        <v>2695</v>
      </c>
      <c r="E1975" t="s">
        <v>16</v>
      </c>
      <c r="F1975" t="s">
        <v>17</v>
      </c>
      <c r="G1975" s="14">
        <v>95000</v>
      </c>
      <c r="H1975" s="14">
        <v>95000</v>
      </c>
      <c r="I1975" t="s">
        <v>22</v>
      </c>
      <c r="J1975" t="s">
        <v>22</v>
      </c>
      <c r="K1975" t="s">
        <v>2696</v>
      </c>
      <c r="L1975" t="s">
        <v>2697</v>
      </c>
      <c r="M1975" t="s">
        <v>28</v>
      </c>
      <c r="N1975">
        <v>2</v>
      </c>
      <c r="O1975" t="s">
        <v>171</v>
      </c>
      <c r="P1975" t="s">
        <v>21</v>
      </c>
      <c r="Q1975" t="s">
        <v>30</v>
      </c>
      <c r="R1975" t="str">
        <f>VLOOKUP($O1975,'Mapa Oficinas'!$A$7:$C$46,2,FALSE)</f>
        <v>Zona Sur (GBA)</v>
      </c>
      <c r="S1975" t="str">
        <f>VLOOKUP($O1975,'Mapa Oficinas'!$A$7:$C$46,3,FALSE)</f>
        <v>La Plata</v>
      </c>
    </row>
    <row r="1976" spans="1:19" x14ac:dyDescent="0.2">
      <c r="A1976" s="1">
        <v>45992</v>
      </c>
      <c r="D1976" t="s">
        <v>2873</v>
      </c>
      <c r="E1976" t="s">
        <v>16</v>
      </c>
      <c r="F1976" t="s">
        <v>17</v>
      </c>
      <c r="G1976" s="14">
        <v>100000</v>
      </c>
      <c r="H1976" s="14">
        <v>100000</v>
      </c>
      <c r="I1976" t="s">
        <v>22</v>
      </c>
      <c r="J1976" t="s">
        <v>22</v>
      </c>
      <c r="K1976" t="s">
        <v>2874</v>
      </c>
      <c r="L1976" t="s">
        <v>442</v>
      </c>
      <c r="M1976" t="s">
        <v>19</v>
      </c>
      <c r="N1976">
        <v>1</v>
      </c>
      <c r="O1976" t="s">
        <v>98</v>
      </c>
      <c r="P1976" t="s">
        <v>131</v>
      </c>
      <c r="Q1976" t="s">
        <v>30</v>
      </c>
      <c r="R1976" t="str">
        <f>VLOOKUP($O1976,'Mapa Oficinas'!$A$7:$C$46,2,FALSE)</f>
        <v>Interior - Neuquén</v>
      </c>
      <c r="S1976" t="str">
        <f>VLOOKUP($O1976,'Mapa Oficinas'!$A$7:$C$46,3,FALSE)</f>
        <v>Villa La Angostura</v>
      </c>
    </row>
    <row r="1977" spans="1:19" x14ac:dyDescent="0.2">
      <c r="A1977" s="1">
        <v>45992</v>
      </c>
      <c r="B1977" t="s">
        <v>2871</v>
      </c>
      <c r="D1977" t="s">
        <v>2872</v>
      </c>
      <c r="E1977" t="s">
        <v>16</v>
      </c>
      <c r="F1977" t="s">
        <v>17</v>
      </c>
      <c r="G1977" s="14">
        <v>0</v>
      </c>
      <c r="H1977" s="14">
        <v>104000</v>
      </c>
      <c r="I1977" t="s">
        <v>22</v>
      </c>
      <c r="J1977" t="s">
        <v>22</v>
      </c>
      <c r="L1977" t="s">
        <v>355</v>
      </c>
      <c r="M1977" t="s">
        <v>28</v>
      </c>
      <c r="N1977">
        <v>1</v>
      </c>
      <c r="O1977" t="s">
        <v>65</v>
      </c>
      <c r="P1977" t="s">
        <v>66</v>
      </c>
      <c r="Q1977" t="s">
        <v>30</v>
      </c>
      <c r="R1977" t="str">
        <f>VLOOKUP($O1977,'Mapa Oficinas'!$A$7:$C$46,2,FALSE)</f>
        <v>Interior - Mendoza</v>
      </c>
      <c r="S1977" t="str">
        <f>VLOOKUP($O1977,'Mapa Oficinas'!$A$7:$C$46,3,FALSE)</f>
        <v>Capital Mendoza</v>
      </c>
    </row>
    <row r="1978" spans="1:19" x14ac:dyDescent="0.2">
      <c r="A1978" s="1">
        <v>45992</v>
      </c>
      <c r="B1978" t="s">
        <v>2748</v>
      </c>
      <c r="D1978" t="s">
        <v>2749</v>
      </c>
      <c r="E1978" t="s">
        <v>16</v>
      </c>
      <c r="F1978" t="s">
        <v>17</v>
      </c>
      <c r="G1978" s="14">
        <v>120000</v>
      </c>
      <c r="H1978" s="14">
        <v>110000</v>
      </c>
      <c r="I1978" t="s">
        <v>22</v>
      </c>
      <c r="J1978" t="s">
        <v>22</v>
      </c>
      <c r="K1978" t="s">
        <v>2750</v>
      </c>
      <c r="L1978" t="s">
        <v>2751</v>
      </c>
      <c r="M1978" t="s">
        <v>28</v>
      </c>
      <c r="N1978">
        <v>2</v>
      </c>
      <c r="O1978" t="s">
        <v>65</v>
      </c>
      <c r="P1978" t="s">
        <v>21</v>
      </c>
      <c r="Q1978" t="s">
        <v>30</v>
      </c>
      <c r="R1978" t="str">
        <f>VLOOKUP($O1978,'Mapa Oficinas'!$A$7:$C$46,2,FALSE)</f>
        <v>Interior - Mendoza</v>
      </c>
      <c r="S1978" t="str">
        <f>VLOOKUP($O1978,'Mapa Oficinas'!$A$7:$C$46,3,FALSE)</f>
        <v>Capital Mendoza</v>
      </c>
    </row>
    <row r="1979" spans="1:19" x14ac:dyDescent="0.2">
      <c r="A1979" s="1">
        <v>45992</v>
      </c>
      <c r="B1979" t="s">
        <v>2789</v>
      </c>
      <c r="D1979" t="s">
        <v>2790</v>
      </c>
      <c r="E1979" t="s">
        <v>16</v>
      </c>
      <c r="F1979" t="s">
        <v>82</v>
      </c>
      <c r="G1979" s="14">
        <v>0</v>
      </c>
      <c r="H1979" s="14">
        <v>115000</v>
      </c>
      <c r="I1979" t="s">
        <v>22</v>
      </c>
      <c r="J1979" t="s">
        <v>22</v>
      </c>
      <c r="L1979" t="s">
        <v>593</v>
      </c>
      <c r="M1979" t="s">
        <v>97</v>
      </c>
      <c r="N1979">
        <v>1</v>
      </c>
      <c r="O1979" t="s">
        <v>65</v>
      </c>
      <c r="P1979" t="s">
        <v>131</v>
      </c>
      <c r="Q1979" t="s">
        <v>30</v>
      </c>
      <c r="R1979" t="str">
        <f>VLOOKUP($O1979,'Mapa Oficinas'!$A$7:$C$46,2,FALSE)</f>
        <v>Interior - Mendoza</v>
      </c>
      <c r="S1979" t="str">
        <f>VLOOKUP($O1979,'Mapa Oficinas'!$A$7:$C$46,3,FALSE)</f>
        <v>Capital Mendoza</v>
      </c>
    </row>
    <row r="1980" spans="1:19" x14ac:dyDescent="0.2">
      <c r="A1980" s="1">
        <v>45992</v>
      </c>
      <c r="B1980" t="s">
        <v>2885</v>
      </c>
      <c r="D1980" t="s">
        <v>2886</v>
      </c>
      <c r="E1980" t="s">
        <v>16</v>
      </c>
      <c r="F1980" t="s">
        <v>17</v>
      </c>
      <c r="G1980" s="14">
        <v>110000</v>
      </c>
      <c r="H1980" s="14">
        <v>118000</v>
      </c>
      <c r="I1980" t="s">
        <v>22</v>
      </c>
      <c r="J1980" t="s">
        <v>22</v>
      </c>
      <c r="K1980" t="s">
        <v>2662</v>
      </c>
      <c r="L1980" t="s">
        <v>2663</v>
      </c>
      <c r="M1980" t="s">
        <v>19</v>
      </c>
      <c r="N1980">
        <v>2</v>
      </c>
      <c r="O1980" t="s">
        <v>73</v>
      </c>
      <c r="P1980" t="s">
        <v>276</v>
      </c>
      <c r="Q1980" t="s">
        <v>30</v>
      </c>
      <c r="R1980" t="str">
        <f>VLOOKUP($O1980,'Mapa Oficinas'!$A$7:$C$46,2,FALSE)</f>
        <v>CABA</v>
      </c>
      <c r="S1980" t="str">
        <f>VLOOKUP($O1980,'Mapa Oficinas'!$A$7:$C$46,3,FALSE)</f>
        <v>Recoleta</v>
      </c>
    </row>
    <row r="1981" spans="1:19" x14ac:dyDescent="0.2">
      <c r="A1981" s="1">
        <v>45992</v>
      </c>
      <c r="B1981" t="s">
        <v>2769</v>
      </c>
      <c r="D1981" t="s">
        <v>2770</v>
      </c>
      <c r="E1981" t="s">
        <v>16</v>
      </c>
      <c r="F1981" t="s">
        <v>17</v>
      </c>
      <c r="G1981" s="14">
        <v>0</v>
      </c>
      <c r="H1981" s="14">
        <v>136500</v>
      </c>
      <c r="I1981" t="s">
        <v>22</v>
      </c>
      <c r="J1981" t="s">
        <v>22</v>
      </c>
      <c r="L1981" t="s">
        <v>946</v>
      </c>
      <c r="M1981" t="s">
        <v>28</v>
      </c>
      <c r="N1981">
        <v>1</v>
      </c>
      <c r="O1981" t="s">
        <v>65</v>
      </c>
      <c r="P1981" t="s">
        <v>131</v>
      </c>
      <c r="Q1981" t="s">
        <v>30</v>
      </c>
      <c r="R1981" t="str">
        <f>VLOOKUP($O1981,'Mapa Oficinas'!$A$7:$C$46,2,FALSE)</f>
        <v>Interior - Mendoza</v>
      </c>
      <c r="S1981" t="str">
        <f>VLOOKUP($O1981,'Mapa Oficinas'!$A$7:$C$46,3,FALSE)</f>
        <v>Capital Mendoza</v>
      </c>
    </row>
    <row r="1982" spans="1:19" x14ac:dyDescent="0.2">
      <c r="A1982" s="1">
        <v>45992</v>
      </c>
      <c r="B1982" t="s">
        <v>2758</v>
      </c>
      <c r="D1982" t="s">
        <v>2759</v>
      </c>
      <c r="E1982" t="s">
        <v>16</v>
      </c>
      <c r="F1982" t="s">
        <v>17</v>
      </c>
      <c r="G1982" s="14">
        <v>280000</v>
      </c>
      <c r="H1982" s="14">
        <v>140000</v>
      </c>
      <c r="I1982" t="s">
        <v>22</v>
      </c>
      <c r="J1982" t="s">
        <v>22</v>
      </c>
      <c r="K1982" t="s">
        <v>2760</v>
      </c>
      <c r="L1982" t="s">
        <v>2095</v>
      </c>
      <c r="M1982" t="s">
        <v>28</v>
      </c>
      <c r="N1982">
        <v>1</v>
      </c>
      <c r="O1982" t="s">
        <v>65</v>
      </c>
      <c r="P1982" t="s">
        <v>131</v>
      </c>
      <c r="Q1982" t="s">
        <v>30</v>
      </c>
      <c r="R1982" t="str">
        <f>VLOOKUP($O1982,'Mapa Oficinas'!$A$7:$C$46,2,FALSE)</f>
        <v>Interior - Mendoza</v>
      </c>
      <c r="S1982" t="str">
        <f>VLOOKUP($O1982,'Mapa Oficinas'!$A$7:$C$46,3,FALSE)</f>
        <v>Capital Mendoza</v>
      </c>
    </row>
    <row r="1983" spans="1:19" x14ac:dyDescent="0.2">
      <c r="A1983" s="1">
        <v>45992</v>
      </c>
      <c r="B1983" t="s">
        <v>1648</v>
      </c>
      <c r="D1983" t="s">
        <v>1649</v>
      </c>
      <c r="E1983" t="s">
        <v>16</v>
      </c>
      <c r="F1983" t="s">
        <v>38</v>
      </c>
      <c r="G1983" s="14">
        <v>600</v>
      </c>
      <c r="H1983" s="14">
        <v>142000</v>
      </c>
      <c r="I1983" t="s">
        <v>22</v>
      </c>
      <c r="J1983" t="s">
        <v>22</v>
      </c>
      <c r="K1983" t="s">
        <v>1650</v>
      </c>
      <c r="L1983" t="s">
        <v>39</v>
      </c>
      <c r="M1983" t="s">
        <v>19</v>
      </c>
      <c r="N1983">
        <v>2</v>
      </c>
      <c r="O1983" t="s">
        <v>40</v>
      </c>
      <c r="P1983" t="s">
        <v>44</v>
      </c>
      <c r="Q1983" t="s">
        <v>30</v>
      </c>
      <c r="R1983" t="str">
        <f>VLOOKUP($O1983,'Mapa Oficinas'!$A$7:$C$46,2,FALSE)</f>
        <v>Zona Norte (GBA)</v>
      </c>
      <c r="S1983" t="str">
        <f>VLOOKUP($O1983,'Mapa Oficinas'!$A$7:$C$46,3,FALSE)</f>
        <v>Pilar</v>
      </c>
    </row>
    <row r="1984" spans="1:19" x14ac:dyDescent="0.2">
      <c r="A1984" s="1">
        <v>45992</v>
      </c>
      <c r="B1984" t="s">
        <v>28</v>
      </c>
      <c r="D1984" t="s">
        <v>28</v>
      </c>
      <c r="E1984" t="s">
        <v>16</v>
      </c>
      <c r="F1984" t="s">
        <v>82</v>
      </c>
      <c r="G1984" s="14">
        <v>0</v>
      </c>
      <c r="H1984" s="14">
        <v>150000</v>
      </c>
      <c r="I1984" t="s">
        <v>22</v>
      </c>
      <c r="J1984" t="s">
        <v>22</v>
      </c>
      <c r="L1984" t="s">
        <v>593</v>
      </c>
      <c r="M1984" t="s">
        <v>28</v>
      </c>
      <c r="N1984">
        <v>1</v>
      </c>
      <c r="O1984" t="s">
        <v>65</v>
      </c>
      <c r="P1984" t="s">
        <v>131</v>
      </c>
      <c r="Q1984" t="s">
        <v>30</v>
      </c>
      <c r="R1984" t="str">
        <f>VLOOKUP($O1984,'Mapa Oficinas'!$A$7:$C$46,2,FALSE)</f>
        <v>Interior - Mendoza</v>
      </c>
      <c r="S1984" t="str">
        <f>VLOOKUP($O1984,'Mapa Oficinas'!$A$7:$C$46,3,FALSE)</f>
        <v>Capital Mendoza</v>
      </c>
    </row>
    <row r="1985" spans="1:19" x14ac:dyDescent="0.2">
      <c r="A1985" s="1">
        <v>45992</v>
      </c>
      <c r="B1985" t="s">
        <v>2822</v>
      </c>
      <c r="D1985" t="s">
        <v>2823</v>
      </c>
      <c r="E1985" t="s">
        <v>16</v>
      </c>
      <c r="F1985" t="s">
        <v>38</v>
      </c>
      <c r="G1985" s="14">
        <v>800</v>
      </c>
      <c r="H1985" s="14">
        <v>163000</v>
      </c>
      <c r="I1985" t="s">
        <v>22</v>
      </c>
      <c r="J1985" t="s">
        <v>22</v>
      </c>
      <c r="K1985" t="s">
        <v>2823</v>
      </c>
      <c r="L1985" t="s">
        <v>39</v>
      </c>
      <c r="M1985" t="s">
        <v>19</v>
      </c>
      <c r="N1985">
        <v>2</v>
      </c>
      <c r="O1985" t="s">
        <v>40</v>
      </c>
      <c r="P1985" t="s">
        <v>44</v>
      </c>
      <c r="Q1985" t="s">
        <v>30</v>
      </c>
      <c r="R1985" t="str">
        <f>VLOOKUP($O1985,'Mapa Oficinas'!$A$7:$C$46,2,FALSE)</f>
        <v>Zona Norte (GBA)</v>
      </c>
      <c r="S1985" t="str">
        <f>VLOOKUP($O1985,'Mapa Oficinas'!$A$7:$C$46,3,FALSE)</f>
        <v>Pilar</v>
      </c>
    </row>
    <row r="1986" spans="1:19" x14ac:dyDescent="0.2">
      <c r="A1986" s="1">
        <v>45992</v>
      </c>
      <c r="B1986" t="s">
        <v>2799</v>
      </c>
      <c r="D1986" t="s">
        <v>2800</v>
      </c>
      <c r="E1986" t="s">
        <v>16</v>
      </c>
      <c r="F1986" t="s">
        <v>17</v>
      </c>
      <c r="G1986" s="14">
        <v>185000</v>
      </c>
      <c r="H1986" s="14">
        <v>183000</v>
      </c>
      <c r="I1986" t="s">
        <v>22</v>
      </c>
      <c r="J1986" t="s">
        <v>22</v>
      </c>
      <c r="K1986" t="s">
        <v>2801</v>
      </c>
      <c r="L1986" t="s">
        <v>2095</v>
      </c>
      <c r="M1986" t="s">
        <v>19</v>
      </c>
      <c r="N1986">
        <v>1</v>
      </c>
      <c r="O1986" t="s">
        <v>65</v>
      </c>
      <c r="P1986" t="s">
        <v>66</v>
      </c>
      <c r="Q1986" t="s">
        <v>30</v>
      </c>
      <c r="R1986" t="str">
        <f>VLOOKUP($O1986,'Mapa Oficinas'!$A$7:$C$46,2,FALSE)</f>
        <v>Interior - Mendoza</v>
      </c>
      <c r="S1986" t="str">
        <f>VLOOKUP($O1986,'Mapa Oficinas'!$A$7:$C$46,3,FALSE)</f>
        <v>Capital Mendoza</v>
      </c>
    </row>
    <row r="1987" spans="1:19" x14ac:dyDescent="0.2">
      <c r="A1987" s="1">
        <v>45992</v>
      </c>
      <c r="B1987" t="s">
        <v>2824</v>
      </c>
      <c r="D1987" t="s">
        <v>2825</v>
      </c>
      <c r="E1987" t="s">
        <v>16</v>
      </c>
      <c r="F1987" t="s">
        <v>17</v>
      </c>
      <c r="G1987" s="14">
        <v>220000</v>
      </c>
      <c r="H1987" s="14">
        <v>195000</v>
      </c>
      <c r="I1987" t="s">
        <v>22</v>
      </c>
      <c r="J1987" t="s">
        <v>22</v>
      </c>
      <c r="K1987" t="s">
        <v>2826</v>
      </c>
      <c r="L1987" t="s">
        <v>2072</v>
      </c>
      <c r="M1987" t="s">
        <v>28</v>
      </c>
      <c r="N1987">
        <v>2</v>
      </c>
      <c r="O1987" t="s">
        <v>65</v>
      </c>
      <c r="P1987" t="s">
        <v>21</v>
      </c>
      <c r="Q1987" t="s">
        <v>30</v>
      </c>
      <c r="R1987" t="str">
        <f>VLOOKUP($O1987,'Mapa Oficinas'!$A$7:$C$46,2,FALSE)</f>
        <v>Interior - Mendoza</v>
      </c>
      <c r="S1987" t="str">
        <f>VLOOKUP($O1987,'Mapa Oficinas'!$A$7:$C$46,3,FALSE)</f>
        <v>Capital Mendoza</v>
      </c>
    </row>
    <row r="1988" spans="1:19" x14ac:dyDescent="0.2">
      <c r="A1988" s="1">
        <v>45992</v>
      </c>
      <c r="B1988" t="s">
        <v>2887</v>
      </c>
      <c r="D1988" t="s">
        <v>2888</v>
      </c>
      <c r="E1988" t="s">
        <v>16</v>
      </c>
      <c r="F1988" t="s">
        <v>17</v>
      </c>
      <c r="G1988" s="14">
        <v>215000</v>
      </c>
      <c r="H1988" s="14">
        <v>218000</v>
      </c>
      <c r="I1988" t="s">
        <v>22</v>
      </c>
      <c r="J1988" t="s">
        <v>22</v>
      </c>
      <c r="K1988" t="s">
        <v>2889</v>
      </c>
      <c r="L1988" t="s">
        <v>318</v>
      </c>
      <c r="M1988" t="s">
        <v>19</v>
      </c>
      <c r="N1988">
        <v>2</v>
      </c>
      <c r="O1988" t="s">
        <v>73</v>
      </c>
      <c r="P1988" t="s">
        <v>276</v>
      </c>
      <c r="Q1988" t="s">
        <v>30</v>
      </c>
      <c r="R1988" t="str">
        <f>VLOOKUP($O1988,'Mapa Oficinas'!$A$7:$C$46,2,FALSE)</f>
        <v>CABA</v>
      </c>
      <c r="S1988" t="str">
        <f>VLOOKUP($O1988,'Mapa Oficinas'!$A$7:$C$46,3,FALSE)</f>
        <v>Recoleta</v>
      </c>
    </row>
    <row r="1989" spans="1:19" x14ac:dyDescent="0.2">
      <c r="A1989" s="1">
        <v>45992</v>
      </c>
      <c r="B1989" t="s">
        <v>2807</v>
      </c>
      <c r="D1989" t="s">
        <v>2808</v>
      </c>
      <c r="E1989" t="s">
        <v>16</v>
      </c>
      <c r="F1989" t="s">
        <v>82</v>
      </c>
      <c r="G1989" s="14">
        <v>225000</v>
      </c>
      <c r="H1989" s="14">
        <v>225000</v>
      </c>
      <c r="I1989" t="s">
        <v>22</v>
      </c>
      <c r="J1989" t="s">
        <v>22</v>
      </c>
      <c r="L1989" t="s">
        <v>2809</v>
      </c>
      <c r="M1989" t="s">
        <v>28</v>
      </c>
      <c r="N1989">
        <v>1</v>
      </c>
      <c r="O1989" t="s">
        <v>65</v>
      </c>
      <c r="P1989" t="s">
        <v>131</v>
      </c>
      <c r="Q1989" t="s">
        <v>30</v>
      </c>
      <c r="R1989" t="str">
        <f>VLOOKUP($O1989,'Mapa Oficinas'!$A$7:$C$46,2,FALSE)</f>
        <v>Interior - Mendoza</v>
      </c>
      <c r="S1989" t="str">
        <f>VLOOKUP($O1989,'Mapa Oficinas'!$A$7:$C$46,3,FALSE)</f>
        <v>Capital Mendoza</v>
      </c>
    </row>
    <row r="1990" spans="1:19" x14ac:dyDescent="0.2">
      <c r="A1990" s="1">
        <v>45992</v>
      </c>
      <c r="B1990" t="s">
        <v>2882</v>
      </c>
      <c r="D1990" t="s">
        <v>2883</v>
      </c>
      <c r="E1990" t="s">
        <v>16</v>
      </c>
      <c r="F1990" t="s">
        <v>58</v>
      </c>
      <c r="G1990" s="14">
        <v>249500</v>
      </c>
      <c r="H1990" s="14">
        <v>235000</v>
      </c>
      <c r="I1990" t="s">
        <v>22</v>
      </c>
      <c r="J1990" t="s">
        <v>22</v>
      </c>
      <c r="K1990" t="s">
        <v>2884</v>
      </c>
      <c r="L1990" t="s">
        <v>195</v>
      </c>
      <c r="M1990" t="s">
        <v>19</v>
      </c>
      <c r="N1990">
        <v>2</v>
      </c>
      <c r="O1990" t="s">
        <v>73</v>
      </c>
      <c r="P1990" t="s">
        <v>41</v>
      </c>
      <c r="Q1990" t="s">
        <v>30</v>
      </c>
      <c r="R1990" t="str">
        <f>VLOOKUP($O1990,'Mapa Oficinas'!$A$7:$C$46,2,FALSE)</f>
        <v>CABA</v>
      </c>
      <c r="S1990" t="str">
        <f>VLOOKUP($O1990,'Mapa Oficinas'!$A$7:$C$46,3,FALSE)</f>
        <v>Recoleta</v>
      </c>
    </row>
    <row r="1991" spans="1:19" x14ac:dyDescent="0.2">
      <c r="A1991" s="1">
        <v>45992</v>
      </c>
      <c r="B1991" t="s">
        <v>2720</v>
      </c>
      <c r="D1991" t="s">
        <v>2721</v>
      </c>
      <c r="E1991" t="s">
        <v>16</v>
      </c>
      <c r="F1991" t="s">
        <v>82</v>
      </c>
      <c r="G1991" s="14">
        <v>250000</v>
      </c>
      <c r="H1991" s="14">
        <v>247500</v>
      </c>
      <c r="I1991" t="s">
        <v>22</v>
      </c>
      <c r="J1991" t="s">
        <v>22</v>
      </c>
      <c r="K1991" t="s">
        <v>2722</v>
      </c>
      <c r="L1991" t="s">
        <v>181</v>
      </c>
      <c r="M1991" t="s">
        <v>28</v>
      </c>
      <c r="N1991">
        <v>2</v>
      </c>
      <c r="O1991" t="s">
        <v>65</v>
      </c>
      <c r="P1991" t="s">
        <v>21</v>
      </c>
      <c r="Q1991" t="s">
        <v>30</v>
      </c>
      <c r="R1991" t="str">
        <f>VLOOKUP($O1991,'Mapa Oficinas'!$A$7:$C$46,2,FALSE)</f>
        <v>Interior - Mendoza</v>
      </c>
      <c r="S1991" t="str">
        <f>VLOOKUP($O1991,'Mapa Oficinas'!$A$7:$C$46,3,FALSE)</f>
        <v>Capital Mendoza</v>
      </c>
    </row>
    <row r="1992" spans="1:19" x14ac:dyDescent="0.2">
      <c r="A1992" s="1">
        <v>45992</v>
      </c>
      <c r="B1992" t="s">
        <v>2878</v>
      </c>
      <c r="D1992" t="s">
        <v>2879</v>
      </c>
      <c r="E1992" t="s">
        <v>16</v>
      </c>
      <c r="F1992" t="s">
        <v>82</v>
      </c>
      <c r="G1992" s="14">
        <v>385000</v>
      </c>
      <c r="H1992" s="14">
        <v>340000</v>
      </c>
      <c r="I1992" t="s">
        <v>22</v>
      </c>
      <c r="J1992" t="s">
        <v>22</v>
      </c>
      <c r="K1992" t="s">
        <v>2880</v>
      </c>
      <c r="L1992" t="s">
        <v>2881</v>
      </c>
      <c r="M1992" t="s">
        <v>28</v>
      </c>
      <c r="N1992">
        <v>2</v>
      </c>
      <c r="O1992" t="s">
        <v>65</v>
      </c>
      <c r="P1992" t="s">
        <v>41</v>
      </c>
      <c r="Q1992" t="s">
        <v>30</v>
      </c>
      <c r="R1992" t="str">
        <f>VLOOKUP($O1992,'Mapa Oficinas'!$A$7:$C$46,2,FALSE)</f>
        <v>Interior - Mendoza</v>
      </c>
      <c r="S1992" t="str">
        <f>VLOOKUP($O1992,'Mapa Oficinas'!$A$7:$C$46,3,FALSE)</f>
        <v>Capital Mendoza</v>
      </c>
    </row>
    <row r="1993" spans="1:19" x14ac:dyDescent="0.2">
      <c r="A1993" s="1">
        <v>45993</v>
      </c>
      <c r="B1993" t="s">
        <v>2683</v>
      </c>
      <c r="D1993" t="s">
        <v>2684</v>
      </c>
      <c r="E1993" t="s">
        <v>16</v>
      </c>
      <c r="F1993" t="s">
        <v>17</v>
      </c>
      <c r="G1993" s="14">
        <v>82000</v>
      </c>
      <c r="H1993" s="14">
        <v>69000</v>
      </c>
      <c r="I1993" t="s">
        <v>22</v>
      </c>
      <c r="J1993" t="s">
        <v>22</v>
      </c>
      <c r="K1993" t="s">
        <v>2685</v>
      </c>
      <c r="L1993" t="s">
        <v>2686</v>
      </c>
      <c r="M1993" t="s">
        <v>19</v>
      </c>
      <c r="N1993">
        <v>2</v>
      </c>
      <c r="O1993" t="s">
        <v>65</v>
      </c>
      <c r="P1993" t="s">
        <v>21</v>
      </c>
      <c r="Q1993" t="s">
        <v>30</v>
      </c>
      <c r="R1993" t="str">
        <f>VLOOKUP($O1993,'Mapa Oficinas'!$A$7:$C$46,2,FALSE)</f>
        <v>Interior - Mendoza</v>
      </c>
      <c r="S1993" t="str">
        <f>VLOOKUP($O1993,'Mapa Oficinas'!$A$7:$C$46,3,FALSE)</f>
        <v>Capital Mendoza</v>
      </c>
    </row>
    <row r="1994" spans="1:19" x14ac:dyDescent="0.2">
      <c r="A1994" s="1">
        <v>45993</v>
      </c>
      <c r="B1994" t="s">
        <v>2680</v>
      </c>
      <c r="D1994" t="s">
        <v>2681</v>
      </c>
      <c r="E1994" t="s">
        <v>16</v>
      </c>
      <c r="F1994" t="s">
        <v>82</v>
      </c>
      <c r="G1994" s="14">
        <v>78000</v>
      </c>
      <c r="H1994" s="14">
        <v>74000</v>
      </c>
      <c r="I1994" t="s">
        <v>22</v>
      </c>
      <c r="J1994" t="s">
        <v>22</v>
      </c>
      <c r="K1994" t="s">
        <v>2682</v>
      </c>
      <c r="L1994" t="s">
        <v>124</v>
      </c>
      <c r="M1994" t="s">
        <v>28</v>
      </c>
      <c r="N1994">
        <v>1</v>
      </c>
      <c r="O1994" t="s">
        <v>55</v>
      </c>
      <c r="P1994" t="s">
        <v>131</v>
      </c>
      <c r="Q1994" t="s">
        <v>30</v>
      </c>
      <c r="R1994" t="str">
        <f>VLOOKUP($O1994,'Mapa Oficinas'!$A$7:$C$46,2,FALSE)</f>
        <v>Interior - Santa Fe</v>
      </c>
      <c r="S1994" t="str">
        <f>VLOOKUP($O1994,'Mapa Oficinas'!$A$7:$C$46,3,FALSE)</f>
        <v>Capital Santa Fe</v>
      </c>
    </row>
    <row r="1995" spans="1:19" x14ac:dyDescent="0.2">
      <c r="A1995" s="1">
        <v>45993</v>
      </c>
      <c r="B1995" t="s">
        <v>2687</v>
      </c>
      <c r="D1995" t="s">
        <v>2688</v>
      </c>
      <c r="E1995" t="s">
        <v>16</v>
      </c>
      <c r="F1995" t="s">
        <v>17</v>
      </c>
      <c r="G1995" s="14">
        <v>105000</v>
      </c>
      <c r="H1995" s="14">
        <v>83400</v>
      </c>
      <c r="I1995" t="s">
        <v>22</v>
      </c>
      <c r="J1995" t="s">
        <v>22</v>
      </c>
      <c r="K1995" t="s">
        <v>2689</v>
      </c>
      <c r="L1995" t="s">
        <v>1498</v>
      </c>
      <c r="M1995" t="s">
        <v>72</v>
      </c>
      <c r="N1995">
        <v>2</v>
      </c>
      <c r="O1995" t="s">
        <v>50</v>
      </c>
      <c r="P1995" t="s">
        <v>21</v>
      </c>
      <c r="Q1995" t="s">
        <v>30</v>
      </c>
      <c r="R1995" t="str">
        <f>VLOOKUP($O1995,'Mapa Oficinas'!$A$7:$C$46,2,FALSE)</f>
        <v>CABA</v>
      </c>
      <c r="S1995" t="str">
        <f>VLOOKUP($O1995,'Mapa Oficinas'!$A$7:$C$46,3,FALSE)</f>
        <v>Villa Urquiza</v>
      </c>
    </row>
    <row r="1996" spans="1:19" x14ac:dyDescent="0.2">
      <c r="A1996" s="1">
        <v>45994</v>
      </c>
      <c r="B1996" t="s">
        <v>2658</v>
      </c>
      <c r="D1996" t="s">
        <v>2659</v>
      </c>
      <c r="E1996" t="s">
        <v>16</v>
      </c>
      <c r="F1996" t="s">
        <v>134</v>
      </c>
      <c r="G1996" s="14">
        <v>36881</v>
      </c>
      <c r="H1996" s="14">
        <v>40000</v>
      </c>
      <c r="I1996" t="s">
        <v>22</v>
      </c>
      <c r="J1996" t="s">
        <v>22</v>
      </c>
      <c r="L1996" t="s">
        <v>595</v>
      </c>
      <c r="M1996" t="s">
        <v>97</v>
      </c>
      <c r="N1996">
        <v>2</v>
      </c>
      <c r="O1996" t="s">
        <v>130</v>
      </c>
      <c r="P1996" t="s">
        <v>41</v>
      </c>
      <c r="Q1996" t="s">
        <v>30</v>
      </c>
      <c r="R1996" t="str">
        <f>VLOOKUP($O1996,'Mapa Oficinas'!$A$7:$C$46,2,FALSE)</f>
        <v>Interior - Río Negro</v>
      </c>
      <c r="S1996" t="str">
        <f>VLOOKUP($O1996,'Mapa Oficinas'!$A$7:$C$46,3,FALSE)</f>
        <v>Bariloche</v>
      </c>
    </row>
    <row r="1997" spans="1:19" x14ac:dyDescent="0.2">
      <c r="A1997" s="1">
        <v>45994</v>
      </c>
      <c r="B1997" t="s">
        <v>2654</v>
      </c>
      <c r="D1997" t="s">
        <v>2655</v>
      </c>
      <c r="E1997" t="s">
        <v>16</v>
      </c>
      <c r="F1997" t="s">
        <v>17</v>
      </c>
      <c r="G1997" s="14">
        <v>45000</v>
      </c>
      <c r="H1997" s="14">
        <v>44000</v>
      </c>
      <c r="I1997" t="s">
        <v>22</v>
      </c>
      <c r="J1997" t="s">
        <v>22</v>
      </c>
      <c r="K1997" t="s">
        <v>2656</v>
      </c>
      <c r="L1997" t="s">
        <v>205</v>
      </c>
      <c r="M1997" t="s">
        <v>19</v>
      </c>
      <c r="N1997">
        <v>2</v>
      </c>
      <c r="O1997" t="s">
        <v>35</v>
      </c>
      <c r="P1997" t="s">
        <v>21</v>
      </c>
      <c r="Q1997" t="s">
        <v>30</v>
      </c>
      <c r="R1997" t="str">
        <f>VLOOKUP($O1997,'Mapa Oficinas'!$A$7:$C$46,2,FALSE)</f>
        <v>Zona Norte (GBA)</v>
      </c>
      <c r="S1997" t="str">
        <f>VLOOKUP($O1997,'Mapa Oficinas'!$A$7:$C$46,3,FALSE)</f>
        <v>Vicente López</v>
      </c>
    </row>
    <row r="1998" spans="1:19" x14ac:dyDescent="0.2">
      <c r="A1998" s="1">
        <v>45994</v>
      </c>
      <c r="B1998" t="s">
        <v>2660</v>
      </c>
      <c r="D1998" t="s">
        <v>2661</v>
      </c>
      <c r="E1998" t="s">
        <v>16</v>
      </c>
      <c r="F1998" t="s">
        <v>17</v>
      </c>
      <c r="G1998" s="14">
        <v>56000</v>
      </c>
      <c r="H1998" s="14">
        <v>56000</v>
      </c>
      <c r="I1998" t="s">
        <v>22</v>
      </c>
      <c r="J1998" t="s">
        <v>22</v>
      </c>
      <c r="K1998" t="s">
        <v>2662</v>
      </c>
      <c r="L1998" t="s">
        <v>2663</v>
      </c>
      <c r="M1998" t="s">
        <v>19</v>
      </c>
      <c r="N1998">
        <v>2</v>
      </c>
      <c r="O1998" t="s">
        <v>201</v>
      </c>
      <c r="P1998" t="s">
        <v>21</v>
      </c>
      <c r="Q1998" t="s">
        <v>30</v>
      </c>
      <c r="R1998" t="str">
        <f>VLOOKUP($O1998,'Mapa Oficinas'!$A$7:$C$46,2,FALSE)</f>
        <v>CABA</v>
      </c>
      <c r="S1998" t="str">
        <f>VLOOKUP($O1998,'Mapa Oficinas'!$A$7:$C$46,3,FALSE)</f>
        <v>Recoleta</v>
      </c>
    </row>
    <row r="1999" spans="1:19" x14ac:dyDescent="0.2">
      <c r="A1999" s="1">
        <v>45994</v>
      </c>
      <c r="B1999" t="s">
        <v>2664</v>
      </c>
      <c r="D1999" t="s">
        <v>2665</v>
      </c>
      <c r="E1999" t="s">
        <v>16</v>
      </c>
      <c r="F1999" t="s">
        <v>17</v>
      </c>
      <c r="G1999" s="14">
        <v>85000</v>
      </c>
      <c r="H1999" s="14">
        <v>84000</v>
      </c>
      <c r="I1999" t="s">
        <v>22</v>
      </c>
      <c r="J1999" t="s">
        <v>22</v>
      </c>
      <c r="K1999" t="s">
        <v>2666</v>
      </c>
      <c r="L1999" t="s">
        <v>2667</v>
      </c>
      <c r="M1999" t="s">
        <v>72</v>
      </c>
      <c r="N1999">
        <v>2</v>
      </c>
      <c r="O1999" t="s">
        <v>201</v>
      </c>
      <c r="P1999" t="s">
        <v>21</v>
      </c>
      <c r="Q1999" t="s">
        <v>30</v>
      </c>
      <c r="R1999" t="str">
        <f>VLOOKUP($O1999,'Mapa Oficinas'!$A$7:$C$46,2,FALSE)</f>
        <v>CABA</v>
      </c>
      <c r="S1999" t="str">
        <f>VLOOKUP($O1999,'Mapa Oficinas'!$A$7:$C$46,3,FALSE)</f>
        <v>Recoleta</v>
      </c>
    </row>
    <row r="2000" spans="1:19" x14ac:dyDescent="0.2">
      <c r="A2000" s="1">
        <v>45994</v>
      </c>
      <c r="B2000" t="s">
        <v>2674</v>
      </c>
      <c r="D2000" t="s">
        <v>2675</v>
      </c>
      <c r="E2000" t="s">
        <v>16</v>
      </c>
      <c r="F2000" t="s">
        <v>17</v>
      </c>
      <c r="G2000" s="14">
        <v>125000</v>
      </c>
      <c r="H2000" s="14">
        <v>122500</v>
      </c>
      <c r="I2000" t="s">
        <v>22</v>
      </c>
      <c r="J2000" t="s">
        <v>22</v>
      </c>
      <c r="K2000" t="s">
        <v>2676</v>
      </c>
      <c r="L2000" t="s">
        <v>222</v>
      </c>
      <c r="M2000" t="s">
        <v>19</v>
      </c>
      <c r="N2000">
        <v>2</v>
      </c>
      <c r="O2000" t="s">
        <v>223</v>
      </c>
      <c r="P2000" t="s">
        <v>21</v>
      </c>
      <c r="Q2000" t="s">
        <v>30</v>
      </c>
      <c r="R2000" t="str">
        <f>VLOOKUP($O2000,'Mapa Oficinas'!$A$7:$C$46,2,FALSE)</f>
        <v>Zona Norte (GBA)</v>
      </c>
      <c r="S2000" t="str">
        <f>VLOOKUP($O2000,'Mapa Oficinas'!$A$7:$C$46,3,FALSE)</f>
        <v>San Isidro</v>
      </c>
    </row>
    <row r="2001" spans="1:19" x14ac:dyDescent="0.2">
      <c r="A2001" s="1">
        <v>45994</v>
      </c>
      <c r="B2001">
        <v>3122025</v>
      </c>
      <c r="D2001" t="s">
        <v>2657</v>
      </c>
      <c r="E2001" t="s">
        <v>16</v>
      </c>
      <c r="F2001" t="s">
        <v>38</v>
      </c>
      <c r="G2001" s="14">
        <v>220000</v>
      </c>
      <c r="H2001" s="14">
        <v>220000</v>
      </c>
      <c r="I2001" t="s">
        <v>22</v>
      </c>
      <c r="J2001" t="s">
        <v>22</v>
      </c>
      <c r="L2001" t="s">
        <v>277</v>
      </c>
      <c r="M2001" t="s">
        <v>19</v>
      </c>
      <c r="N2001">
        <v>2</v>
      </c>
      <c r="O2001" t="s">
        <v>130</v>
      </c>
      <c r="P2001" t="s">
        <v>256</v>
      </c>
      <c r="Q2001" t="s">
        <v>30</v>
      </c>
      <c r="R2001" t="str">
        <f>VLOOKUP($O2001,'Mapa Oficinas'!$A$7:$C$46,2,FALSE)</f>
        <v>Interior - Río Negro</v>
      </c>
      <c r="S2001" t="str">
        <f>VLOOKUP($O2001,'Mapa Oficinas'!$A$7:$C$46,3,FALSE)</f>
        <v>Bariloche</v>
      </c>
    </row>
    <row r="2002" spans="1:19" x14ac:dyDescent="0.2">
      <c r="A2002" s="1">
        <v>45994</v>
      </c>
      <c r="B2002" t="s">
        <v>2668</v>
      </c>
      <c r="D2002" t="s">
        <v>2669</v>
      </c>
      <c r="E2002" t="s">
        <v>16</v>
      </c>
      <c r="F2002" t="s">
        <v>58</v>
      </c>
      <c r="G2002" s="14">
        <v>270000</v>
      </c>
      <c r="H2002" s="14">
        <v>220000</v>
      </c>
      <c r="I2002" t="s">
        <v>22</v>
      </c>
      <c r="J2002" t="s">
        <v>22</v>
      </c>
      <c r="K2002" t="s">
        <v>2670</v>
      </c>
      <c r="L2002" t="s">
        <v>277</v>
      </c>
      <c r="M2002" t="s">
        <v>19</v>
      </c>
      <c r="N2002">
        <v>2</v>
      </c>
      <c r="O2002" t="s">
        <v>50</v>
      </c>
      <c r="P2002" t="s">
        <v>1578</v>
      </c>
      <c r="Q2002" t="s">
        <v>30</v>
      </c>
      <c r="R2002" t="str">
        <f>VLOOKUP($O2002,'Mapa Oficinas'!$A$7:$C$46,2,FALSE)</f>
        <v>CABA</v>
      </c>
      <c r="S2002" t="str">
        <f>VLOOKUP($O2002,'Mapa Oficinas'!$A$7:$C$46,3,FALSE)</f>
        <v>Villa Urquiza</v>
      </c>
    </row>
    <row r="2003" spans="1:19" x14ac:dyDescent="0.2">
      <c r="A2003" s="1">
        <v>45994</v>
      </c>
      <c r="B2003" t="s">
        <v>2677</v>
      </c>
      <c r="D2003" t="s">
        <v>2678</v>
      </c>
      <c r="E2003" t="s">
        <v>16</v>
      </c>
      <c r="F2003" t="s">
        <v>17</v>
      </c>
      <c r="G2003" s="14">
        <v>350000</v>
      </c>
      <c r="H2003" s="14">
        <v>395200</v>
      </c>
      <c r="I2003" t="s">
        <v>22</v>
      </c>
      <c r="J2003" t="s">
        <v>22</v>
      </c>
      <c r="K2003" t="s">
        <v>2679</v>
      </c>
      <c r="L2003" t="s">
        <v>1634</v>
      </c>
      <c r="M2003" t="s">
        <v>19</v>
      </c>
      <c r="N2003">
        <v>2</v>
      </c>
      <c r="O2003" t="s">
        <v>20</v>
      </c>
      <c r="P2003" t="s">
        <v>276</v>
      </c>
      <c r="Q2003" t="s">
        <v>30</v>
      </c>
      <c r="R2003" t="str">
        <f>VLOOKUP($O2003,'Mapa Oficinas'!$A$7:$C$46,2,FALSE)</f>
        <v>CABA</v>
      </c>
      <c r="S2003" t="str">
        <f>VLOOKUP($O2003,'Mapa Oficinas'!$A$7:$C$46,3,FALSE)</f>
        <v>Palermo</v>
      </c>
    </row>
    <row r="2004" spans="1:19" x14ac:dyDescent="0.2">
      <c r="A2004" s="1">
        <v>45995</v>
      </c>
      <c r="B2004" t="s">
        <v>2633</v>
      </c>
      <c r="D2004" t="s">
        <v>2634</v>
      </c>
      <c r="E2004" t="s">
        <v>16</v>
      </c>
      <c r="F2004" t="s">
        <v>243</v>
      </c>
      <c r="G2004" s="14">
        <v>37000</v>
      </c>
      <c r="H2004" s="14">
        <v>36000</v>
      </c>
      <c r="I2004" t="s">
        <v>22</v>
      </c>
      <c r="J2004" t="s">
        <v>22</v>
      </c>
      <c r="K2004" t="s">
        <v>2635</v>
      </c>
      <c r="L2004" t="s">
        <v>630</v>
      </c>
      <c r="M2004" t="s">
        <v>97</v>
      </c>
      <c r="N2004">
        <v>2</v>
      </c>
      <c r="O2004" t="s">
        <v>246</v>
      </c>
      <c r="P2004" t="s">
        <v>21</v>
      </c>
      <c r="Q2004" t="s">
        <v>30</v>
      </c>
      <c r="R2004" t="str">
        <f>VLOOKUP($O2004,'Mapa Oficinas'!$A$7:$C$46,2,FALSE)</f>
        <v>Interior - Salta</v>
      </c>
      <c r="S2004" t="str">
        <f>VLOOKUP($O2004,'Mapa Oficinas'!$A$7:$C$46,3,FALSE)</f>
        <v>San Lorenzo Chico</v>
      </c>
    </row>
    <row r="2005" spans="1:19" x14ac:dyDescent="0.2">
      <c r="A2005" s="1">
        <v>45995</v>
      </c>
      <c r="B2005" t="s">
        <v>2626</v>
      </c>
      <c r="D2005" t="s">
        <v>2626</v>
      </c>
      <c r="E2005" t="s">
        <v>16</v>
      </c>
      <c r="F2005" t="s">
        <v>17</v>
      </c>
      <c r="G2005" s="14">
        <v>49000</v>
      </c>
      <c r="H2005" s="14">
        <v>49000</v>
      </c>
      <c r="I2005" t="s">
        <v>22</v>
      </c>
      <c r="J2005" t="s">
        <v>22</v>
      </c>
      <c r="L2005" t="s">
        <v>170</v>
      </c>
      <c r="M2005" t="s">
        <v>19</v>
      </c>
      <c r="N2005">
        <v>1</v>
      </c>
      <c r="O2005" t="s">
        <v>171</v>
      </c>
      <c r="P2005" t="s">
        <v>131</v>
      </c>
      <c r="Q2005" t="s">
        <v>30</v>
      </c>
      <c r="R2005" t="str">
        <f>VLOOKUP($O2005,'Mapa Oficinas'!$A$7:$C$46,2,FALSE)</f>
        <v>Zona Sur (GBA)</v>
      </c>
      <c r="S2005" t="str">
        <f>VLOOKUP($O2005,'Mapa Oficinas'!$A$7:$C$46,3,FALSE)</f>
        <v>La Plata</v>
      </c>
    </row>
    <row r="2006" spans="1:19" x14ac:dyDescent="0.2">
      <c r="A2006" s="1">
        <v>45995</v>
      </c>
      <c r="B2006" t="s">
        <v>2636</v>
      </c>
      <c r="D2006" t="s">
        <v>2637</v>
      </c>
      <c r="E2006" t="s">
        <v>16</v>
      </c>
      <c r="F2006" t="s">
        <v>17</v>
      </c>
      <c r="G2006" s="14">
        <v>65000</v>
      </c>
      <c r="H2006" s="14">
        <v>62000</v>
      </c>
      <c r="I2006" t="s">
        <v>22</v>
      </c>
      <c r="J2006" t="s">
        <v>22</v>
      </c>
      <c r="K2006" t="s">
        <v>2638</v>
      </c>
      <c r="L2006" t="s">
        <v>2639</v>
      </c>
      <c r="M2006" t="s">
        <v>19</v>
      </c>
      <c r="N2006">
        <v>2</v>
      </c>
      <c r="O2006" t="s">
        <v>50</v>
      </c>
      <c r="P2006" t="s">
        <v>21</v>
      </c>
      <c r="Q2006" t="s">
        <v>30</v>
      </c>
      <c r="R2006" t="str">
        <f>VLOOKUP($O2006,'Mapa Oficinas'!$A$7:$C$46,2,FALSE)</f>
        <v>CABA</v>
      </c>
      <c r="S2006" t="str">
        <f>VLOOKUP($O2006,'Mapa Oficinas'!$A$7:$C$46,3,FALSE)</f>
        <v>Villa Urquiza</v>
      </c>
    </row>
    <row r="2007" spans="1:19" x14ac:dyDescent="0.2">
      <c r="A2007" s="1">
        <v>45995</v>
      </c>
      <c r="B2007" t="s">
        <v>2640</v>
      </c>
      <c r="D2007" t="s">
        <v>2641</v>
      </c>
      <c r="E2007" t="s">
        <v>16</v>
      </c>
      <c r="F2007" t="s">
        <v>17</v>
      </c>
      <c r="G2007" s="14">
        <v>75000</v>
      </c>
      <c r="H2007" s="14">
        <v>73000</v>
      </c>
      <c r="I2007" t="s">
        <v>22</v>
      </c>
      <c r="J2007" t="s">
        <v>22</v>
      </c>
      <c r="K2007" t="s">
        <v>2642</v>
      </c>
      <c r="L2007" t="s">
        <v>653</v>
      </c>
      <c r="M2007" t="s">
        <v>19</v>
      </c>
      <c r="N2007">
        <v>2</v>
      </c>
      <c r="O2007" t="s">
        <v>50</v>
      </c>
      <c r="P2007" t="s">
        <v>21</v>
      </c>
      <c r="Q2007" t="s">
        <v>30</v>
      </c>
      <c r="R2007" t="str">
        <f>VLOOKUP($O2007,'Mapa Oficinas'!$A$7:$C$46,2,FALSE)</f>
        <v>CABA</v>
      </c>
      <c r="S2007" t="str">
        <f>VLOOKUP($O2007,'Mapa Oficinas'!$A$7:$C$46,3,FALSE)</f>
        <v>Villa Urquiza</v>
      </c>
    </row>
    <row r="2008" spans="1:19" x14ac:dyDescent="0.2">
      <c r="A2008" s="1">
        <v>45995</v>
      </c>
      <c r="B2008" t="s">
        <v>2645</v>
      </c>
      <c r="D2008" t="s">
        <v>2646</v>
      </c>
      <c r="E2008" t="s">
        <v>16</v>
      </c>
      <c r="F2008" t="s">
        <v>134</v>
      </c>
      <c r="G2008" s="14">
        <v>155000</v>
      </c>
      <c r="H2008" s="14">
        <v>140000</v>
      </c>
      <c r="I2008" t="s">
        <v>22</v>
      </c>
      <c r="J2008" t="s">
        <v>22</v>
      </c>
      <c r="K2008" t="s">
        <v>2647</v>
      </c>
      <c r="L2008" t="s">
        <v>245</v>
      </c>
      <c r="M2008" t="s">
        <v>28</v>
      </c>
      <c r="N2008">
        <v>1</v>
      </c>
      <c r="O2008" t="s">
        <v>246</v>
      </c>
      <c r="P2008" t="s">
        <v>66</v>
      </c>
      <c r="Q2008" t="s">
        <v>30</v>
      </c>
      <c r="R2008" t="str">
        <f>VLOOKUP($O2008,'Mapa Oficinas'!$A$7:$C$46,2,FALSE)</f>
        <v>Interior - Salta</v>
      </c>
      <c r="S2008" t="str">
        <f>VLOOKUP($O2008,'Mapa Oficinas'!$A$7:$C$46,3,FALSE)</f>
        <v>San Lorenzo Chico</v>
      </c>
    </row>
    <row r="2009" spans="1:19" x14ac:dyDescent="0.2">
      <c r="A2009" s="1">
        <v>45995</v>
      </c>
      <c r="B2009" t="s">
        <v>2651</v>
      </c>
      <c r="D2009" t="s">
        <v>2652</v>
      </c>
      <c r="E2009" t="s">
        <v>16</v>
      </c>
      <c r="F2009" t="s">
        <v>17</v>
      </c>
      <c r="G2009" s="14">
        <v>190000</v>
      </c>
      <c r="H2009" s="14">
        <v>187000</v>
      </c>
      <c r="I2009" t="s">
        <v>22</v>
      </c>
      <c r="J2009" t="s">
        <v>22</v>
      </c>
      <c r="K2009" t="s">
        <v>2653</v>
      </c>
      <c r="L2009" t="s">
        <v>700</v>
      </c>
      <c r="M2009" t="s">
        <v>19</v>
      </c>
      <c r="N2009">
        <v>2</v>
      </c>
      <c r="O2009" t="s">
        <v>20</v>
      </c>
      <c r="P2009" t="s">
        <v>276</v>
      </c>
      <c r="Q2009" t="s">
        <v>30</v>
      </c>
      <c r="R2009" t="str">
        <f>VLOOKUP($O2009,'Mapa Oficinas'!$A$7:$C$46,2,FALSE)</f>
        <v>CABA</v>
      </c>
      <c r="S2009" t="str">
        <f>VLOOKUP($O2009,'Mapa Oficinas'!$A$7:$C$46,3,FALSE)</f>
        <v>Palermo</v>
      </c>
    </row>
    <row r="2010" spans="1:19" x14ac:dyDescent="0.2">
      <c r="A2010" s="1">
        <v>45995</v>
      </c>
      <c r="B2010" t="s">
        <v>2630</v>
      </c>
      <c r="D2010" t="s">
        <v>2631</v>
      </c>
      <c r="E2010" t="s">
        <v>16</v>
      </c>
      <c r="F2010" t="s">
        <v>17</v>
      </c>
      <c r="G2010" s="14">
        <v>270000</v>
      </c>
      <c r="H2010" s="14">
        <v>240000</v>
      </c>
      <c r="I2010" t="s">
        <v>22</v>
      </c>
      <c r="J2010" t="s">
        <v>22</v>
      </c>
      <c r="K2010" t="s">
        <v>2632</v>
      </c>
      <c r="L2010" t="s">
        <v>991</v>
      </c>
      <c r="M2010" t="s">
        <v>97</v>
      </c>
      <c r="N2010">
        <v>2</v>
      </c>
      <c r="O2010" t="s">
        <v>618</v>
      </c>
      <c r="P2010" t="s">
        <v>276</v>
      </c>
      <c r="Q2010" t="s">
        <v>30</v>
      </c>
      <c r="R2010" t="str">
        <f>VLOOKUP($O2010,'Mapa Oficinas'!$A$7:$C$46,2,FALSE)</f>
        <v>CABA</v>
      </c>
      <c r="S2010" t="str">
        <f>VLOOKUP($O2010,'Mapa Oficinas'!$A$7:$C$46,3,FALSE)</f>
        <v>Caballito</v>
      </c>
    </row>
    <row r="2011" spans="1:19" x14ac:dyDescent="0.2">
      <c r="A2011" s="1">
        <v>45995</v>
      </c>
      <c r="B2011" t="s">
        <v>2627</v>
      </c>
      <c r="D2011" t="s">
        <v>2628</v>
      </c>
      <c r="E2011" t="s">
        <v>16</v>
      </c>
      <c r="F2011" t="s">
        <v>17</v>
      </c>
      <c r="G2011" s="14">
        <v>280000</v>
      </c>
      <c r="H2011" s="14">
        <v>280000</v>
      </c>
      <c r="I2011" t="s">
        <v>22</v>
      </c>
      <c r="J2011" t="s">
        <v>22</v>
      </c>
      <c r="K2011" t="s">
        <v>2629</v>
      </c>
      <c r="L2011" t="s">
        <v>330</v>
      </c>
      <c r="M2011" t="s">
        <v>19</v>
      </c>
      <c r="N2011">
        <v>1</v>
      </c>
      <c r="O2011" t="s">
        <v>73</v>
      </c>
      <c r="P2011" t="s">
        <v>146</v>
      </c>
      <c r="Q2011" t="s">
        <v>30</v>
      </c>
      <c r="R2011" t="str">
        <f>VLOOKUP($O2011,'Mapa Oficinas'!$A$7:$C$46,2,FALSE)</f>
        <v>CABA</v>
      </c>
      <c r="S2011" t="str">
        <f>VLOOKUP($O2011,'Mapa Oficinas'!$A$7:$C$46,3,FALSE)</f>
        <v>Recoleta</v>
      </c>
    </row>
    <row r="2012" spans="1:19" x14ac:dyDescent="0.2">
      <c r="A2012" s="1">
        <v>45996</v>
      </c>
      <c r="B2012" t="s">
        <v>2624</v>
      </c>
      <c r="D2012" t="s">
        <v>2625</v>
      </c>
      <c r="E2012" t="s">
        <v>16</v>
      </c>
      <c r="F2012" t="s">
        <v>47</v>
      </c>
      <c r="G2012" s="14">
        <v>36000</v>
      </c>
      <c r="H2012" s="14">
        <v>36000</v>
      </c>
      <c r="I2012" t="s">
        <v>22</v>
      </c>
      <c r="J2012" t="s">
        <v>22</v>
      </c>
      <c r="L2012" t="s">
        <v>1114</v>
      </c>
      <c r="M2012" t="s">
        <v>97</v>
      </c>
      <c r="N2012">
        <v>2</v>
      </c>
      <c r="O2012" t="s">
        <v>359</v>
      </c>
      <c r="P2012" t="s">
        <v>21</v>
      </c>
      <c r="Q2012" t="s">
        <v>30</v>
      </c>
      <c r="R2012" t="str">
        <f>VLOOKUP($O2012,'Mapa Oficinas'!$A$7:$C$46,2,FALSE)</f>
        <v>CABA</v>
      </c>
      <c r="S2012" t="str">
        <f>VLOOKUP($O2012,'Mapa Oficinas'!$A$7:$C$46,3,FALSE)</f>
        <v>Palermo</v>
      </c>
    </row>
    <row r="2013" spans="1:19" x14ac:dyDescent="0.2">
      <c r="A2013" s="1">
        <v>45996</v>
      </c>
      <c r="B2013" t="s">
        <v>2599</v>
      </c>
      <c r="D2013" t="s">
        <v>2599</v>
      </c>
      <c r="E2013" t="s">
        <v>16</v>
      </c>
      <c r="F2013" t="s">
        <v>17</v>
      </c>
      <c r="G2013" s="14">
        <v>37000</v>
      </c>
      <c r="H2013" s="14">
        <v>37000</v>
      </c>
      <c r="I2013" t="s">
        <v>22</v>
      </c>
      <c r="J2013" t="s">
        <v>22</v>
      </c>
      <c r="K2013" t="s">
        <v>2599</v>
      </c>
      <c r="L2013" t="s">
        <v>1995</v>
      </c>
      <c r="M2013" t="s">
        <v>19</v>
      </c>
      <c r="N2013">
        <v>2</v>
      </c>
      <c r="O2013" t="s">
        <v>50</v>
      </c>
      <c r="P2013" t="s">
        <v>41</v>
      </c>
      <c r="Q2013" t="s">
        <v>30</v>
      </c>
      <c r="R2013" t="str">
        <f>VLOOKUP($O2013,'Mapa Oficinas'!$A$7:$C$46,2,FALSE)</f>
        <v>CABA</v>
      </c>
      <c r="S2013" t="str">
        <f>VLOOKUP($O2013,'Mapa Oficinas'!$A$7:$C$46,3,FALSE)</f>
        <v>Villa Urquiza</v>
      </c>
    </row>
    <row r="2014" spans="1:19" x14ac:dyDescent="0.2">
      <c r="A2014" s="1">
        <v>45996</v>
      </c>
      <c r="B2014" t="s">
        <v>2601</v>
      </c>
      <c r="D2014" t="s">
        <v>2601</v>
      </c>
      <c r="E2014" t="s">
        <v>16</v>
      </c>
      <c r="F2014" t="s">
        <v>17</v>
      </c>
      <c r="G2014" s="14">
        <v>39500</v>
      </c>
      <c r="H2014" s="14">
        <v>39500</v>
      </c>
      <c r="I2014" t="s">
        <v>22</v>
      </c>
      <c r="J2014" t="s">
        <v>22</v>
      </c>
      <c r="K2014" t="s">
        <v>2601</v>
      </c>
      <c r="L2014" t="s">
        <v>888</v>
      </c>
      <c r="M2014" t="s">
        <v>19</v>
      </c>
      <c r="N2014">
        <v>1</v>
      </c>
      <c r="O2014" t="s">
        <v>35</v>
      </c>
      <c r="P2014" t="s">
        <v>131</v>
      </c>
      <c r="Q2014" t="s">
        <v>30</v>
      </c>
      <c r="R2014" t="str">
        <f>VLOOKUP($O2014,'Mapa Oficinas'!$A$7:$C$46,2,FALSE)</f>
        <v>Zona Norte (GBA)</v>
      </c>
      <c r="S2014" t="str">
        <f>VLOOKUP($O2014,'Mapa Oficinas'!$A$7:$C$46,3,FALSE)</f>
        <v>Vicente López</v>
      </c>
    </row>
    <row r="2015" spans="1:19" x14ac:dyDescent="0.2">
      <c r="A2015" s="1">
        <v>45996</v>
      </c>
      <c r="B2015" t="s">
        <v>2618</v>
      </c>
      <c r="D2015" t="s">
        <v>2619</v>
      </c>
      <c r="E2015" t="s">
        <v>16</v>
      </c>
      <c r="F2015" t="s">
        <v>17</v>
      </c>
      <c r="G2015" s="14">
        <v>63900</v>
      </c>
      <c r="H2015" s="14">
        <v>53000</v>
      </c>
      <c r="I2015" t="s">
        <v>22</v>
      </c>
      <c r="J2015" t="s">
        <v>22</v>
      </c>
      <c r="K2015" t="s">
        <v>2620</v>
      </c>
      <c r="L2015" t="s">
        <v>545</v>
      </c>
      <c r="M2015" t="s">
        <v>19</v>
      </c>
      <c r="N2015">
        <v>2</v>
      </c>
      <c r="O2015" t="s">
        <v>103</v>
      </c>
      <c r="P2015" t="s">
        <v>21</v>
      </c>
      <c r="Q2015" t="s">
        <v>30</v>
      </c>
      <c r="R2015" t="str">
        <f>VLOOKUP($O2015,'Mapa Oficinas'!$A$7:$C$46,2,FALSE)</f>
        <v>CABA</v>
      </c>
      <c r="S2015" t="str">
        <f>VLOOKUP($O2015,'Mapa Oficinas'!$A$7:$C$46,3,FALSE)</f>
        <v>Barrio Parque</v>
      </c>
    </row>
    <row r="2016" spans="1:19" x14ac:dyDescent="0.2">
      <c r="A2016" s="1">
        <v>45996</v>
      </c>
      <c r="B2016" t="s">
        <v>2608</v>
      </c>
      <c r="D2016" t="s">
        <v>2609</v>
      </c>
      <c r="E2016" t="s">
        <v>16</v>
      </c>
      <c r="F2016" t="s">
        <v>896</v>
      </c>
      <c r="G2016" s="14">
        <v>98000</v>
      </c>
      <c r="H2016" s="14">
        <v>98000</v>
      </c>
      <c r="I2016" t="s">
        <v>22</v>
      </c>
      <c r="J2016" t="s">
        <v>22</v>
      </c>
      <c r="K2016" t="s">
        <v>2610</v>
      </c>
      <c r="L2016" t="s">
        <v>960</v>
      </c>
      <c r="M2016" t="s">
        <v>19</v>
      </c>
      <c r="N2016">
        <v>1</v>
      </c>
      <c r="O2016" t="s">
        <v>87</v>
      </c>
      <c r="P2016" t="s">
        <v>146</v>
      </c>
      <c r="Q2016" t="s">
        <v>30</v>
      </c>
      <c r="R2016" t="str">
        <f>VLOOKUP($O2016,'Mapa Oficinas'!$A$7:$C$46,2,FALSE)</f>
        <v>Zona Norte (GBA)</v>
      </c>
      <c r="S2016" t="str">
        <f>VLOOKUP($O2016,'Mapa Oficinas'!$A$7:$C$46,3,FALSE)</f>
        <v>Tigre</v>
      </c>
    </row>
    <row r="2017" spans="1:19" x14ac:dyDescent="0.2">
      <c r="A2017" s="1">
        <v>45996</v>
      </c>
      <c r="B2017" t="s">
        <v>2621</v>
      </c>
      <c r="D2017" t="s">
        <v>2622</v>
      </c>
      <c r="E2017" t="s">
        <v>16</v>
      </c>
      <c r="F2017" t="s">
        <v>17</v>
      </c>
      <c r="G2017" s="14">
        <v>110000</v>
      </c>
      <c r="H2017" s="14">
        <v>107000</v>
      </c>
      <c r="I2017" t="s">
        <v>22</v>
      </c>
      <c r="J2017" t="s">
        <v>22</v>
      </c>
      <c r="K2017" t="s">
        <v>2623</v>
      </c>
      <c r="L2017" t="s">
        <v>111</v>
      </c>
      <c r="M2017" t="s">
        <v>19</v>
      </c>
      <c r="N2017">
        <v>2</v>
      </c>
      <c r="O2017" t="s">
        <v>103</v>
      </c>
      <c r="P2017" t="s">
        <v>276</v>
      </c>
      <c r="Q2017" t="s">
        <v>30</v>
      </c>
      <c r="R2017" t="str">
        <f>VLOOKUP($O2017,'Mapa Oficinas'!$A$7:$C$46,2,FALSE)</f>
        <v>CABA</v>
      </c>
      <c r="S2017" t="str">
        <f>VLOOKUP($O2017,'Mapa Oficinas'!$A$7:$C$46,3,FALSE)</f>
        <v>Barrio Parque</v>
      </c>
    </row>
    <row r="2018" spans="1:19" x14ac:dyDescent="0.2">
      <c r="A2018" s="1">
        <v>45996</v>
      </c>
      <c r="B2018" t="s">
        <v>2614</v>
      </c>
      <c r="D2018" t="s">
        <v>2615</v>
      </c>
      <c r="E2018" t="s">
        <v>16</v>
      </c>
      <c r="F2018" t="s">
        <v>17</v>
      </c>
      <c r="G2018" s="14">
        <v>137000</v>
      </c>
      <c r="H2018" s="14">
        <v>130000</v>
      </c>
      <c r="I2018" t="s">
        <v>22</v>
      </c>
      <c r="J2018" t="s">
        <v>22</v>
      </c>
      <c r="K2018" t="s">
        <v>2616</v>
      </c>
      <c r="L2018" t="s">
        <v>318</v>
      </c>
      <c r="M2018" t="s">
        <v>19</v>
      </c>
      <c r="N2018">
        <v>2</v>
      </c>
      <c r="O2018" t="s">
        <v>206</v>
      </c>
      <c r="P2018" t="s">
        <v>41</v>
      </c>
      <c r="Q2018" t="s">
        <v>30</v>
      </c>
      <c r="R2018" t="str">
        <f>VLOOKUP($O2018,'Mapa Oficinas'!$A$7:$C$46,2,FALSE)</f>
        <v>CABA</v>
      </c>
      <c r="S2018" t="str">
        <f>VLOOKUP($O2018,'Mapa Oficinas'!$A$7:$C$46,3,FALSE)</f>
        <v>Belgrano</v>
      </c>
    </row>
    <row r="2019" spans="1:19" x14ac:dyDescent="0.2">
      <c r="A2019" s="1">
        <v>45996</v>
      </c>
      <c r="B2019" t="s">
        <v>2592</v>
      </c>
      <c r="D2019" t="s">
        <v>2593</v>
      </c>
      <c r="E2019" t="s">
        <v>16</v>
      </c>
      <c r="F2019" t="s">
        <v>17</v>
      </c>
      <c r="G2019" s="14">
        <v>149500</v>
      </c>
      <c r="H2019" s="14">
        <v>135000</v>
      </c>
      <c r="I2019" t="s">
        <v>22</v>
      </c>
      <c r="J2019" t="s">
        <v>22</v>
      </c>
      <c r="K2019" t="s">
        <v>2594</v>
      </c>
      <c r="L2019" t="s">
        <v>102</v>
      </c>
      <c r="M2019" t="s">
        <v>2595</v>
      </c>
      <c r="N2019">
        <v>2</v>
      </c>
      <c r="O2019" t="s">
        <v>547</v>
      </c>
      <c r="P2019" t="s">
        <v>21</v>
      </c>
      <c r="Q2019" t="s">
        <v>30</v>
      </c>
      <c r="R2019" t="str">
        <f>VLOOKUP($O2019,'Mapa Oficinas'!$A$7:$C$46,2,FALSE)</f>
        <v>CABA</v>
      </c>
      <c r="S2019" t="str">
        <f>VLOOKUP($O2019,'Mapa Oficinas'!$A$7:$C$46,3,FALSE)</f>
        <v>Núñez</v>
      </c>
    </row>
    <row r="2020" spans="1:19" x14ac:dyDescent="0.2">
      <c r="A2020" s="1">
        <v>45996</v>
      </c>
      <c r="B2020" t="s">
        <v>2611</v>
      </c>
      <c r="D2020" t="s">
        <v>2612</v>
      </c>
      <c r="E2020" t="s">
        <v>16</v>
      </c>
      <c r="F2020" t="s">
        <v>17</v>
      </c>
      <c r="G2020" s="14">
        <v>165000</v>
      </c>
      <c r="H2020" s="14">
        <v>158500</v>
      </c>
      <c r="I2020" t="s">
        <v>22</v>
      </c>
      <c r="J2020" t="s">
        <v>22</v>
      </c>
      <c r="K2020" t="s">
        <v>2613</v>
      </c>
      <c r="L2020" t="s">
        <v>398</v>
      </c>
      <c r="M2020" t="s">
        <v>19</v>
      </c>
      <c r="N2020">
        <v>2</v>
      </c>
      <c r="O2020" t="s">
        <v>142</v>
      </c>
      <c r="P2020" t="s">
        <v>21</v>
      </c>
      <c r="Q2020" t="s">
        <v>30</v>
      </c>
      <c r="R2020" t="str">
        <f>VLOOKUP($O2020,'Mapa Oficinas'!$A$7:$C$46,2,FALSE)</f>
        <v>Zona Norte (GBA)</v>
      </c>
      <c r="S2020" t="str">
        <f>VLOOKUP($O2020,'Mapa Oficinas'!$A$7:$C$46,3,FALSE)</f>
        <v>Nordelta</v>
      </c>
    </row>
    <row r="2021" spans="1:19" x14ac:dyDescent="0.2">
      <c r="A2021" s="1">
        <v>45996</v>
      </c>
      <c r="B2021" t="s">
        <v>2602</v>
      </c>
      <c r="D2021" t="s">
        <v>2603</v>
      </c>
      <c r="E2021" t="s">
        <v>16</v>
      </c>
      <c r="F2021" t="s">
        <v>17</v>
      </c>
      <c r="G2021" s="14">
        <v>169000</v>
      </c>
      <c r="H2021" s="14">
        <v>168802</v>
      </c>
      <c r="I2021" t="s">
        <v>22</v>
      </c>
      <c r="J2021" t="s">
        <v>22</v>
      </c>
      <c r="K2021" t="s">
        <v>2604</v>
      </c>
      <c r="L2021" t="s">
        <v>226</v>
      </c>
      <c r="M2021" t="s">
        <v>19</v>
      </c>
      <c r="N2021">
        <v>2</v>
      </c>
      <c r="O2021" t="s">
        <v>50</v>
      </c>
      <c r="P2021" t="s">
        <v>41</v>
      </c>
      <c r="Q2021" t="s">
        <v>30</v>
      </c>
      <c r="R2021" t="str">
        <f>VLOOKUP($O2021,'Mapa Oficinas'!$A$7:$C$46,2,FALSE)</f>
        <v>CABA</v>
      </c>
      <c r="S2021" t="str">
        <f>VLOOKUP($O2021,'Mapa Oficinas'!$A$7:$C$46,3,FALSE)</f>
        <v>Villa Urquiza</v>
      </c>
    </row>
    <row r="2022" spans="1:19" x14ac:dyDescent="0.2">
      <c r="A2022" s="1">
        <v>45996</v>
      </c>
      <c r="B2022" t="s">
        <v>2596</v>
      </c>
      <c r="D2022" t="s">
        <v>2597</v>
      </c>
      <c r="E2022" t="s">
        <v>16</v>
      </c>
      <c r="F2022" t="s">
        <v>17</v>
      </c>
      <c r="G2022" s="14">
        <v>183000</v>
      </c>
      <c r="H2022" s="14">
        <v>170000</v>
      </c>
      <c r="I2022" t="s">
        <v>22</v>
      </c>
      <c r="J2022" t="s">
        <v>22</v>
      </c>
      <c r="K2022" t="s">
        <v>2598</v>
      </c>
      <c r="L2022" t="s">
        <v>482</v>
      </c>
      <c r="M2022" t="s">
        <v>72</v>
      </c>
      <c r="N2022">
        <v>2</v>
      </c>
      <c r="O2022" t="s">
        <v>206</v>
      </c>
      <c r="P2022" t="s">
        <v>21</v>
      </c>
      <c r="Q2022" t="s">
        <v>30</v>
      </c>
      <c r="R2022" t="str">
        <f>VLOOKUP($O2022,'Mapa Oficinas'!$A$7:$C$46,2,FALSE)</f>
        <v>CABA</v>
      </c>
      <c r="S2022" t="str">
        <f>VLOOKUP($O2022,'Mapa Oficinas'!$A$7:$C$46,3,FALSE)</f>
        <v>Belgrano</v>
      </c>
    </row>
    <row r="2023" spans="1:19" x14ac:dyDescent="0.2">
      <c r="A2023" s="1">
        <v>45996</v>
      </c>
      <c r="B2023" t="s">
        <v>2605</v>
      </c>
      <c r="D2023" t="s">
        <v>2606</v>
      </c>
      <c r="E2023" t="s">
        <v>16</v>
      </c>
      <c r="F2023" t="s">
        <v>17</v>
      </c>
      <c r="G2023" s="14">
        <v>200000</v>
      </c>
      <c r="H2023" s="14">
        <v>200000</v>
      </c>
      <c r="I2023" t="s">
        <v>22</v>
      </c>
      <c r="J2023" t="s">
        <v>22</v>
      </c>
      <c r="K2023" t="s">
        <v>2607</v>
      </c>
      <c r="L2023" t="s">
        <v>111</v>
      </c>
      <c r="M2023" t="s">
        <v>19</v>
      </c>
      <c r="N2023">
        <v>1</v>
      </c>
      <c r="O2023" t="s">
        <v>73</v>
      </c>
      <c r="P2023" t="s">
        <v>146</v>
      </c>
      <c r="Q2023" t="s">
        <v>30</v>
      </c>
      <c r="R2023" t="str">
        <f>VLOOKUP($O2023,'Mapa Oficinas'!$A$7:$C$46,2,FALSE)</f>
        <v>CABA</v>
      </c>
      <c r="S2023" t="str">
        <f>VLOOKUP($O2023,'Mapa Oficinas'!$A$7:$C$46,3,FALSE)</f>
        <v>Recoleta</v>
      </c>
    </row>
    <row r="2024" spans="1:19" x14ac:dyDescent="0.2">
      <c r="A2024" s="1">
        <v>45996</v>
      </c>
      <c r="B2024" t="s">
        <v>2600</v>
      </c>
      <c r="D2024" t="s">
        <v>981</v>
      </c>
      <c r="E2024" t="s">
        <v>16</v>
      </c>
      <c r="F2024" t="s">
        <v>134</v>
      </c>
      <c r="G2024" s="14">
        <v>203773</v>
      </c>
      <c r="H2024" s="14">
        <v>205985</v>
      </c>
      <c r="I2024" t="s">
        <v>22</v>
      </c>
      <c r="J2024" t="s">
        <v>22</v>
      </c>
      <c r="K2024" t="s">
        <v>1477</v>
      </c>
      <c r="L2024" t="s">
        <v>136</v>
      </c>
      <c r="M2024" t="s">
        <v>19</v>
      </c>
      <c r="N2024">
        <v>2</v>
      </c>
      <c r="O2024" t="s">
        <v>130</v>
      </c>
      <c r="P2024" t="s">
        <v>21</v>
      </c>
      <c r="Q2024" t="s">
        <v>30</v>
      </c>
      <c r="R2024" t="str">
        <f>VLOOKUP($O2024,'Mapa Oficinas'!$A$7:$C$46,2,FALSE)</f>
        <v>Interior - Río Negro</v>
      </c>
      <c r="S2024" t="str">
        <f>VLOOKUP($O2024,'Mapa Oficinas'!$A$7:$C$46,3,FALSE)</f>
        <v>Bariloche</v>
      </c>
    </row>
    <row r="2025" spans="1:19" x14ac:dyDescent="0.2">
      <c r="A2025" s="1">
        <v>45996</v>
      </c>
      <c r="B2025" t="s">
        <v>2564</v>
      </c>
      <c r="D2025" t="s">
        <v>2565</v>
      </c>
      <c r="E2025" t="s">
        <v>16</v>
      </c>
      <c r="F2025" t="s">
        <v>38</v>
      </c>
      <c r="G2025" s="14">
        <v>340000</v>
      </c>
      <c r="H2025" s="14">
        <v>325000</v>
      </c>
      <c r="I2025" t="s">
        <v>22</v>
      </c>
      <c r="J2025" t="s">
        <v>22</v>
      </c>
      <c r="K2025" t="s">
        <v>2566</v>
      </c>
      <c r="L2025" t="s">
        <v>2567</v>
      </c>
      <c r="M2025" t="s">
        <v>28</v>
      </c>
      <c r="N2025">
        <v>2</v>
      </c>
      <c r="O2025" t="s">
        <v>98</v>
      </c>
      <c r="P2025" t="s">
        <v>44</v>
      </c>
      <c r="Q2025" t="s">
        <v>30</v>
      </c>
      <c r="R2025" t="str">
        <f>VLOOKUP($O2025,'Mapa Oficinas'!$A$7:$C$46,2,FALSE)</f>
        <v>Interior - Neuquén</v>
      </c>
      <c r="S2025" t="str">
        <f>VLOOKUP($O2025,'Mapa Oficinas'!$A$7:$C$46,3,FALSE)</f>
        <v>Villa La Angostura</v>
      </c>
    </row>
    <row r="2026" spans="1:19" x14ac:dyDescent="0.2">
      <c r="A2026" s="1">
        <v>46000</v>
      </c>
      <c r="B2026" t="s">
        <v>2579</v>
      </c>
      <c r="D2026" t="s">
        <v>2580</v>
      </c>
      <c r="E2026" t="s">
        <v>16</v>
      </c>
      <c r="F2026" t="s">
        <v>17</v>
      </c>
      <c r="G2026" s="14">
        <v>50000</v>
      </c>
      <c r="H2026" s="14">
        <v>47000</v>
      </c>
      <c r="I2026" t="s">
        <v>22</v>
      </c>
      <c r="J2026" t="s">
        <v>22</v>
      </c>
      <c r="K2026" t="s">
        <v>2581</v>
      </c>
      <c r="L2026" t="s">
        <v>71</v>
      </c>
      <c r="M2026" t="s">
        <v>19</v>
      </c>
      <c r="N2026">
        <v>2</v>
      </c>
      <c r="O2026" t="s">
        <v>201</v>
      </c>
      <c r="P2026" t="s">
        <v>21</v>
      </c>
      <c r="Q2026" t="s">
        <v>30</v>
      </c>
      <c r="R2026" t="str">
        <f>VLOOKUP($O2026,'Mapa Oficinas'!$A$7:$C$46,2,FALSE)</f>
        <v>CABA</v>
      </c>
      <c r="S2026" t="str">
        <f>VLOOKUP($O2026,'Mapa Oficinas'!$A$7:$C$46,3,FALSE)</f>
        <v>Recoleta</v>
      </c>
    </row>
    <row r="2027" spans="1:19" x14ac:dyDescent="0.2">
      <c r="A2027" s="1">
        <v>46000</v>
      </c>
      <c r="B2027" t="s">
        <v>2585</v>
      </c>
      <c r="D2027" t="s">
        <v>2586</v>
      </c>
      <c r="E2027" t="s">
        <v>16</v>
      </c>
      <c r="F2027" t="s">
        <v>17</v>
      </c>
      <c r="G2027" s="14">
        <v>98000</v>
      </c>
      <c r="H2027" s="14">
        <v>90000</v>
      </c>
      <c r="I2027" t="s">
        <v>22</v>
      </c>
      <c r="J2027" t="s">
        <v>22</v>
      </c>
      <c r="K2027" t="s">
        <v>2587</v>
      </c>
      <c r="L2027" t="s">
        <v>888</v>
      </c>
      <c r="M2027" t="s">
        <v>19</v>
      </c>
      <c r="N2027">
        <v>2</v>
      </c>
      <c r="O2027" t="s">
        <v>116</v>
      </c>
      <c r="P2027" t="s">
        <v>21</v>
      </c>
      <c r="Q2027" t="s">
        <v>30</v>
      </c>
      <c r="R2027" t="str">
        <f>VLOOKUP($O2027,'Mapa Oficinas'!$A$7:$C$46,2,FALSE)</f>
        <v>CABA</v>
      </c>
      <c r="S2027" t="str">
        <f>VLOOKUP($O2027,'Mapa Oficinas'!$A$7:$C$46,3,FALSE)</f>
        <v>Puerto Madero</v>
      </c>
    </row>
    <row r="2028" spans="1:19" x14ac:dyDescent="0.2">
      <c r="A2028" s="1">
        <v>46000</v>
      </c>
      <c r="B2028" t="s">
        <v>2570</v>
      </c>
      <c r="D2028" t="s">
        <v>2571</v>
      </c>
      <c r="E2028" t="s">
        <v>16</v>
      </c>
      <c r="F2028" t="s">
        <v>47</v>
      </c>
      <c r="G2028" s="14">
        <v>95000</v>
      </c>
      <c r="H2028" s="14">
        <v>95000</v>
      </c>
      <c r="I2028" t="s">
        <v>22</v>
      </c>
      <c r="J2028" t="s">
        <v>22</v>
      </c>
      <c r="K2028" t="s">
        <v>2572</v>
      </c>
      <c r="L2028" t="s">
        <v>1375</v>
      </c>
      <c r="M2028" t="s">
        <v>72</v>
      </c>
      <c r="N2028">
        <v>2</v>
      </c>
      <c r="O2028" t="s">
        <v>116</v>
      </c>
      <c r="P2028" t="s">
        <v>21</v>
      </c>
      <c r="Q2028" t="s">
        <v>30</v>
      </c>
      <c r="R2028" t="str">
        <f>VLOOKUP($O2028,'Mapa Oficinas'!$A$7:$C$46,2,FALSE)</f>
        <v>CABA</v>
      </c>
      <c r="S2028" t="str">
        <f>VLOOKUP($O2028,'Mapa Oficinas'!$A$7:$C$46,3,FALSE)</f>
        <v>Puerto Madero</v>
      </c>
    </row>
    <row r="2029" spans="1:19" x14ac:dyDescent="0.2">
      <c r="A2029" s="1">
        <v>46000</v>
      </c>
      <c r="B2029" t="s">
        <v>2561</v>
      </c>
      <c r="D2029" t="s">
        <v>2562</v>
      </c>
      <c r="E2029" t="s">
        <v>16</v>
      </c>
      <c r="F2029" t="s">
        <v>17</v>
      </c>
      <c r="G2029" s="14">
        <v>101000</v>
      </c>
      <c r="H2029" s="14">
        <v>96000</v>
      </c>
      <c r="I2029" t="s">
        <v>22</v>
      </c>
      <c r="J2029" t="s">
        <v>22</v>
      </c>
      <c r="K2029" t="s">
        <v>2563</v>
      </c>
      <c r="L2029" t="s">
        <v>551</v>
      </c>
      <c r="M2029" t="s">
        <v>19</v>
      </c>
      <c r="N2029">
        <v>2</v>
      </c>
      <c r="O2029" t="s">
        <v>29</v>
      </c>
      <c r="P2029" t="s">
        <v>21</v>
      </c>
      <c r="Q2029" t="s">
        <v>30</v>
      </c>
      <c r="R2029" t="str">
        <f>VLOOKUP($O2029,'Mapa Oficinas'!$A$7:$C$46,2,FALSE)</f>
        <v>CABA</v>
      </c>
      <c r="S2029" t="str">
        <f>VLOOKUP($O2029,'Mapa Oficinas'!$A$7:$C$46,3,FALSE)</f>
        <v>Núñez</v>
      </c>
    </row>
    <row r="2030" spans="1:19" x14ac:dyDescent="0.2">
      <c r="A2030" s="1">
        <v>46000</v>
      </c>
      <c r="D2030" t="s">
        <v>2568</v>
      </c>
      <c r="E2030" t="s">
        <v>16</v>
      </c>
      <c r="F2030" t="s">
        <v>17</v>
      </c>
      <c r="G2030" s="14">
        <v>115000</v>
      </c>
      <c r="H2030" s="14">
        <v>105000</v>
      </c>
      <c r="I2030" t="s">
        <v>22</v>
      </c>
      <c r="J2030" t="s">
        <v>22</v>
      </c>
      <c r="K2030" t="s">
        <v>2569</v>
      </c>
      <c r="L2030" t="s">
        <v>960</v>
      </c>
      <c r="M2030" t="s">
        <v>19</v>
      </c>
      <c r="N2030">
        <v>1</v>
      </c>
      <c r="O2030" t="s">
        <v>223</v>
      </c>
      <c r="P2030" t="s">
        <v>146</v>
      </c>
      <c r="Q2030" t="s">
        <v>30</v>
      </c>
      <c r="R2030" t="str">
        <f>VLOOKUP($O2030,'Mapa Oficinas'!$A$7:$C$46,2,FALSE)</f>
        <v>Zona Norte (GBA)</v>
      </c>
      <c r="S2030" t="str">
        <f>VLOOKUP($O2030,'Mapa Oficinas'!$A$7:$C$46,3,FALSE)</f>
        <v>San Isidro</v>
      </c>
    </row>
    <row r="2031" spans="1:19" x14ac:dyDescent="0.2">
      <c r="A2031" s="1">
        <v>46000</v>
      </c>
      <c r="B2031" t="s">
        <v>2558</v>
      </c>
      <c r="D2031" t="s">
        <v>2559</v>
      </c>
      <c r="E2031" t="s">
        <v>16</v>
      </c>
      <c r="F2031" t="s">
        <v>17</v>
      </c>
      <c r="G2031" s="14">
        <v>119000</v>
      </c>
      <c r="H2031" s="14">
        <v>112500</v>
      </c>
      <c r="I2031" t="s">
        <v>22</v>
      </c>
      <c r="J2031" t="s">
        <v>22</v>
      </c>
      <c r="K2031" t="s">
        <v>2560</v>
      </c>
      <c r="L2031" t="s">
        <v>393</v>
      </c>
      <c r="M2031" t="s">
        <v>19</v>
      </c>
      <c r="N2031">
        <v>2</v>
      </c>
      <c r="O2031" t="s">
        <v>227</v>
      </c>
      <c r="P2031" t="s">
        <v>21</v>
      </c>
      <c r="Q2031" t="s">
        <v>30</v>
      </c>
      <c r="R2031" t="str">
        <f>VLOOKUP($O2031,'Mapa Oficinas'!$A$7:$C$46,2,FALSE)</f>
        <v>Zona Oeste (GBA)</v>
      </c>
      <c r="S2031" t="str">
        <f>VLOOKUP($O2031,'Mapa Oficinas'!$A$7:$C$46,3,FALSE)</f>
        <v>Parque Leloir</v>
      </c>
    </row>
    <row r="2032" spans="1:19" x14ac:dyDescent="0.2">
      <c r="A2032" s="1">
        <v>46000</v>
      </c>
      <c r="B2032" t="s">
        <v>2582</v>
      </c>
      <c r="D2032" t="s">
        <v>2583</v>
      </c>
      <c r="E2032" t="s">
        <v>16</v>
      </c>
      <c r="F2032" t="s">
        <v>17</v>
      </c>
      <c r="G2032" s="14">
        <v>140000</v>
      </c>
      <c r="H2032" s="14">
        <v>119000</v>
      </c>
      <c r="I2032" t="s">
        <v>22</v>
      </c>
      <c r="J2032" t="s">
        <v>22</v>
      </c>
      <c r="K2032" t="s">
        <v>2584</v>
      </c>
      <c r="L2032" t="s">
        <v>86</v>
      </c>
      <c r="M2032" t="s">
        <v>19</v>
      </c>
      <c r="N2032">
        <v>1</v>
      </c>
      <c r="O2032" t="s">
        <v>142</v>
      </c>
      <c r="P2032" t="s">
        <v>146</v>
      </c>
      <c r="Q2032" t="s">
        <v>30</v>
      </c>
      <c r="R2032" t="str">
        <f>VLOOKUP($O2032,'Mapa Oficinas'!$A$7:$C$46,2,FALSE)</f>
        <v>Zona Norte (GBA)</v>
      </c>
      <c r="S2032" t="str">
        <f>VLOOKUP($O2032,'Mapa Oficinas'!$A$7:$C$46,3,FALSE)</f>
        <v>Nordelta</v>
      </c>
    </row>
    <row r="2033" spans="1:19" x14ac:dyDescent="0.2">
      <c r="A2033" s="1">
        <v>46000</v>
      </c>
      <c r="B2033" t="s">
        <v>2573</v>
      </c>
      <c r="D2033" t="s">
        <v>2574</v>
      </c>
      <c r="E2033" t="s">
        <v>16</v>
      </c>
      <c r="F2033" t="s">
        <v>47</v>
      </c>
      <c r="G2033" s="14">
        <v>164000</v>
      </c>
      <c r="H2033" s="14">
        <v>165000</v>
      </c>
      <c r="I2033" t="s">
        <v>22</v>
      </c>
      <c r="J2033" t="s">
        <v>22</v>
      </c>
      <c r="K2033" t="s">
        <v>2575</v>
      </c>
      <c r="L2033" t="s">
        <v>1898</v>
      </c>
      <c r="M2033" t="s">
        <v>28</v>
      </c>
      <c r="N2033">
        <v>2</v>
      </c>
      <c r="O2033" t="s">
        <v>40</v>
      </c>
      <c r="P2033" t="s">
        <v>41</v>
      </c>
      <c r="Q2033" t="s">
        <v>30</v>
      </c>
      <c r="R2033" t="str">
        <f>VLOOKUP($O2033,'Mapa Oficinas'!$A$7:$C$46,2,FALSE)</f>
        <v>Zona Norte (GBA)</v>
      </c>
      <c r="S2033" t="str">
        <f>VLOOKUP($O2033,'Mapa Oficinas'!$A$7:$C$46,3,FALSE)</f>
        <v>Pilar</v>
      </c>
    </row>
    <row r="2034" spans="1:19" x14ac:dyDescent="0.2">
      <c r="A2034" s="1">
        <v>46000</v>
      </c>
      <c r="B2034" t="s">
        <v>2576</v>
      </c>
      <c r="D2034" t="s">
        <v>2577</v>
      </c>
      <c r="E2034" t="s">
        <v>16</v>
      </c>
      <c r="F2034" t="s">
        <v>17</v>
      </c>
      <c r="G2034" s="14">
        <v>275000</v>
      </c>
      <c r="H2034" s="14">
        <v>270000</v>
      </c>
      <c r="I2034" t="s">
        <v>22</v>
      </c>
      <c r="J2034" t="s">
        <v>22</v>
      </c>
      <c r="K2034" t="s">
        <v>2578</v>
      </c>
      <c r="L2034" t="s">
        <v>298</v>
      </c>
      <c r="M2034" t="s">
        <v>72</v>
      </c>
      <c r="N2034">
        <v>2</v>
      </c>
      <c r="O2034" t="s">
        <v>389</v>
      </c>
      <c r="P2034" t="s">
        <v>21</v>
      </c>
      <c r="Q2034" t="s">
        <v>30</v>
      </c>
      <c r="R2034" t="str">
        <f>VLOOKUP($O2034,'Mapa Oficinas'!$A$7:$C$46,2,FALSE)</f>
        <v>Zona Norte (GBA)</v>
      </c>
      <c r="S2034" t="str">
        <f>VLOOKUP($O2034,'Mapa Oficinas'!$A$7:$C$46,3,FALSE)</f>
        <v>Escobar</v>
      </c>
    </row>
    <row r="2035" spans="1:19" x14ac:dyDescent="0.2">
      <c r="A2035" s="1">
        <v>46000</v>
      </c>
      <c r="B2035" t="s">
        <v>2564</v>
      </c>
      <c r="D2035" t="s">
        <v>2565</v>
      </c>
      <c r="E2035" t="s">
        <v>16</v>
      </c>
      <c r="F2035" t="s">
        <v>17</v>
      </c>
      <c r="G2035" s="14">
        <v>340000</v>
      </c>
      <c r="H2035" s="14">
        <v>325000</v>
      </c>
      <c r="I2035" t="s">
        <v>22</v>
      </c>
      <c r="J2035" t="s">
        <v>22</v>
      </c>
      <c r="K2035" t="s">
        <v>2566</v>
      </c>
      <c r="L2035" t="s">
        <v>2567</v>
      </c>
      <c r="M2035" t="s">
        <v>28</v>
      </c>
      <c r="N2035">
        <v>1</v>
      </c>
      <c r="O2035" t="s">
        <v>65</v>
      </c>
      <c r="P2035" t="s">
        <v>44</v>
      </c>
      <c r="Q2035" t="s">
        <v>30</v>
      </c>
      <c r="R2035" t="str">
        <f>VLOOKUP($O2035,'Mapa Oficinas'!$A$7:$C$46,2,FALSE)</f>
        <v>Interior - Mendoza</v>
      </c>
      <c r="S2035" t="str">
        <f>VLOOKUP($O2035,'Mapa Oficinas'!$A$7:$C$46,3,FALSE)</f>
        <v>Capital Mendoza</v>
      </c>
    </row>
    <row r="2036" spans="1:19" x14ac:dyDescent="0.2">
      <c r="A2036" s="1">
        <v>46001</v>
      </c>
      <c r="B2036" t="s">
        <v>2547</v>
      </c>
      <c r="D2036" t="s">
        <v>2548</v>
      </c>
      <c r="E2036" t="s">
        <v>16</v>
      </c>
      <c r="F2036" t="s">
        <v>82</v>
      </c>
      <c r="G2036" s="14">
        <v>45000</v>
      </c>
      <c r="H2036" s="14">
        <v>41200</v>
      </c>
      <c r="I2036" t="s">
        <v>22</v>
      </c>
      <c r="J2036" t="s">
        <v>22</v>
      </c>
      <c r="K2036" t="s">
        <v>2549</v>
      </c>
      <c r="L2036" t="s">
        <v>54</v>
      </c>
      <c r="M2036" t="s">
        <v>72</v>
      </c>
      <c r="N2036">
        <v>1</v>
      </c>
      <c r="O2036" t="s">
        <v>55</v>
      </c>
      <c r="P2036" t="s">
        <v>66</v>
      </c>
      <c r="Q2036" t="s">
        <v>30</v>
      </c>
      <c r="R2036" t="str">
        <f>VLOOKUP($O2036,'Mapa Oficinas'!$A$7:$C$46,2,FALSE)</f>
        <v>Interior - Santa Fe</v>
      </c>
      <c r="S2036" t="str">
        <f>VLOOKUP($O2036,'Mapa Oficinas'!$A$7:$C$46,3,FALSE)</f>
        <v>Capital Santa Fe</v>
      </c>
    </row>
    <row r="2037" spans="1:19" x14ac:dyDescent="0.2">
      <c r="A2037" s="1">
        <v>46001</v>
      </c>
      <c r="B2037">
        <v>10602</v>
      </c>
      <c r="D2037" t="s">
        <v>2553</v>
      </c>
      <c r="E2037" t="s">
        <v>16</v>
      </c>
      <c r="F2037" t="s">
        <v>17</v>
      </c>
      <c r="G2037" s="14">
        <v>45000</v>
      </c>
      <c r="H2037" s="14">
        <v>45000</v>
      </c>
      <c r="I2037" t="s">
        <v>22</v>
      </c>
      <c r="J2037" t="s">
        <v>22</v>
      </c>
      <c r="K2037" t="s">
        <v>2553</v>
      </c>
      <c r="L2037" t="s">
        <v>79</v>
      </c>
      <c r="M2037" t="s">
        <v>19</v>
      </c>
      <c r="N2037">
        <v>1</v>
      </c>
      <c r="O2037" t="s">
        <v>103</v>
      </c>
      <c r="P2037" t="s">
        <v>146</v>
      </c>
      <c r="Q2037" t="s">
        <v>30</v>
      </c>
      <c r="R2037" t="str">
        <f>VLOOKUP($O2037,'Mapa Oficinas'!$A$7:$C$46,2,FALSE)</f>
        <v>CABA</v>
      </c>
      <c r="S2037" t="str">
        <f>VLOOKUP($O2037,'Mapa Oficinas'!$A$7:$C$46,3,FALSE)</f>
        <v>Barrio Parque</v>
      </c>
    </row>
    <row r="2038" spans="1:19" x14ac:dyDescent="0.2">
      <c r="A2038" s="1">
        <v>46001</v>
      </c>
      <c r="B2038" t="s">
        <v>2541</v>
      </c>
      <c r="D2038" t="s">
        <v>2542</v>
      </c>
      <c r="E2038" t="s">
        <v>16</v>
      </c>
      <c r="F2038" t="s">
        <v>47</v>
      </c>
      <c r="G2038" s="14">
        <v>69900</v>
      </c>
      <c r="H2038" s="14">
        <v>50000</v>
      </c>
      <c r="I2038" t="s">
        <v>22</v>
      </c>
      <c r="J2038" t="s">
        <v>22</v>
      </c>
      <c r="K2038" t="s">
        <v>2542</v>
      </c>
      <c r="L2038" t="s">
        <v>2543</v>
      </c>
      <c r="M2038" t="s">
        <v>28</v>
      </c>
      <c r="N2038">
        <v>2</v>
      </c>
      <c r="O2038" t="s">
        <v>142</v>
      </c>
      <c r="P2038" t="s">
        <v>276</v>
      </c>
      <c r="Q2038" t="s">
        <v>30</v>
      </c>
      <c r="R2038" t="str">
        <f>VLOOKUP($O2038,'Mapa Oficinas'!$A$7:$C$46,2,FALSE)</f>
        <v>Zona Norte (GBA)</v>
      </c>
      <c r="S2038" t="str">
        <f>VLOOKUP($O2038,'Mapa Oficinas'!$A$7:$C$46,3,FALSE)</f>
        <v>Nordelta</v>
      </c>
    </row>
    <row r="2039" spans="1:19" x14ac:dyDescent="0.2">
      <c r="A2039" s="1">
        <v>46001</v>
      </c>
      <c r="B2039" t="s">
        <v>2538</v>
      </c>
      <c r="D2039" t="s">
        <v>2539</v>
      </c>
      <c r="E2039" t="s">
        <v>16</v>
      </c>
      <c r="F2039" t="s">
        <v>53</v>
      </c>
      <c r="G2039" s="14">
        <v>68000</v>
      </c>
      <c r="H2039" s="14">
        <v>64000</v>
      </c>
      <c r="I2039" t="s">
        <v>22</v>
      </c>
      <c r="J2039" t="s">
        <v>22</v>
      </c>
      <c r="K2039" t="s">
        <v>2540</v>
      </c>
      <c r="L2039" t="s">
        <v>1827</v>
      </c>
      <c r="M2039" t="s">
        <v>97</v>
      </c>
      <c r="N2039">
        <v>2</v>
      </c>
      <c r="O2039" t="s">
        <v>151</v>
      </c>
      <c r="P2039" t="s">
        <v>21</v>
      </c>
      <c r="Q2039" t="s">
        <v>30</v>
      </c>
      <c r="R2039" t="str">
        <f>VLOOKUP($O2039,'Mapa Oficinas'!$A$7:$C$46,2,FALSE)</f>
        <v>Interior - Neuquén</v>
      </c>
      <c r="S2039" t="str">
        <f>VLOOKUP($O2039,'Mapa Oficinas'!$A$7:$C$46,3,FALSE)</f>
        <v>Capital Neuquén</v>
      </c>
    </row>
    <row r="2040" spans="1:19" x14ac:dyDescent="0.2">
      <c r="A2040" s="1">
        <v>46001</v>
      </c>
      <c r="B2040" t="s">
        <v>2550</v>
      </c>
      <c r="D2040" t="s">
        <v>2551</v>
      </c>
      <c r="E2040" t="s">
        <v>16</v>
      </c>
      <c r="F2040" t="s">
        <v>17</v>
      </c>
      <c r="G2040" s="14">
        <v>185000</v>
      </c>
      <c r="H2040" s="14">
        <v>80000</v>
      </c>
      <c r="I2040" t="s">
        <v>22</v>
      </c>
      <c r="J2040" t="s">
        <v>22</v>
      </c>
      <c r="K2040" t="s">
        <v>2552</v>
      </c>
      <c r="L2040" t="s">
        <v>330</v>
      </c>
      <c r="M2040" t="s">
        <v>19</v>
      </c>
      <c r="N2040">
        <v>2</v>
      </c>
      <c r="O2040" t="s">
        <v>103</v>
      </c>
      <c r="P2040" t="s">
        <v>44</v>
      </c>
      <c r="Q2040" t="s">
        <v>30</v>
      </c>
      <c r="R2040" t="str">
        <f>VLOOKUP($O2040,'Mapa Oficinas'!$A$7:$C$46,2,FALSE)</f>
        <v>CABA</v>
      </c>
      <c r="S2040" t="str">
        <f>VLOOKUP($O2040,'Mapa Oficinas'!$A$7:$C$46,3,FALSE)</f>
        <v>Barrio Parque</v>
      </c>
    </row>
    <row r="2041" spans="1:19" x14ac:dyDescent="0.2">
      <c r="A2041" s="1">
        <v>46001</v>
      </c>
      <c r="B2041" t="s">
        <v>2535</v>
      </c>
      <c r="D2041" t="s">
        <v>2536</v>
      </c>
      <c r="E2041" t="s">
        <v>16</v>
      </c>
      <c r="F2041" t="s">
        <v>47</v>
      </c>
      <c r="G2041" s="14">
        <v>115000</v>
      </c>
      <c r="H2041" s="14">
        <v>100000</v>
      </c>
      <c r="I2041" t="s">
        <v>22</v>
      </c>
      <c r="J2041" t="s">
        <v>22</v>
      </c>
      <c r="K2041" t="s">
        <v>2537</v>
      </c>
      <c r="L2041" t="s">
        <v>2434</v>
      </c>
      <c r="M2041" t="s">
        <v>19</v>
      </c>
      <c r="N2041">
        <v>1</v>
      </c>
      <c r="O2041" t="s">
        <v>142</v>
      </c>
      <c r="P2041" t="s">
        <v>146</v>
      </c>
      <c r="Q2041" t="s">
        <v>30</v>
      </c>
      <c r="R2041" t="str">
        <f>VLOOKUP($O2041,'Mapa Oficinas'!$A$7:$C$46,2,FALSE)</f>
        <v>Zona Norte (GBA)</v>
      </c>
      <c r="S2041" t="str">
        <f>VLOOKUP($O2041,'Mapa Oficinas'!$A$7:$C$46,3,FALSE)</f>
        <v>Nordelta</v>
      </c>
    </row>
    <row r="2042" spans="1:19" x14ac:dyDescent="0.2">
      <c r="A2042" s="1">
        <v>46001</v>
      </c>
      <c r="B2042" t="s">
        <v>2544</v>
      </c>
      <c r="D2042" t="s">
        <v>2544</v>
      </c>
      <c r="E2042" t="s">
        <v>16</v>
      </c>
      <c r="F2042" t="s">
        <v>47</v>
      </c>
      <c r="G2042" s="14">
        <v>43200</v>
      </c>
      <c r="H2042" s="14">
        <v>105000</v>
      </c>
      <c r="I2042" t="s">
        <v>22</v>
      </c>
      <c r="J2042" t="s">
        <v>22</v>
      </c>
      <c r="K2042" t="s">
        <v>2545</v>
      </c>
      <c r="L2042" t="s">
        <v>282</v>
      </c>
      <c r="M2042" t="s">
        <v>97</v>
      </c>
      <c r="N2042">
        <v>1</v>
      </c>
      <c r="O2042" t="s">
        <v>142</v>
      </c>
      <c r="P2042" t="s">
        <v>146</v>
      </c>
      <c r="Q2042" t="s">
        <v>30</v>
      </c>
      <c r="R2042" t="str">
        <f>VLOOKUP($O2042,'Mapa Oficinas'!$A$7:$C$46,2,FALSE)</f>
        <v>Zona Norte (GBA)</v>
      </c>
      <c r="S2042" t="str">
        <f>VLOOKUP($O2042,'Mapa Oficinas'!$A$7:$C$46,3,FALSE)</f>
        <v>Nordelta</v>
      </c>
    </row>
    <row r="2043" spans="1:19" x14ac:dyDescent="0.2">
      <c r="A2043" s="1">
        <v>46001</v>
      </c>
      <c r="B2043" t="s">
        <v>2554</v>
      </c>
      <c r="D2043" t="s">
        <v>2555</v>
      </c>
      <c r="E2043" t="s">
        <v>16</v>
      </c>
      <c r="F2043" t="s">
        <v>17</v>
      </c>
      <c r="G2043" s="14">
        <v>159000</v>
      </c>
      <c r="H2043" s="14">
        <v>145000</v>
      </c>
      <c r="I2043" t="s">
        <v>22</v>
      </c>
      <c r="J2043" t="s">
        <v>22</v>
      </c>
      <c r="K2043" t="s">
        <v>2556</v>
      </c>
      <c r="L2043" t="s">
        <v>1077</v>
      </c>
      <c r="M2043" t="s">
        <v>19</v>
      </c>
      <c r="N2043">
        <v>2</v>
      </c>
      <c r="O2043" t="s">
        <v>103</v>
      </c>
      <c r="P2043" t="s">
        <v>21</v>
      </c>
      <c r="Q2043" t="s">
        <v>30</v>
      </c>
      <c r="R2043" t="str">
        <f>VLOOKUP($O2043,'Mapa Oficinas'!$A$7:$C$46,2,FALSE)</f>
        <v>CABA</v>
      </c>
      <c r="S2043" t="str">
        <f>VLOOKUP($O2043,'Mapa Oficinas'!$A$7:$C$46,3,FALSE)</f>
        <v>Barrio Parque</v>
      </c>
    </row>
    <row r="2044" spans="1:19" x14ac:dyDescent="0.2">
      <c r="A2044" s="1">
        <v>46002</v>
      </c>
      <c r="B2044" t="s">
        <v>2526</v>
      </c>
      <c r="D2044" t="s">
        <v>2527</v>
      </c>
      <c r="E2044" t="s">
        <v>16</v>
      </c>
      <c r="F2044" t="s">
        <v>17</v>
      </c>
      <c r="G2044" s="14">
        <v>45000</v>
      </c>
      <c r="H2044" s="14">
        <v>43000</v>
      </c>
      <c r="I2044" t="s">
        <v>22</v>
      </c>
      <c r="J2044" t="s">
        <v>22</v>
      </c>
      <c r="K2044" t="s">
        <v>2528</v>
      </c>
      <c r="L2044" t="s">
        <v>438</v>
      </c>
      <c r="M2044" t="s">
        <v>19</v>
      </c>
      <c r="N2044">
        <v>2</v>
      </c>
      <c r="O2044" t="s">
        <v>78</v>
      </c>
      <c r="P2044" t="s">
        <v>21</v>
      </c>
      <c r="Q2044" t="s">
        <v>30</v>
      </c>
      <c r="R2044" t="str">
        <f>VLOOKUP($O2044,'Mapa Oficinas'!$A$7:$C$46,2,FALSE)</f>
        <v>CABA</v>
      </c>
      <c r="S2044" t="str">
        <f>VLOOKUP($O2044,'Mapa Oficinas'!$A$7:$C$46,3,FALSE)</f>
        <v>Palermo</v>
      </c>
    </row>
    <row r="2045" spans="1:19" x14ac:dyDescent="0.2">
      <c r="A2045" s="1">
        <v>46002</v>
      </c>
      <c r="B2045" t="s">
        <v>2522</v>
      </c>
      <c r="D2045" t="s">
        <v>2523</v>
      </c>
      <c r="E2045" t="s">
        <v>16</v>
      </c>
      <c r="F2045" t="s">
        <v>17</v>
      </c>
      <c r="G2045" s="14">
        <v>50000</v>
      </c>
      <c r="H2045" s="14">
        <v>48000</v>
      </c>
      <c r="I2045" t="s">
        <v>22</v>
      </c>
      <c r="J2045" t="s">
        <v>22</v>
      </c>
      <c r="K2045" t="s">
        <v>2524</v>
      </c>
      <c r="L2045" t="s">
        <v>901</v>
      </c>
      <c r="M2045" t="s">
        <v>19</v>
      </c>
      <c r="N2045">
        <v>2</v>
      </c>
      <c r="O2045" t="s">
        <v>201</v>
      </c>
      <c r="P2045" t="s">
        <v>21</v>
      </c>
      <c r="Q2045" t="s">
        <v>30</v>
      </c>
      <c r="R2045" t="str">
        <f>VLOOKUP($O2045,'Mapa Oficinas'!$A$7:$C$46,2,FALSE)</f>
        <v>CABA</v>
      </c>
      <c r="S2045" t="str">
        <f>VLOOKUP($O2045,'Mapa Oficinas'!$A$7:$C$46,3,FALSE)</f>
        <v>Recoleta</v>
      </c>
    </row>
    <row r="2046" spans="1:19" x14ac:dyDescent="0.2">
      <c r="A2046" s="1">
        <v>46002</v>
      </c>
      <c r="B2046" t="s">
        <v>2514</v>
      </c>
      <c r="D2046" t="s">
        <v>2515</v>
      </c>
      <c r="E2046" t="s">
        <v>16</v>
      </c>
      <c r="F2046" t="s">
        <v>17</v>
      </c>
      <c r="G2046" s="14">
        <v>61000</v>
      </c>
      <c r="H2046" s="14">
        <v>52000</v>
      </c>
      <c r="I2046" t="s">
        <v>22</v>
      </c>
      <c r="J2046" t="s">
        <v>22</v>
      </c>
      <c r="K2046" t="s">
        <v>2516</v>
      </c>
      <c r="L2046" t="s">
        <v>2517</v>
      </c>
      <c r="M2046" t="s">
        <v>300</v>
      </c>
      <c r="N2046">
        <v>2</v>
      </c>
      <c r="O2046" t="s">
        <v>156</v>
      </c>
      <c r="P2046" t="s">
        <v>44</v>
      </c>
      <c r="Q2046" t="s">
        <v>30</v>
      </c>
      <c r="R2046" t="str">
        <f>VLOOKUP($O2046,'Mapa Oficinas'!$A$7:$C$46,2,FALSE)</f>
        <v>Zona Norte (GBA)</v>
      </c>
      <c r="S2046" t="str">
        <f>VLOOKUP($O2046,'Mapa Oficinas'!$A$7:$C$46,3,FALSE)</f>
        <v>Pilar</v>
      </c>
    </row>
    <row r="2047" spans="1:19" x14ac:dyDescent="0.2">
      <c r="A2047" s="1">
        <v>46002</v>
      </c>
      <c r="B2047" t="s">
        <v>2511</v>
      </c>
      <c r="D2047" t="s">
        <v>2512</v>
      </c>
      <c r="E2047" t="s">
        <v>16</v>
      </c>
      <c r="F2047" t="s">
        <v>58</v>
      </c>
      <c r="G2047" s="14">
        <v>75000</v>
      </c>
      <c r="H2047" s="14">
        <v>72000</v>
      </c>
      <c r="I2047" t="s">
        <v>22</v>
      </c>
      <c r="J2047" t="s">
        <v>22</v>
      </c>
      <c r="K2047" t="s">
        <v>2513</v>
      </c>
      <c r="L2047" t="s">
        <v>2412</v>
      </c>
      <c r="M2047" t="s">
        <v>72</v>
      </c>
      <c r="N2047">
        <v>2</v>
      </c>
      <c r="O2047" t="s">
        <v>50</v>
      </c>
      <c r="P2047" t="s">
        <v>41</v>
      </c>
      <c r="Q2047" t="s">
        <v>30</v>
      </c>
      <c r="R2047" t="str">
        <f>VLOOKUP($O2047,'Mapa Oficinas'!$A$7:$C$46,2,FALSE)</f>
        <v>CABA</v>
      </c>
      <c r="S2047" t="str">
        <f>VLOOKUP($O2047,'Mapa Oficinas'!$A$7:$C$46,3,FALSE)</f>
        <v>Villa Urquiza</v>
      </c>
    </row>
    <row r="2048" spans="1:19" x14ac:dyDescent="0.2">
      <c r="A2048" s="1">
        <v>46002</v>
      </c>
      <c r="B2048" t="s">
        <v>2532</v>
      </c>
      <c r="D2048" t="s">
        <v>2533</v>
      </c>
      <c r="E2048" t="s">
        <v>16</v>
      </c>
      <c r="F2048" t="s">
        <v>82</v>
      </c>
      <c r="G2048" s="14">
        <v>85000</v>
      </c>
      <c r="H2048" s="14">
        <v>82000</v>
      </c>
      <c r="I2048" t="s">
        <v>22</v>
      </c>
      <c r="J2048" t="s">
        <v>22</v>
      </c>
      <c r="K2048" t="s">
        <v>2534</v>
      </c>
      <c r="L2048" t="s">
        <v>54</v>
      </c>
      <c r="M2048" t="s">
        <v>19</v>
      </c>
      <c r="N2048">
        <v>1</v>
      </c>
      <c r="O2048" t="s">
        <v>55</v>
      </c>
      <c r="P2048" t="s">
        <v>131</v>
      </c>
      <c r="Q2048" t="s">
        <v>30</v>
      </c>
      <c r="R2048" t="str">
        <f>VLOOKUP($O2048,'Mapa Oficinas'!$A$7:$C$46,2,FALSE)</f>
        <v>Interior - Santa Fe</v>
      </c>
      <c r="S2048" t="str">
        <f>VLOOKUP($O2048,'Mapa Oficinas'!$A$7:$C$46,3,FALSE)</f>
        <v>Capital Santa Fe</v>
      </c>
    </row>
    <row r="2049" spans="1:19" x14ac:dyDescent="0.2">
      <c r="A2049" s="1">
        <v>46002</v>
      </c>
      <c r="B2049">
        <v>10616</v>
      </c>
      <c r="D2049" t="s">
        <v>2529</v>
      </c>
      <c r="E2049" t="s">
        <v>16</v>
      </c>
      <c r="F2049" t="s">
        <v>17</v>
      </c>
      <c r="G2049" s="14">
        <v>160000</v>
      </c>
      <c r="H2049" s="14">
        <v>160000</v>
      </c>
      <c r="I2049" t="s">
        <v>22</v>
      </c>
      <c r="J2049" t="s">
        <v>22</v>
      </c>
      <c r="K2049" t="s">
        <v>2529</v>
      </c>
      <c r="L2049" t="s">
        <v>282</v>
      </c>
      <c r="M2049" t="s">
        <v>19</v>
      </c>
      <c r="N2049">
        <v>1</v>
      </c>
      <c r="O2049" t="s">
        <v>103</v>
      </c>
      <c r="P2049" t="s">
        <v>146</v>
      </c>
      <c r="Q2049" t="s">
        <v>30</v>
      </c>
      <c r="R2049" t="str">
        <f>VLOOKUP($O2049,'Mapa Oficinas'!$A$7:$C$46,2,FALSE)</f>
        <v>CABA</v>
      </c>
      <c r="S2049" t="str">
        <f>VLOOKUP($O2049,'Mapa Oficinas'!$A$7:$C$46,3,FALSE)</f>
        <v>Barrio Parque</v>
      </c>
    </row>
    <row r="2050" spans="1:19" x14ac:dyDescent="0.2">
      <c r="A2050" s="1">
        <v>46002</v>
      </c>
      <c r="B2050">
        <v>10634</v>
      </c>
      <c r="D2050" t="s">
        <v>2530</v>
      </c>
      <c r="E2050" t="s">
        <v>16</v>
      </c>
      <c r="F2050" t="s">
        <v>17</v>
      </c>
      <c r="G2050" s="14">
        <v>280000</v>
      </c>
      <c r="H2050" s="14">
        <v>280000</v>
      </c>
      <c r="I2050" t="s">
        <v>22</v>
      </c>
      <c r="J2050" t="s">
        <v>22</v>
      </c>
      <c r="K2050" t="s">
        <v>2530</v>
      </c>
      <c r="L2050" t="s">
        <v>79</v>
      </c>
      <c r="M2050" t="s">
        <v>19</v>
      </c>
      <c r="N2050">
        <v>1</v>
      </c>
      <c r="O2050" t="s">
        <v>103</v>
      </c>
      <c r="P2050" t="s">
        <v>146</v>
      </c>
      <c r="Q2050" t="s">
        <v>30</v>
      </c>
      <c r="R2050" t="str">
        <f>VLOOKUP($O2050,'Mapa Oficinas'!$A$7:$C$46,2,FALSE)</f>
        <v>CABA</v>
      </c>
      <c r="S2050" t="str">
        <f>VLOOKUP($O2050,'Mapa Oficinas'!$A$7:$C$46,3,FALSE)</f>
        <v>Barrio Parque</v>
      </c>
    </row>
    <row r="2051" spans="1:19" x14ac:dyDescent="0.2">
      <c r="A2051" s="1">
        <v>46002</v>
      </c>
      <c r="B2051">
        <v>10558</v>
      </c>
      <c r="D2051" t="s">
        <v>2531</v>
      </c>
      <c r="E2051" t="s">
        <v>16</v>
      </c>
      <c r="F2051" t="s">
        <v>17</v>
      </c>
      <c r="G2051" s="14">
        <v>310000</v>
      </c>
      <c r="H2051" s="14">
        <v>310000</v>
      </c>
      <c r="I2051" t="s">
        <v>22</v>
      </c>
      <c r="J2051" t="s">
        <v>22</v>
      </c>
      <c r="K2051" t="s">
        <v>2531</v>
      </c>
      <c r="L2051" t="s">
        <v>191</v>
      </c>
      <c r="M2051" t="s">
        <v>19</v>
      </c>
      <c r="N2051">
        <v>1</v>
      </c>
      <c r="O2051" t="s">
        <v>103</v>
      </c>
      <c r="P2051" t="s">
        <v>146</v>
      </c>
      <c r="Q2051" t="s">
        <v>30</v>
      </c>
      <c r="R2051" t="str">
        <f>VLOOKUP($O2051,'Mapa Oficinas'!$A$7:$C$46,2,FALSE)</f>
        <v>CABA</v>
      </c>
      <c r="S2051" t="str">
        <f>VLOOKUP($O2051,'Mapa Oficinas'!$A$7:$C$46,3,FALSE)</f>
        <v>Barrio Parque</v>
      </c>
    </row>
    <row r="2052" spans="1:19" x14ac:dyDescent="0.2">
      <c r="A2052" s="1">
        <v>46003</v>
      </c>
      <c r="B2052" t="s">
        <v>2491</v>
      </c>
      <c r="D2052" t="s">
        <v>2492</v>
      </c>
      <c r="E2052" t="s">
        <v>16</v>
      </c>
      <c r="F2052" t="s">
        <v>82</v>
      </c>
      <c r="G2052" s="14">
        <v>42500</v>
      </c>
      <c r="H2052" s="14">
        <v>39500</v>
      </c>
      <c r="I2052" t="s">
        <v>22</v>
      </c>
      <c r="J2052" t="s">
        <v>22</v>
      </c>
      <c r="K2052" t="s">
        <v>2493</v>
      </c>
      <c r="L2052" t="s">
        <v>84</v>
      </c>
      <c r="M2052" t="s">
        <v>19</v>
      </c>
      <c r="N2052">
        <v>2</v>
      </c>
      <c r="O2052" t="s">
        <v>85</v>
      </c>
      <c r="P2052" t="s">
        <v>41</v>
      </c>
      <c r="Q2052" t="s">
        <v>30</v>
      </c>
      <c r="R2052" t="str">
        <f>VLOOKUP($O2052,'Mapa Oficinas'!$A$7:$C$46,2,FALSE)</f>
        <v>Interior - Jujuy</v>
      </c>
      <c r="S2052" t="str">
        <f>VLOOKUP($O2052,'Mapa Oficinas'!$A$7:$C$46,3,FALSE)</f>
        <v>Capital Jujuy</v>
      </c>
    </row>
    <row r="2053" spans="1:19" x14ac:dyDescent="0.2">
      <c r="A2053" s="1">
        <v>46003</v>
      </c>
      <c r="B2053" t="s">
        <v>2468</v>
      </c>
      <c r="D2053" t="s">
        <v>2469</v>
      </c>
      <c r="E2053" t="s">
        <v>16</v>
      </c>
      <c r="F2053" t="s">
        <v>47</v>
      </c>
      <c r="G2053" s="14">
        <v>52000</v>
      </c>
      <c r="H2053" s="14">
        <v>42000</v>
      </c>
      <c r="I2053" t="s">
        <v>22</v>
      </c>
      <c r="J2053" t="s">
        <v>22</v>
      </c>
      <c r="K2053" t="s">
        <v>2470</v>
      </c>
      <c r="L2053" t="s">
        <v>141</v>
      </c>
      <c r="M2053" t="s">
        <v>13</v>
      </c>
      <c r="N2053">
        <v>2</v>
      </c>
      <c r="O2053" t="s">
        <v>50</v>
      </c>
      <c r="P2053" t="s">
        <v>21</v>
      </c>
      <c r="Q2053" t="s">
        <v>30</v>
      </c>
      <c r="R2053" t="str">
        <f>VLOOKUP($O2053,'Mapa Oficinas'!$A$7:$C$46,2,FALSE)</f>
        <v>CABA</v>
      </c>
      <c r="S2053" t="str">
        <f>VLOOKUP($O2053,'Mapa Oficinas'!$A$7:$C$46,3,FALSE)</f>
        <v>Villa Urquiza</v>
      </c>
    </row>
    <row r="2054" spans="1:19" x14ac:dyDescent="0.2">
      <c r="A2054" s="1">
        <v>46003</v>
      </c>
      <c r="B2054" t="s">
        <v>2479</v>
      </c>
      <c r="D2054" t="s">
        <v>2480</v>
      </c>
      <c r="E2054" t="s">
        <v>16</v>
      </c>
      <c r="F2054" t="s">
        <v>53</v>
      </c>
      <c r="G2054" s="14">
        <v>55000</v>
      </c>
      <c r="H2054" s="14">
        <v>54000</v>
      </c>
      <c r="I2054" t="s">
        <v>22</v>
      </c>
      <c r="J2054" t="s">
        <v>22</v>
      </c>
      <c r="K2054" t="s">
        <v>2481</v>
      </c>
      <c r="L2054" t="s">
        <v>2482</v>
      </c>
      <c r="M2054" t="s">
        <v>28</v>
      </c>
      <c r="N2054">
        <v>2</v>
      </c>
      <c r="O2054" t="s">
        <v>65</v>
      </c>
      <c r="P2054" t="s">
        <v>21</v>
      </c>
      <c r="Q2054" t="s">
        <v>30</v>
      </c>
      <c r="R2054" t="str">
        <f>VLOOKUP($O2054,'Mapa Oficinas'!$A$7:$C$46,2,FALSE)</f>
        <v>Interior - Mendoza</v>
      </c>
      <c r="S2054" t="str">
        <f>VLOOKUP($O2054,'Mapa Oficinas'!$A$7:$C$46,3,FALSE)</f>
        <v>Capital Mendoza</v>
      </c>
    </row>
    <row r="2055" spans="1:19" x14ac:dyDescent="0.2">
      <c r="A2055" s="1">
        <v>46003</v>
      </c>
      <c r="B2055">
        <v>12122025</v>
      </c>
      <c r="D2055" t="s">
        <v>2483</v>
      </c>
      <c r="E2055" t="s">
        <v>16</v>
      </c>
      <c r="F2055" t="s">
        <v>134</v>
      </c>
      <c r="G2055" s="14">
        <v>60000</v>
      </c>
      <c r="H2055" s="14">
        <v>60000</v>
      </c>
      <c r="I2055" t="s">
        <v>22</v>
      </c>
      <c r="J2055" t="s">
        <v>22</v>
      </c>
      <c r="L2055" t="s">
        <v>129</v>
      </c>
      <c r="M2055" t="s">
        <v>19</v>
      </c>
      <c r="N2055">
        <v>1</v>
      </c>
      <c r="O2055" t="s">
        <v>130</v>
      </c>
      <c r="P2055" t="s">
        <v>131</v>
      </c>
      <c r="Q2055" t="s">
        <v>30</v>
      </c>
      <c r="R2055" t="str">
        <f>VLOOKUP($O2055,'Mapa Oficinas'!$A$7:$C$46,2,FALSE)</f>
        <v>Interior - Río Negro</v>
      </c>
      <c r="S2055" t="str">
        <f>VLOOKUP($O2055,'Mapa Oficinas'!$A$7:$C$46,3,FALSE)</f>
        <v>Bariloche</v>
      </c>
    </row>
    <row r="2056" spans="1:19" x14ac:dyDescent="0.2">
      <c r="A2056" s="1">
        <v>46003</v>
      </c>
      <c r="B2056" t="s">
        <v>2474</v>
      </c>
      <c r="D2056" t="s">
        <v>2475</v>
      </c>
      <c r="E2056" t="s">
        <v>16</v>
      </c>
      <c r="F2056" t="s">
        <v>82</v>
      </c>
      <c r="G2056" s="14">
        <v>60000</v>
      </c>
      <c r="H2056" s="14">
        <v>60000</v>
      </c>
      <c r="I2056" t="s">
        <v>22</v>
      </c>
      <c r="J2056" t="s">
        <v>22</v>
      </c>
      <c r="L2056" t="s">
        <v>419</v>
      </c>
      <c r="M2056" t="s">
        <v>19</v>
      </c>
      <c r="N2056">
        <v>1</v>
      </c>
      <c r="O2056" t="s">
        <v>65</v>
      </c>
      <c r="P2056" t="s">
        <v>131</v>
      </c>
      <c r="Q2056" t="s">
        <v>30</v>
      </c>
      <c r="R2056" t="str">
        <f>VLOOKUP($O2056,'Mapa Oficinas'!$A$7:$C$46,2,FALSE)</f>
        <v>Interior - Mendoza</v>
      </c>
      <c r="S2056" t="str">
        <f>VLOOKUP($O2056,'Mapa Oficinas'!$A$7:$C$46,3,FALSE)</f>
        <v>Capital Mendoza</v>
      </c>
    </row>
    <row r="2057" spans="1:19" x14ac:dyDescent="0.2">
      <c r="A2057" s="1">
        <v>46003</v>
      </c>
      <c r="B2057" t="s">
        <v>2508</v>
      </c>
      <c r="D2057" t="s">
        <v>2509</v>
      </c>
      <c r="E2057" t="s">
        <v>16</v>
      </c>
      <c r="F2057" t="s">
        <v>17</v>
      </c>
      <c r="G2057" s="14">
        <v>65000</v>
      </c>
      <c r="H2057" s="14">
        <v>65000</v>
      </c>
      <c r="I2057" t="s">
        <v>22</v>
      </c>
      <c r="J2057" t="s">
        <v>22</v>
      </c>
      <c r="K2057" t="s">
        <v>2510</v>
      </c>
      <c r="L2057" t="s">
        <v>967</v>
      </c>
      <c r="M2057" t="s">
        <v>72</v>
      </c>
      <c r="N2057">
        <v>2</v>
      </c>
      <c r="O2057" t="s">
        <v>116</v>
      </c>
      <c r="P2057" t="s">
        <v>21</v>
      </c>
      <c r="Q2057" t="s">
        <v>30</v>
      </c>
      <c r="R2057" t="str">
        <f>VLOOKUP($O2057,'Mapa Oficinas'!$A$7:$C$46,2,FALSE)</f>
        <v>CABA</v>
      </c>
      <c r="S2057" t="str">
        <f>VLOOKUP($O2057,'Mapa Oficinas'!$A$7:$C$46,3,FALSE)</f>
        <v>Puerto Madero</v>
      </c>
    </row>
    <row r="2058" spans="1:19" x14ac:dyDescent="0.2">
      <c r="A2058" s="1">
        <v>46003</v>
      </c>
      <c r="B2058" t="s">
        <v>2471</v>
      </c>
      <c r="D2058" t="s">
        <v>2472</v>
      </c>
      <c r="E2058" t="s">
        <v>16</v>
      </c>
      <c r="F2058" t="s">
        <v>17</v>
      </c>
      <c r="G2058" s="14">
        <v>78500</v>
      </c>
      <c r="H2058" s="14">
        <v>74000</v>
      </c>
      <c r="I2058" t="s">
        <v>22</v>
      </c>
      <c r="J2058" t="s">
        <v>22</v>
      </c>
      <c r="K2058" t="s">
        <v>2473</v>
      </c>
      <c r="L2058" t="s">
        <v>170</v>
      </c>
      <c r="M2058" t="s">
        <v>19</v>
      </c>
      <c r="N2058">
        <v>2</v>
      </c>
      <c r="O2058" t="s">
        <v>171</v>
      </c>
      <c r="P2058" t="s">
        <v>21</v>
      </c>
      <c r="Q2058" t="s">
        <v>30</v>
      </c>
      <c r="R2058" t="str">
        <f>VLOOKUP($O2058,'Mapa Oficinas'!$A$7:$C$46,2,FALSE)</f>
        <v>Zona Sur (GBA)</v>
      </c>
      <c r="S2058" t="str">
        <f>VLOOKUP($O2058,'Mapa Oficinas'!$A$7:$C$46,3,FALSE)</f>
        <v>La Plata</v>
      </c>
    </row>
    <row r="2059" spans="1:19" x14ac:dyDescent="0.2">
      <c r="A2059" s="1">
        <v>46003</v>
      </c>
      <c r="B2059" t="s">
        <v>2494</v>
      </c>
      <c r="D2059" t="s">
        <v>2495</v>
      </c>
      <c r="E2059" t="s">
        <v>16</v>
      </c>
      <c r="F2059" t="s">
        <v>17</v>
      </c>
      <c r="G2059" s="14">
        <v>89000</v>
      </c>
      <c r="H2059" s="14">
        <v>85000</v>
      </c>
      <c r="I2059" t="s">
        <v>22</v>
      </c>
      <c r="J2059" t="s">
        <v>22</v>
      </c>
      <c r="K2059" t="s">
        <v>2496</v>
      </c>
      <c r="L2059" t="s">
        <v>79</v>
      </c>
      <c r="M2059" t="s">
        <v>19</v>
      </c>
      <c r="N2059">
        <v>2</v>
      </c>
      <c r="O2059" t="s">
        <v>206</v>
      </c>
      <c r="P2059" t="s">
        <v>276</v>
      </c>
      <c r="Q2059" t="s">
        <v>30</v>
      </c>
      <c r="R2059" t="str">
        <f>VLOOKUP($O2059,'Mapa Oficinas'!$A$7:$C$46,2,FALSE)</f>
        <v>CABA</v>
      </c>
      <c r="S2059" t="str">
        <f>VLOOKUP($O2059,'Mapa Oficinas'!$A$7:$C$46,3,FALSE)</f>
        <v>Belgrano</v>
      </c>
    </row>
    <row r="2060" spans="1:19" x14ac:dyDescent="0.2">
      <c r="A2060" s="1">
        <v>46003</v>
      </c>
      <c r="B2060">
        <v>10638</v>
      </c>
      <c r="D2060" t="s">
        <v>2504</v>
      </c>
      <c r="E2060" t="s">
        <v>16</v>
      </c>
      <c r="F2060" t="s">
        <v>17</v>
      </c>
      <c r="G2060" s="14">
        <v>115000</v>
      </c>
      <c r="H2060" s="14">
        <v>115000</v>
      </c>
      <c r="I2060" t="s">
        <v>22</v>
      </c>
      <c r="J2060" t="s">
        <v>22</v>
      </c>
      <c r="K2060" t="s">
        <v>2504</v>
      </c>
      <c r="L2060" t="s">
        <v>79</v>
      </c>
      <c r="M2060" t="s">
        <v>19</v>
      </c>
      <c r="N2060">
        <v>1</v>
      </c>
      <c r="O2060" t="s">
        <v>103</v>
      </c>
      <c r="P2060" t="s">
        <v>146</v>
      </c>
      <c r="Q2060" t="s">
        <v>30</v>
      </c>
      <c r="R2060" t="str">
        <f>VLOOKUP($O2060,'Mapa Oficinas'!$A$7:$C$46,2,FALSE)</f>
        <v>CABA</v>
      </c>
      <c r="S2060" t="str">
        <f>VLOOKUP($O2060,'Mapa Oficinas'!$A$7:$C$46,3,FALSE)</f>
        <v>Barrio Parque</v>
      </c>
    </row>
    <row r="2061" spans="1:19" x14ac:dyDescent="0.2">
      <c r="A2061" s="1">
        <v>46003</v>
      </c>
      <c r="B2061">
        <v>188</v>
      </c>
      <c r="D2061" t="s">
        <v>2502</v>
      </c>
      <c r="E2061" t="s">
        <v>16</v>
      </c>
      <c r="F2061" t="s">
        <v>17</v>
      </c>
      <c r="G2061" s="14">
        <v>160000</v>
      </c>
      <c r="H2061" s="14">
        <v>130000</v>
      </c>
      <c r="I2061" t="s">
        <v>22</v>
      </c>
      <c r="J2061" t="s">
        <v>22</v>
      </c>
      <c r="K2061" t="s">
        <v>2502</v>
      </c>
      <c r="L2061" t="s">
        <v>217</v>
      </c>
      <c r="M2061" t="s">
        <v>19</v>
      </c>
      <c r="N2061">
        <v>1</v>
      </c>
      <c r="O2061" t="s">
        <v>20</v>
      </c>
      <c r="P2061" t="s">
        <v>146</v>
      </c>
      <c r="Q2061" t="s">
        <v>30</v>
      </c>
      <c r="R2061" t="str">
        <f>VLOOKUP($O2061,'Mapa Oficinas'!$A$7:$C$46,2,FALSE)</f>
        <v>CABA</v>
      </c>
      <c r="S2061" t="str">
        <f>VLOOKUP($O2061,'Mapa Oficinas'!$A$7:$C$46,3,FALSE)</f>
        <v>Palermo</v>
      </c>
    </row>
    <row r="2062" spans="1:19" x14ac:dyDescent="0.2">
      <c r="A2062" s="1">
        <v>46003</v>
      </c>
      <c r="D2062" t="s">
        <v>2500</v>
      </c>
      <c r="E2062" t="s">
        <v>16</v>
      </c>
      <c r="F2062" t="s">
        <v>243</v>
      </c>
      <c r="G2062" s="14">
        <v>134000</v>
      </c>
      <c r="H2062" s="14">
        <v>134000</v>
      </c>
      <c r="I2062" t="s">
        <v>22</v>
      </c>
      <c r="J2062" t="s">
        <v>22</v>
      </c>
      <c r="K2062" t="s">
        <v>2501</v>
      </c>
      <c r="L2062" t="s">
        <v>426</v>
      </c>
      <c r="M2062" t="s">
        <v>19</v>
      </c>
      <c r="N2062">
        <v>1</v>
      </c>
      <c r="O2062" t="s">
        <v>246</v>
      </c>
      <c r="P2062" t="s">
        <v>131</v>
      </c>
      <c r="Q2062" t="s">
        <v>30</v>
      </c>
      <c r="R2062" t="str">
        <f>VLOOKUP($O2062,'Mapa Oficinas'!$A$7:$C$46,2,FALSE)</f>
        <v>Interior - Salta</v>
      </c>
      <c r="S2062" t="str">
        <f>VLOOKUP($O2062,'Mapa Oficinas'!$A$7:$C$46,3,FALSE)</f>
        <v>San Lorenzo Chico</v>
      </c>
    </row>
    <row r="2063" spans="1:19" x14ac:dyDescent="0.2">
      <c r="A2063" s="1">
        <v>46003</v>
      </c>
      <c r="B2063" t="s">
        <v>2476</v>
      </c>
      <c r="D2063" t="s">
        <v>2477</v>
      </c>
      <c r="E2063" t="s">
        <v>16</v>
      </c>
      <c r="F2063" t="s">
        <v>17</v>
      </c>
      <c r="G2063" s="14">
        <v>150000</v>
      </c>
      <c r="H2063" s="14">
        <v>135000</v>
      </c>
      <c r="I2063" t="s">
        <v>22</v>
      </c>
      <c r="J2063" t="s">
        <v>22</v>
      </c>
      <c r="K2063" t="s">
        <v>2478</v>
      </c>
      <c r="L2063" t="s">
        <v>181</v>
      </c>
      <c r="M2063" t="s">
        <v>13</v>
      </c>
      <c r="N2063">
        <v>1</v>
      </c>
      <c r="O2063" t="s">
        <v>65</v>
      </c>
      <c r="P2063" t="s">
        <v>66</v>
      </c>
      <c r="Q2063" t="s">
        <v>30</v>
      </c>
      <c r="R2063" t="str">
        <f>VLOOKUP($O2063,'Mapa Oficinas'!$A$7:$C$46,2,FALSE)</f>
        <v>Interior - Mendoza</v>
      </c>
      <c r="S2063" t="str">
        <f>VLOOKUP($O2063,'Mapa Oficinas'!$A$7:$C$46,3,FALSE)</f>
        <v>Capital Mendoza</v>
      </c>
    </row>
    <row r="2064" spans="1:19" x14ac:dyDescent="0.2">
      <c r="A2064" s="1">
        <v>46003</v>
      </c>
      <c r="B2064" t="s">
        <v>2497</v>
      </c>
      <c r="D2064" t="s">
        <v>2498</v>
      </c>
      <c r="E2064" t="s">
        <v>16</v>
      </c>
      <c r="F2064" t="s">
        <v>17</v>
      </c>
      <c r="G2064" s="14">
        <v>150000</v>
      </c>
      <c r="H2064" s="14">
        <v>140000</v>
      </c>
      <c r="I2064" t="s">
        <v>22</v>
      </c>
      <c r="J2064" t="s">
        <v>22</v>
      </c>
      <c r="K2064" t="s">
        <v>2499</v>
      </c>
      <c r="L2064" t="s">
        <v>277</v>
      </c>
      <c r="M2064" t="s">
        <v>19</v>
      </c>
      <c r="N2064">
        <v>1</v>
      </c>
      <c r="O2064" t="s">
        <v>206</v>
      </c>
      <c r="P2064" t="s">
        <v>146</v>
      </c>
      <c r="Q2064" t="s">
        <v>30</v>
      </c>
      <c r="R2064" t="str">
        <f>VLOOKUP($O2064,'Mapa Oficinas'!$A$7:$C$46,2,FALSE)</f>
        <v>CABA</v>
      </c>
      <c r="S2064" t="str">
        <f>VLOOKUP($O2064,'Mapa Oficinas'!$A$7:$C$46,3,FALSE)</f>
        <v>Belgrano</v>
      </c>
    </row>
    <row r="2065" spans="1:19" x14ac:dyDescent="0.2">
      <c r="A2065" s="1">
        <v>46003</v>
      </c>
      <c r="B2065" t="s">
        <v>2484</v>
      </c>
      <c r="D2065" t="s">
        <v>2485</v>
      </c>
      <c r="E2065" t="s">
        <v>16</v>
      </c>
      <c r="F2065" t="s">
        <v>134</v>
      </c>
      <c r="G2065" s="14">
        <v>220000</v>
      </c>
      <c r="H2065" s="14">
        <v>170000</v>
      </c>
      <c r="I2065" t="s">
        <v>22</v>
      </c>
      <c r="J2065" t="s">
        <v>22</v>
      </c>
      <c r="K2065" t="s">
        <v>2486</v>
      </c>
      <c r="L2065" t="s">
        <v>2487</v>
      </c>
      <c r="M2065" t="s">
        <v>28</v>
      </c>
      <c r="N2065">
        <v>2</v>
      </c>
      <c r="O2065" t="s">
        <v>130</v>
      </c>
      <c r="P2065" t="s">
        <v>21</v>
      </c>
      <c r="Q2065" t="s">
        <v>30</v>
      </c>
      <c r="R2065" t="str">
        <f>VLOOKUP($O2065,'Mapa Oficinas'!$A$7:$C$46,2,FALSE)</f>
        <v>Interior - Río Negro</v>
      </c>
      <c r="S2065" t="str">
        <f>VLOOKUP($O2065,'Mapa Oficinas'!$A$7:$C$46,3,FALSE)</f>
        <v>Bariloche</v>
      </c>
    </row>
    <row r="2066" spans="1:19" x14ac:dyDescent="0.2">
      <c r="A2066" s="1">
        <v>46003</v>
      </c>
      <c r="B2066" t="s">
        <v>2488</v>
      </c>
      <c r="D2066" t="s">
        <v>2489</v>
      </c>
      <c r="E2066" t="s">
        <v>16</v>
      </c>
      <c r="F2066" t="s">
        <v>17</v>
      </c>
      <c r="G2066" s="14">
        <v>245000</v>
      </c>
      <c r="H2066" s="14">
        <v>235000</v>
      </c>
      <c r="I2066" t="s">
        <v>22</v>
      </c>
      <c r="J2066" t="s">
        <v>22</v>
      </c>
      <c r="K2066" t="s">
        <v>2490</v>
      </c>
      <c r="L2066" t="s">
        <v>277</v>
      </c>
      <c r="M2066" t="s">
        <v>19</v>
      </c>
      <c r="N2066">
        <v>2</v>
      </c>
      <c r="O2066" t="s">
        <v>35</v>
      </c>
      <c r="P2066" t="s">
        <v>21</v>
      </c>
      <c r="Q2066" t="s">
        <v>30</v>
      </c>
      <c r="R2066" t="str">
        <f>VLOOKUP($O2066,'Mapa Oficinas'!$A$7:$C$46,2,FALSE)</f>
        <v>Zona Norte (GBA)</v>
      </c>
      <c r="S2066" t="str">
        <f>VLOOKUP($O2066,'Mapa Oficinas'!$A$7:$C$46,3,FALSE)</f>
        <v>Vicente López</v>
      </c>
    </row>
    <row r="2067" spans="1:19" x14ac:dyDescent="0.2">
      <c r="A2067" s="1">
        <v>46003</v>
      </c>
      <c r="B2067" t="s">
        <v>2505</v>
      </c>
      <c r="D2067" t="s">
        <v>2506</v>
      </c>
      <c r="E2067" t="s">
        <v>16</v>
      </c>
      <c r="F2067" t="s">
        <v>17</v>
      </c>
      <c r="G2067" s="14">
        <v>349000</v>
      </c>
      <c r="H2067" s="14">
        <v>300000</v>
      </c>
      <c r="I2067" t="s">
        <v>22</v>
      </c>
      <c r="J2067" t="s">
        <v>22</v>
      </c>
      <c r="K2067" t="s">
        <v>2507</v>
      </c>
      <c r="L2067" t="s">
        <v>79</v>
      </c>
      <c r="M2067" t="s">
        <v>72</v>
      </c>
      <c r="N2067">
        <v>2</v>
      </c>
      <c r="O2067" t="s">
        <v>103</v>
      </c>
      <c r="P2067" t="s">
        <v>21</v>
      </c>
      <c r="Q2067" t="s">
        <v>30</v>
      </c>
      <c r="R2067" t="str">
        <f>VLOOKUP($O2067,'Mapa Oficinas'!$A$7:$C$46,2,FALSE)</f>
        <v>CABA</v>
      </c>
      <c r="S2067" t="str">
        <f>VLOOKUP($O2067,'Mapa Oficinas'!$A$7:$C$46,3,FALSE)</f>
        <v>Barrio Parque</v>
      </c>
    </row>
    <row r="2068" spans="1:19" x14ac:dyDescent="0.2">
      <c r="A2068" s="1">
        <v>46006</v>
      </c>
      <c r="B2068" t="s">
        <v>2430</v>
      </c>
      <c r="D2068" t="s">
        <v>2431</v>
      </c>
      <c r="E2068" t="s">
        <v>16</v>
      </c>
      <c r="F2068" t="s">
        <v>17</v>
      </c>
      <c r="G2068" s="14">
        <v>52000</v>
      </c>
      <c r="H2068" s="14">
        <v>52000</v>
      </c>
      <c r="I2068" t="s">
        <v>22</v>
      </c>
      <c r="J2068" t="s">
        <v>22</v>
      </c>
      <c r="K2068" t="s">
        <v>2432</v>
      </c>
      <c r="L2068" t="s">
        <v>277</v>
      </c>
      <c r="M2068" t="s">
        <v>19</v>
      </c>
      <c r="N2068">
        <v>2</v>
      </c>
      <c r="O2068" t="s">
        <v>201</v>
      </c>
      <c r="P2068" t="s">
        <v>276</v>
      </c>
      <c r="Q2068" t="s">
        <v>30</v>
      </c>
      <c r="R2068" t="str">
        <f>VLOOKUP($O2068,'Mapa Oficinas'!$A$7:$C$46,2,FALSE)</f>
        <v>CABA</v>
      </c>
      <c r="S2068" t="str">
        <f>VLOOKUP($O2068,'Mapa Oficinas'!$A$7:$C$46,3,FALSE)</f>
        <v>Recoleta</v>
      </c>
    </row>
    <row r="2069" spans="1:19" x14ac:dyDescent="0.2">
      <c r="A2069" s="1">
        <v>46006</v>
      </c>
      <c r="B2069" t="s">
        <v>2435</v>
      </c>
      <c r="D2069" t="s">
        <v>2436</v>
      </c>
      <c r="E2069" t="s">
        <v>16</v>
      </c>
      <c r="F2069" t="s">
        <v>134</v>
      </c>
      <c r="G2069" s="14">
        <v>53500</v>
      </c>
      <c r="H2069" s="14">
        <v>54000</v>
      </c>
      <c r="I2069" t="s">
        <v>22</v>
      </c>
      <c r="J2069" t="s">
        <v>22</v>
      </c>
      <c r="K2069" t="s">
        <v>2345</v>
      </c>
      <c r="L2069" t="s">
        <v>2346</v>
      </c>
      <c r="M2069" t="s">
        <v>97</v>
      </c>
      <c r="N2069">
        <v>2</v>
      </c>
      <c r="O2069" t="s">
        <v>130</v>
      </c>
      <c r="P2069" t="s">
        <v>21</v>
      </c>
      <c r="Q2069" t="s">
        <v>30</v>
      </c>
      <c r="R2069" t="str">
        <f>VLOOKUP($O2069,'Mapa Oficinas'!$A$7:$C$46,2,FALSE)</f>
        <v>Interior - Río Negro</v>
      </c>
      <c r="S2069" t="str">
        <f>VLOOKUP($O2069,'Mapa Oficinas'!$A$7:$C$46,3,FALSE)</f>
        <v>Bariloche</v>
      </c>
    </row>
    <row r="2070" spans="1:19" x14ac:dyDescent="0.2">
      <c r="A2070" s="1">
        <v>46006</v>
      </c>
      <c r="B2070" t="s">
        <v>2444</v>
      </c>
      <c r="D2070" t="s">
        <v>2445</v>
      </c>
      <c r="E2070" t="s">
        <v>16</v>
      </c>
      <c r="F2070" t="s">
        <v>17</v>
      </c>
      <c r="G2070" s="14">
        <v>62000</v>
      </c>
      <c r="H2070" s="14">
        <v>62000</v>
      </c>
      <c r="I2070" t="s">
        <v>22</v>
      </c>
      <c r="J2070" t="s">
        <v>22</v>
      </c>
      <c r="K2070" t="s">
        <v>2446</v>
      </c>
      <c r="L2070" t="s">
        <v>2095</v>
      </c>
      <c r="M2070" t="s">
        <v>19</v>
      </c>
      <c r="N2070">
        <v>1</v>
      </c>
      <c r="O2070" t="s">
        <v>65</v>
      </c>
      <c r="P2070" t="s">
        <v>66</v>
      </c>
      <c r="Q2070" t="s">
        <v>30</v>
      </c>
      <c r="R2070" t="str">
        <f>VLOOKUP($O2070,'Mapa Oficinas'!$A$7:$C$46,2,FALSE)</f>
        <v>Interior - Mendoza</v>
      </c>
      <c r="S2070" t="str">
        <f>VLOOKUP($O2070,'Mapa Oficinas'!$A$7:$C$46,3,FALSE)</f>
        <v>Capital Mendoza</v>
      </c>
    </row>
    <row r="2071" spans="1:19" x14ac:dyDescent="0.2">
      <c r="A2071" s="1">
        <v>46006</v>
      </c>
      <c r="D2071" t="s">
        <v>2440</v>
      </c>
      <c r="E2071" t="s">
        <v>16</v>
      </c>
      <c r="F2071" t="s">
        <v>17</v>
      </c>
      <c r="G2071" s="14">
        <v>65000</v>
      </c>
      <c r="H2071" s="14">
        <v>65000</v>
      </c>
      <c r="I2071" t="s">
        <v>22</v>
      </c>
      <c r="J2071" t="s">
        <v>22</v>
      </c>
      <c r="K2071" t="s">
        <v>2441</v>
      </c>
      <c r="L2071" t="s">
        <v>191</v>
      </c>
      <c r="M2071" t="s">
        <v>19</v>
      </c>
      <c r="N2071">
        <v>1</v>
      </c>
      <c r="O2071" t="s">
        <v>201</v>
      </c>
      <c r="P2071" t="s">
        <v>146</v>
      </c>
      <c r="Q2071" t="s">
        <v>30</v>
      </c>
      <c r="R2071" t="str">
        <f>VLOOKUP($O2071,'Mapa Oficinas'!$A$7:$C$46,2,FALSE)</f>
        <v>CABA</v>
      </c>
      <c r="S2071" t="str">
        <f>VLOOKUP($O2071,'Mapa Oficinas'!$A$7:$C$46,3,FALSE)</f>
        <v>Recoleta</v>
      </c>
    </row>
    <row r="2072" spans="1:19" x14ac:dyDescent="0.2">
      <c r="A2072" s="1">
        <v>46006</v>
      </c>
      <c r="B2072" t="s">
        <v>2447</v>
      </c>
      <c r="D2072" t="s">
        <v>2448</v>
      </c>
      <c r="E2072" t="s">
        <v>16</v>
      </c>
      <c r="F2072" t="s">
        <v>17</v>
      </c>
      <c r="G2072" s="14">
        <v>84000</v>
      </c>
      <c r="H2072" s="14">
        <v>83000</v>
      </c>
      <c r="I2072" t="s">
        <v>22</v>
      </c>
      <c r="J2072" t="s">
        <v>22</v>
      </c>
      <c r="K2072" t="s">
        <v>2449</v>
      </c>
      <c r="L2072" t="s">
        <v>2450</v>
      </c>
      <c r="M2072" t="s">
        <v>19</v>
      </c>
      <c r="N2072">
        <v>1</v>
      </c>
      <c r="O2072" t="s">
        <v>142</v>
      </c>
      <c r="P2072" t="s">
        <v>146</v>
      </c>
      <c r="Q2072" t="s">
        <v>30</v>
      </c>
      <c r="R2072" t="str">
        <f>VLOOKUP($O2072,'Mapa Oficinas'!$A$7:$C$46,2,FALSE)</f>
        <v>Zona Norte (GBA)</v>
      </c>
      <c r="S2072" t="str">
        <f>VLOOKUP($O2072,'Mapa Oficinas'!$A$7:$C$46,3,FALSE)</f>
        <v>Nordelta</v>
      </c>
    </row>
    <row r="2073" spans="1:19" x14ac:dyDescent="0.2">
      <c r="A2073" s="1">
        <v>46006</v>
      </c>
      <c r="B2073" t="s">
        <v>2465</v>
      </c>
      <c r="D2073" t="s">
        <v>2466</v>
      </c>
      <c r="E2073" t="s">
        <v>16</v>
      </c>
      <c r="F2073" t="s">
        <v>184</v>
      </c>
      <c r="G2073" s="14">
        <v>129516</v>
      </c>
      <c r="H2073" s="14">
        <v>125000</v>
      </c>
      <c r="I2073" t="s">
        <v>22</v>
      </c>
      <c r="J2073" t="s">
        <v>22</v>
      </c>
      <c r="K2073" t="s">
        <v>2467</v>
      </c>
      <c r="L2073" t="s">
        <v>129</v>
      </c>
      <c r="M2073" t="s">
        <v>19</v>
      </c>
      <c r="N2073">
        <v>2</v>
      </c>
      <c r="O2073" t="s">
        <v>130</v>
      </c>
      <c r="P2073" t="s">
        <v>41</v>
      </c>
      <c r="Q2073" t="s">
        <v>30</v>
      </c>
      <c r="R2073" t="str">
        <f>VLOOKUP($O2073,'Mapa Oficinas'!$A$7:$C$46,2,FALSE)</f>
        <v>Interior - Río Negro</v>
      </c>
      <c r="S2073" t="str">
        <f>VLOOKUP($O2073,'Mapa Oficinas'!$A$7:$C$46,3,FALSE)</f>
        <v>Bariloche</v>
      </c>
    </row>
    <row r="2074" spans="1:19" x14ac:dyDescent="0.2">
      <c r="A2074" s="1">
        <v>46006</v>
      </c>
      <c r="B2074" t="s">
        <v>2437</v>
      </c>
      <c r="D2074" t="s">
        <v>2438</v>
      </c>
      <c r="E2074" t="s">
        <v>16</v>
      </c>
      <c r="F2074" t="s">
        <v>47</v>
      </c>
      <c r="G2074" s="14">
        <v>159900</v>
      </c>
      <c r="H2074" s="14">
        <v>155000</v>
      </c>
      <c r="I2074" t="s">
        <v>22</v>
      </c>
      <c r="J2074" t="s">
        <v>22</v>
      </c>
      <c r="K2074" t="s">
        <v>2439</v>
      </c>
      <c r="L2074" t="s">
        <v>205</v>
      </c>
      <c r="M2074" t="s">
        <v>72</v>
      </c>
      <c r="N2074">
        <v>2</v>
      </c>
      <c r="O2074" t="s">
        <v>50</v>
      </c>
      <c r="P2074" t="s">
        <v>21</v>
      </c>
      <c r="Q2074" t="s">
        <v>30</v>
      </c>
      <c r="R2074" t="str">
        <f>VLOOKUP($O2074,'Mapa Oficinas'!$A$7:$C$46,2,FALSE)</f>
        <v>CABA</v>
      </c>
      <c r="S2074" t="str">
        <f>VLOOKUP($O2074,'Mapa Oficinas'!$A$7:$C$46,3,FALSE)</f>
        <v>Villa Urquiza</v>
      </c>
    </row>
    <row r="2075" spans="1:19" x14ac:dyDescent="0.2">
      <c r="A2075" s="1">
        <v>46006</v>
      </c>
      <c r="B2075" t="s">
        <v>2452</v>
      </c>
      <c r="D2075" t="s">
        <v>2453</v>
      </c>
      <c r="E2075" t="s">
        <v>16</v>
      </c>
      <c r="F2075" t="s">
        <v>17</v>
      </c>
      <c r="G2075" s="14">
        <v>179000</v>
      </c>
      <c r="H2075" s="14">
        <v>175000</v>
      </c>
      <c r="I2075" t="s">
        <v>22</v>
      </c>
      <c r="J2075" t="s">
        <v>22</v>
      </c>
      <c r="K2075" t="s">
        <v>2454</v>
      </c>
      <c r="L2075" t="s">
        <v>79</v>
      </c>
      <c r="M2075" t="s">
        <v>19</v>
      </c>
      <c r="N2075">
        <v>2</v>
      </c>
      <c r="O2075" t="s">
        <v>103</v>
      </c>
      <c r="P2075" t="s">
        <v>276</v>
      </c>
      <c r="Q2075" t="s">
        <v>30</v>
      </c>
      <c r="R2075" t="str">
        <f>VLOOKUP($O2075,'Mapa Oficinas'!$A$7:$C$46,2,FALSE)</f>
        <v>CABA</v>
      </c>
      <c r="S2075" t="str">
        <f>VLOOKUP($O2075,'Mapa Oficinas'!$A$7:$C$46,3,FALSE)</f>
        <v>Barrio Parque</v>
      </c>
    </row>
    <row r="2076" spans="1:19" x14ac:dyDescent="0.2">
      <c r="A2076" s="1">
        <v>46006</v>
      </c>
      <c r="B2076" t="s">
        <v>2456</v>
      </c>
      <c r="D2076" t="s">
        <v>2457</v>
      </c>
      <c r="E2076" t="s">
        <v>16</v>
      </c>
      <c r="F2076" t="s">
        <v>17</v>
      </c>
      <c r="G2076" s="14">
        <v>205000</v>
      </c>
      <c r="H2076" s="14">
        <v>181000</v>
      </c>
      <c r="I2076" t="s">
        <v>22</v>
      </c>
      <c r="J2076" t="s">
        <v>22</v>
      </c>
      <c r="K2076" t="s">
        <v>2458</v>
      </c>
      <c r="L2076" t="s">
        <v>1427</v>
      </c>
      <c r="M2076" t="s">
        <v>19</v>
      </c>
      <c r="N2076">
        <v>2</v>
      </c>
      <c r="O2076" t="s">
        <v>20</v>
      </c>
      <c r="P2076" t="s">
        <v>41</v>
      </c>
      <c r="Q2076" t="s">
        <v>30</v>
      </c>
      <c r="R2076" t="str">
        <f>VLOOKUP($O2076,'Mapa Oficinas'!$A$7:$C$46,2,FALSE)</f>
        <v>CABA</v>
      </c>
      <c r="S2076" t="str">
        <f>VLOOKUP($O2076,'Mapa Oficinas'!$A$7:$C$46,3,FALSE)</f>
        <v>Palermo</v>
      </c>
    </row>
    <row r="2077" spans="1:19" x14ac:dyDescent="0.2">
      <c r="A2077" s="1">
        <v>46006</v>
      </c>
      <c r="D2077" t="s">
        <v>2451</v>
      </c>
      <c r="E2077" t="s">
        <v>16</v>
      </c>
      <c r="F2077" t="s">
        <v>38</v>
      </c>
      <c r="G2077" s="14">
        <v>219000</v>
      </c>
      <c r="H2077" s="14">
        <v>190000</v>
      </c>
      <c r="I2077" t="s">
        <v>22</v>
      </c>
      <c r="J2077" t="s">
        <v>22</v>
      </c>
      <c r="K2077" t="s">
        <v>2039</v>
      </c>
      <c r="L2077" t="s">
        <v>2040</v>
      </c>
      <c r="M2077" t="s">
        <v>28</v>
      </c>
      <c r="N2077">
        <v>2</v>
      </c>
      <c r="O2077" t="s">
        <v>367</v>
      </c>
      <c r="P2077" t="s">
        <v>21</v>
      </c>
      <c r="Q2077" t="s">
        <v>30</v>
      </c>
      <c r="R2077" t="str">
        <f>VLOOKUP($O2077,'Mapa Oficinas'!$A$7:$C$46,2,FALSE)</f>
        <v>Interior - Neuquén</v>
      </c>
      <c r="S2077" t="str">
        <f>VLOOKUP($O2077,'Mapa Oficinas'!$A$7:$C$46,3,FALSE)</f>
        <v>San Martín de los Andes</v>
      </c>
    </row>
    <row r="2078" spans="1:19" x14ac:dyDescent="0.2">
      <c r="A2078" s="1">
        <v>46006</v>
      </c>
      <c r="B2078" t="s">
        <v>2462</v>
      </c>
      <c r="D2078" t="s">
        <v>2463</v>
      </c>
      <c r="E2078" t="s">
        <v>16</v>
      </c>
      <c r="F2078" t="s">
        <v>17</v>
      </c>
      <c r="G2078" s="14">
        <v>219000</v>
      </c>
      <c r="H2078" s="14">
        <v>205000</v>
      </c>
      <c r="I2078" t="s">
        <v>22</v>
      </c>
      <c r="J2078" t="s">
        <v>22</v>
      </c>
      <c r="K2078" t="s">
        <v>2464</v>
      </c>
      <c r="L2078" t="s">
        <v>205</v>
      </c>
      <c r="M2078" t="s">
        <v>19</v>
      </c>
      <c r="N2078">
        <v>2</v>
      </c>
      <c r="O2078" t="s">
        <v>20</v>
      </c>
      <c r="P2078" t="s">
        <v>21</v>
      </c>
      <c r="Q2078" t="s">
        <v>30</v>
      </c>
      <c r="R2078" t="str">
        <f>VLOOKUP($O2078,'Mapa Oficinas'!$A$7:$C$46,2,FALSE)</f>
        <v>CABA</v>
      </c>
      <c r="S2078" t="str">
        <f>VLOOKUP($O2078,'Mapa Oficinas'!$A$7:$C$46,3,FALSE)</f>
        <v>Palermo</v>
      </c>
    </row>
    <row r="2079" spans="1:19" x14ac:dyDescent="0.2">
      <c r="A2079" s="1">
        <v>46006</v>
      </c>
      <c r="B2079">
        <v>10590</v>
      </c>
      <c r="D2079" t="s">
        <v>2455</v>
      </c>
      <c r="E2079" t="s">
        <v>16</v>
      </c>
      <c r="F2079" t="s">
        <v>17</v>
      </c>
      <c r="G2079" s="14">
        <v>265000</v>
      </c>
      <c r="H2079" s="14">
        <v>265000</v>
      </c>
      <c r="I2079" t="s">
        <v>22</v>
      </c>
      <c r="J2079" t="s">
        <v>22</v>
      </c>
      <c r="K2079" t="s">
        <v>2455</v>
      </c>
      <c r="L2079" t="s">
        <v>604</v>
      </c>
      <c r="M2079" t="s">
        <v>28</v>
      </c>
      <c r="N2079">
        <v>1</v>
      </c>
      <c r="O2079" t="s">
        <v>103</v>
      </c>
      <c r="P2079" t="s">
        <v>146</v>
      </c>
      <c r="Q2079" t="s">
        <v>30</v>
      </c>
      <c r="R2079" t="str">
        <f>VLOOKUP($O2079,'Mapa Oficinas'!$A$7:$C$46,2,FALSE)</f>
        <v>CABA</v>
      </c>
      <c r="S2079" t="str">
        <f>VLOOKUP($O2079,'Mapa Oficinas'!$A$7:$C$46,3,FALSE)</f>
        <v>Barrio Parque</v>
      </c>
    </row>
    <row r="2080" spans="1:19" x14ac:dyDescent="0.2">
      <c r="A2080" s="1">
        <v>46006</v>
      </c>
      <c r="B2080" t="s">
        <v>2459</v>
      </c>
      <c r="D2080" t="s">
        <v>2460</v>
      </c>
      <c r="E2080" t="s">
        <v>16</v>
      </c>
      <c r="F2080" t="s">
        <v>17</v>
      </c>
      <c r="G2080" s="14">
        <v>365000</v>
      </c>
      <c r="H2080" s="14">
        <v>353000</v>
      </c>
      <c r="I2080" t="s">
        <v>22</v>
      </c>
      <c r="J2080" t="s">
        <v>22</v>
      </c>
      <c r="K2080" t="s">
        <v>2461</v>
      </c>
      <c r="L2080" t="s">
        <v>282</v>
      </c>
      <c r="M2080" t="s">
        <v>19</v>
      </c>
      <c r="N2080">
        <v>2</v>
      </c>
      <c r="O2080" t="s">
        <v>20</v>
      </c>
      <c r="P2080" t="s">
        <v>276</v>
      </c>
      <c r="Q2080" t="s">
        <v>30</v>
      </c>
      <c r="R2080" t="str">
        <f>VLOOKUP($O2080,'Mapa Oficinas'!$A$7:$C$46,2,FALSE)</f>
        <v>CABA</v>
      </c>
      <c r="S2080" t="str">
        <f>VLOOKUP($O2080,'Mapa Oficinas'!$A$7:$C$46,3,FALSE)</f>
        <v>Palermo</v>
      </c>
    </row>
    <row r="2081" spans="1:19" x14ac:dyDescent="0.2">
      <c r="A2081" s="1">
        <v>46006</v>
      </c>
      <c r="B2081" t="s">
        <v>2427</v>
      </c>
      <c r="D2081" t="s">
        <v>2428</v>
      </c>
      <c r="E2081" t="s">
        <v>16</v>
      </c>
      <c r="F2081" t="s">
        <v>17</v>
      </c>
      <c r="G2081" s="14">
        <v>679000</v>
      </c>
      <c r="H2081" s="14">
        <v>630000</v>
      </c>
      <c r="I2081" t="s">
        <v>22</v>
      </c>
      <c r="J2081" t="s">
        <v>22</v>
      </c>
      <c r="K2081" t="s">
        <v>2429</v>
      </c>
      <c r="L2081" t="s">
        <v>933</v>
      </c>
      <c r="M2081" t="s">
        <v>19</v>
      </c>
      <c r="N2081">
        <v>2</v>
      </c>
      <c r="O2081" t="s">
        <v>50</v>
      </c>
      <c r="P2081" t="s">
        <v>21</v>
      </c>
      <c r="Q2081" t="s">
        <v>30</v>
      </c>
      <c r="R2081" t="str">
        <f>VLOOKUP($O2081,'Mapa Oficinas'!$A$7:$C$46,2,FALSE)</f>
        <v>CABA</v>
      </c>
      <c r="S2081" t="str">
        <f>VLOOKUP($O2081,'Mapa Oficinas'!$A$7:$C$46,3,FALSE)</f>
        <v>Villa Urquiza</v>
      </c>
    </row>
    <row r="2082" spans="1:19" x14ac:dyDescent="0.2">
      <c r="A2082" s="1">
        <v>46007</v>
      </c>
      <c r="B2082" t="s">
        <v>2420</v>
      </c>
      <c r="D2082" t="s">
        <v>2420</v>
      </c>
      <c r="E2082" t="s">
        <v>16</v>
      </c>
      <c r="F2082" t="s">
        <v>47</v>
      </c>
      <c r="G2082" s="14">
        <v>112000</v>
      </c>
      <c r="H2082" s="14">
        <v>56000</v>
      </c>
      <c r="I2082" t="s">
        <v>22</v>
      </c>
      <c r="J2082" t="s">
        <v>22</v>
      </c>
      <c r="M2082" t="s">
        <v>19</v>
      </c>
      <c r="N2082">
        <v>2</v>
      </c>
      <c r="O2082" t="s">
        <v>50</v>
      </c>
      <c r="P2082" t="s">
        <v>21</v>
      </c>
      <c r="Q2082" t="s">
        <v>30</v>
      </c>
      <c r="R2082" t="str">
        <f>VLOOKUP($O2082,'Mapa Oficinas'!$A$7:$C$46,2,FALSE)</f>
        <v>CABA</v>
      </c>
      <c r="S2082" t="str">
        <f>VLOOKUP($O2082,'Mapa Oficinas'!$A$7:$C$46,3,FALSE)</f>
        <v>Villa Urquiza</v>
      </c>
    </row>
    <row r="2083" spans="1:19" x14ac:dyDescent="0.2">
      <c r="A2083" s="1">
        <v>46007</v>
      </c>
      <c r="B2083" t="s">
        <v>2408</v>
      </c>
      <c r="D2083" t="s">
        <v>2409</v>
      </c>
      <c r="E2083" t="s">
        <v>16</v>
      </c>
      <c r="F2083" t="s">
        <v>47</v>
      </c>
      <c r="G2083" s="14">
        <v>65000</v>
      </c>
      <c r="H2083" s="14">
        <v>70000</v>
      </c>
      <c r="I2083" t="s">
        <v>22</v>
      </c>
      <c r="J2083" t="s">
        <v>22</v>
      </c>
      <c r="K2083" t="s">
        <v>2410</v>
      </c>
      <c r="L2083" t="s">
        <v>2411</v>
      </c>
      <c r="M2083" t="s">
        <v>28</v>
      </c>
      <c r="N2083">
        <v>2</v>
      </c>
      <c r="O2083" t="s">
        <v>50</v>
      </c>
      <c r="P2083" t="s">
        <v>21</v>
      </c>
      <c r="Q2083" t="s">
        <v>30</v>
      </c>
      <c r="R2083" t="str">
        <f>VLOOKUP($O2083,'Mapa Oficinas'!$A$7:$C$46,2,FALSE)</f>
        <v>CABA</v>
      </c>
      <c r="S2083" t="str">
        <f>VLOOKUP($O2083,'Mapa Oficinas'!$A$7:$C$46,3,FALSE)</f>
        <v>Villa Urquiza</v>
      </c>
    </row>
    <row r="2084" spans="1:19" x14ac:dyDescent="0.2">
      <c r="A2084" s="1">
        <v>46007</v>
      </c>
      <c r="B2084" t="s">
        <v>807</v>
      </c>
      <c r="D2084" t="s">
        <v>808</v>
      </c>
      <c r="E2084" t="s">
        <v>16</v>
      </c>
      <c r="F2084" t="s">
        <v>17</v>
      </c>
      <c r="G2084" s="14">
        <v>230000</v>
      </c>
      <c r="H2084" s="14">
        <v>175000</v>
      </c>
      <c r="I2084" t="s">
        <v>22</v>
      </c>
      <c r="J2084" t="s">
        <v>22</v>
      </c>
      <c r="K2084" t="s">
        <v>809</v>
      </c>
      <c r="L2084" t="s">
        <v>810</v>
      </c>
      <c r="M2084" t="s">
        <v>19</v>
      </c>
      <c r="N2084">
        <v>2</v>
      </c>
      <c r="O2084" t="s">
        <v>142</v>
      </c>
      <c r="P2084" t="s">
        <v>21</v>
      </c>
      <c r="Q2084" t="s">
        <v>30</v>
      </c>
      <c r="R2084" t="str">
        <f>VLOOKUP($O2084,'Mapa Oficinas'!$A$7:$C$46,2,FALSE)</f>
        <v>Zona Norte (GBA)</v>
      </c>
      <c r="S2084" t="str">
        <f>VLOOKUP($O2084,'Mapa Oficinas'!$A$7:$C$46,3,FALSE)</f>
        <v>Nordelta</v>
      </c>
    </row>
    <row r="2085" spans="1:19" x14ac:dyDescent="0.2">
      <c r="A2085" s="1">
        <v>46007</v>
      </c>
      <c r="B2085" t="s">
        <v>2413</v>
      </c>
      <c r="D2085" t="s">
        <v>2414</v>
      </c>
      <c r="E2085" t="s">
        <v>16</v>
      </c>
      <c r="F2085" t="s">
        <v>17</v>
      </c>
      <c r="G2085" s="14">
        <v>395000</v>
      </c>
      <c r="H2085" s="14">
        <v>380000</v>
      </c>
      <c r="I2085" t="s">
        <v>22</v>
      </c>
      <c r="J2085" t="s">
        <v>22</v>
      </c>
      <c r="K2085" t="s">
        <v>2415</v>
      </c>
      <c r="L2085" t="s">
        <v>867</v>
      </c>
      <c r="M2085" t="s">
        <v>19</v>
      </c>
      <c r="N2085">
        <v>2</v>
      </c>
      <c r="O2085" t="s">
        <v>201</v>
      </c>
      <c r="P2085" t="s">
        <v>276</v>
      </c>
      <c r="Q2085" t="s">
        <v>30</v>
      </c>
      <c r="R2085" t="str">
        <f>VLOOKUP($O2085,'Mapa Oficinas'!$A$7:$C$46,2,FALSE)</f>
        <v>CABA</v>
      </c>
      <c r="S2085" t="str">
        <f>VLOOKUP($O2085,'Mapa Oficinas'!$A$7:$C$46,3,FALSE)</f>
        <v>Recoleta</v>
      </c>
    </row>
    <row r="2086" spans="1:19" x14ac:dyDescent="0.2">
      <c r="A2086" s="1">
        <v>46007</v>
      </c>
      <c r="B2086" t="s">
        <v>2416</v>
      </c>
      <c r="D2086" t="s">
        <v>2417</v>
      </c>
      <c r="E2086" t="s">
        <v>16</v>
      </c>
      <c r="F2086" t="s">
        <v>17</v>
      </c>
      <c r="G2086" s="14">
        <v>425000</v>
      </c>
      <c r="H2086" s="14">
        <v>415000</v>
      </c>
      <c r="I2086" t="s">
        <v>22</v>
      </c>
      <c r="J2086" t="s">
        <v>22</v>
      </c>
      <c r="K2086" t="s">
        <v>2418</v>
      </c>
      <c r="L2086" t="s">
        <v>2419</v>
      </c>
      <c r="M2086" t="s">
        <v>19</v>
      </c>
      <c r="N2086">
        <v>2</v>
      </c>
      <c r="O2086" t="s">
        <v>103</v>
      </c>
      <c r="P2086" t="s">
        <v>21</v>
      </c>
      <c r="Q2086" t="s">
        <v>30</v>
      </c>
      <c r="R2086" t="str">
        <f>VLOOKUP($O2086,'Mapa Oficinas'!$A$7:$C$46,2,FALSE)</f>
        <v>CABA</v>
      </c>
      <c r="S2086" t="str">
        <f>VLOOKUP($O2086,'Mapa Oficinas'!$A$7:$C$46,3,FALSE)</f>
        <v>Barrio Parque</v>
      </c>
    </row>
    <row r="2087" spans="1:19" x14ac:dyDescent="0.2">
      <c r="A2087" s="1">
        <v>46007</v>
      </c>
      <c r="B2087" t="s">
        <v>2424</v>
      </c>
      <c r="D2087" t="s">
        <v>2425</v>
      </c>
      <c r="E2087" t="s">
        <v>16</v>
      </c>
      <c r="F2087" t="s">
        <v>17</v>
      </c>
      <c r="G2087" s="14">
        <v>590000</v>
      </c>
      <c r="H2087" s="14">
        <v>590000</v>
      </c>
      <c r="I2087" t="s">
        <v>22</v>
      </c>
      <c r="J2087" t="s">
        <v>22</v>
      </c>
      <c r="K2087" t="s">
        <v>2426</v>
      </c>
      <c r="L2087" t="s">
        <v>584</v>
      </c>
      <c r="M2087" t="s">
        <v>28</v>
      </c>
      <c r="N2087">
        <v>1</v>
      </c>
      <c r="O2087" t="s">
        <v>142</v>
      </c>
      <c r="P2087" t="s">
        <v>146</v>
      </c>
      <c r="Q2087" t="s">
        <v>30</v>
      </c>
      <c r="R2087" t="str">
        <f>VLOOKUP($O2087,'Mapa Oficinas'!$A$7:$C$46,2,FALSE)</f>
        <v>Zona Norte (GBA)</v>
      </c>
      <c r="S2087" t="str">
        <f>VLOOKUP($O2087,'Mapa Oficinas'!$A$7:$C$46,3,FALSE)</f>
        <v>Nordelta</v>
      </c>
    </row>
    <row r="2088" spans="1:19" x14ac:dyDescent="0.2">
      <c r="A2088" s="1">
        <v>46008</v>
      </c>
      <c r="B2088" t="s">
        <v>2394</v>
      </c>
      <c r="D2088" t="s">
        <v>2394</v>
      </c>
      <c r="E2088" t="s">
        <v>16</v>
      </c>
      <c r="F2088" t="s">
        <v>38</v>
      </c>
      <c r="G2088" s="14">
        <v>125000</v>
      </c>
      <c r="H2088" s="14">
        <v>62500</v>
      </c>
      <c r="I2088" t="s">
        <v>22</v>
      </c>
      <c r="J2088" t="s">
        <v>22</v>
      </c>
      <c r="L2088" t="s">
        <v>593</v>
      </c>
      <c r="M2088" t="s">
        <v>19</v>
      </c>
      <c r="N2088">
        <v>1</v>
      </c>
      <c r="O2088" t="s">
        <v>65</v>
      </c>
      <c r="P2088" t="s">
        <v>131</v>
      </c>
      <c r="Q2088" t="s">
        <v>30</v>
      </c>
      <c r="R2088" t="str">
        <f>VLOOKUP($O2088,'Mapa Oficinas'!$A$7:$C$46,2,FALSE)</f>
        <v>Interior - Mendoza</v>
      </c>
      <c r="S2088" t="str">
        <f>VLOOKUP($O2088,'Mapa Oficinas'!$A$7:$C$46,3,FALSE)</f>
        <v>Capital Mendoza</v>
      </c>
    </row>
    <row r="2089" spans="1:19" x14ac:dyDescent="0.2">
      <c r="A2089" s="1">
        <v>46008</v>
      </c>
      <c r="B2089" t="s">
        <v>2395</v>
      </c>
      <c r="D2089" t="s">
        <v>2396</v>
      </c>
      <c r="E2089" t="s">
        <v>16</v>
      </c>
      <c r="F2089" t="s">
        <v>53</v>
      </c>
      <c r="G2089" s="14">
        <v>65000</v>
      </c>
      <c r="H2089" s="14">
        <v>65000</v>
      </c>
      <c r="I2089" t="s">
        <v>22</v>
      </c>
      <c r="J2089" t="s">
        <v>22</v>
      </c>
      <c r="K2089" t="s">
        <v>2397</v>
      </c>
      <c r="L2089" t="s">
        <v>2398</v>
      </c>
      <c r="M2089" t="s">
        <v>28</v>
      </c>
      <c r="N2089">
        <v>2</v>
      </c>
      <c r="O2089" t="s">
        <v>434</v>
      </c>
      <c r="P2089" t="s">
        <v>21</v>
      </c>
      <c r="Q2089" t="s">
        <v>30</v>
      </c>
      <c r="R2089" t="str">
        <f>VLOOKUP($O2089,'Mapa Oficinas'!$A$7:$C$46,2,FALSE)</f>
        <v>Interior - San Luis</v>
      </c>
      <c r="S2089" t="str">
        <f>VLOOKUP($O2089,'Mapa Oficinas'!$A$7:$C$46,3,FALSE)</f>
        <v>Villa Mercedes</v>
      </c>
    </row>
    <row r="2090" spans="1:19" x14ac:dyDescent="0.2">
      <c r="A2090" s="1">
        <v>46008</v>
      </c>
      <c r="D2090" t="s">
        <v>2368</v>
      </c>
      <c r="E2090" t="s">
        <v>16</v>
      </c>
      <c r="F2090" t="s">
        <v>17</v>
      </c>
      <c r="G2090" s="14">
        <v>75000</v>
      </c>
      <c r="H2090" s="14">
        <v>75000</v>
      </c>
      <c r="I2090" t="s">
        <v>22</v>
      </c>
      <c r="J2090" t="s">
        <v>22</v>
      </c>
      <c r="K2090" t="s">
        <v>2369</v>
      </c>
      <c r="M2090" t="s">
        <v>19</v>
      </c>
      <c r="N2090">
        <v>2</v>
      </c>
      <c r="O2090" t="s">
        <v>781</v>
      </c>
      <c r="P2090" t="s">
        <v>21</v>
      </c>
      <c r="Q2090" t="s">
        <v>30</v>
      </c>
      <c r="R2090" t="str">
        <f>VLOOKUP($O2090,'Mapa Oficinas'!$A$7:$C$46,2,FALSE)</f>
        <v>CABA</v>
      </c>
      <c r="S2090" t="str">
        <f>VLOOKUP($O2090,'Mapa Oficinas'!$A$7:$C$46,3,FALSE)</f>
        <v>Palermo</v>
      </c>
    </row>
    <row r="2091" spans="1:19" x14ac:dyDescent="0.2">
      <c r="A2091" s="1">
        <v>46008</v>
      </c>
      <c r="B2091" t="s">
        <v>2370</v>
      </c>
      <c r="D2091" t="s">
        <v>2371</v>
      </c>
      <c r="E2091" t="s">
        <v>16</v>
      </c>
      <c r="F2091" t="s">
        <v>17</v>
      </c>
      <c r="G2091" s="14">
        <v>80000</v>
      </c>
      <c r="H2091" s="14">
        <v>77000</v>
      </c>
      <c r="I2091" t="s">
        <v>22</v>
      </c>
      <c r="J2091" t="s">
        <v>22</v>
      </c>
      <c r="K2091" t="s">
        <v>2372</v>
      </c>
      <c r="L2091" t="s">
        <v>1177</v>
      </c>
      <c r="M2091" t="s">
        <v>19</v>
      </c>
      <c r="N2091">
        <v>2</v>
      </c>
      <c r="O2091" t="s">
        <v>201</v>
      </c>
      <c r="P2091" t="s">
        <v>276</v>
      </c>
      <c r="Q2091" t="s">
        <v>30</v>
      </c>
      <c r="R2091" t="str">
        <f>VLOOKUP($O2091,'Mapa Oficinas'!$A$7:$C$46,2,FALSE)</f>
        <v>CABA</v>
      </c>
      <c r="S2091" t="str">
        <f>VLOOKUP($O2091,'Mapa Oficinas'!$A$7:$C$46,3,FALSE)</f>
        <v>Recoleta</v>
      </c>
    </row>
    <row r="2092" spans="1:19" x14ac:dyDescent="0.2">
      <c r="A2092" s="1">
        <v>46008</v>
      </c>
      <c r="B2092" t="s">
        <v>2390</v>
      </c>
      <c r="D2092" t="s">
        <v>2391</v>
      </c>
      <c r="E2092" t="s">
        <v>16</v>
      </c>
      <c r="F2092" t="s">
        <v>17</v>
      </c>
      <c r="G2092" s="14">
        <v>99900</v>
      </c>
      <c r="H2092" s="14">
        <v>80000</v>
      </c>
      <c r="I2092" t="s">
        <v>22</v>
      </c>
      <c r="J2092" t="s">
        <v>22</v>
      </c>
      <c r="K2092" t="s">
        <v>2392</v>
      </c>
      <c r="L2092" t="s">
        <v>318</v>
      </c>
      <c r="M2092" t="s">
        <v>19</v>
      </c>
      <c r="N2092">
        <v>2</v>
      </c>
      <c r="O2092" t="s">
        <v>35</v>
      </c>
      <c r="P2092" t="s">
        <v>21</v>
      </c>
      <c r="Q2092" t="s">
        <v>30</v>
      </c>
      <c r="R2092" t="str">
        <f>VLOOKUP($O2092,'Mapa Oficinas'!$A$7:$C$46,2,FALSE)</f>
        <v>Zona Norte (GBA)</v>
      </c>
      <c r="S2092" t="str">
        <f>VLOOKUP($O2092,'Mapa Oficinas'!$A$7:$C$46,3,FALSE)</f>
        <v>Vicente López</v>
      </c>
    </row>
    <row r="2093" spans="1:19" x14ac:dyDescent="0.2">
      <c r="A2093" s="1">
        <v>46008</v>
      </c>
      <c r="B2093" t="s">
        <v>2383</v>
      </c>
      <c r="D2093" t="s">
        <v>2384</v>
      </c>
      <c r="E2093" t="s">
        <v>16</v>
      </c>
      <c r="F2093" t="s">
        <v>134</v>
      </c>
      <c r="G2093" s="14">
        <v>99000</v>
      </c>
      <c r="H2093" s="14">
        <v>85000</v>
      </c>
      <c r="I2093" t="s">
        <v>22</v>
      </c>
      <c r="J2093" t="s">
        <v>22</v>
      </c>
      <c r="K2093" t="s">
        <v>594</v>
      </c>
      <c r="L2093" t="s">
        <v>136</v>
      </c>
      <c r="M2093" t="s">
        <v>97</v>
      </c>
      <c r="N2093">
        <v>2</v>
      </c>
      <c r="O2093" t="s">
        <v>130</v>
      </c>
      <c r="P2093" t="s">
        <v>21</v>
      </c>
      <c r="Q2093" t="s">
        <v>30</v>
      </c>
      <c r="R2093" t="str">
        <f>VLOOKUP($O2093,'Mapa Oficinas'!$A$7:$C$46,2,FALSE)</f>
        <v>Interior - Río Negro</v>
      </c>
      <c r="S2093" t="str">
        <f>VLOOKUP($O2093,'Mapa Oficinas'!$A$7:$C$46,3,FALSE)</f>
        <v>Bariloche</v>
      </c>
    </row>
    <row r="2094" spans="1:19" x14ac:dyDescent="0.2">
      <c r="A2094" s="1">
        <v>46008</v>
      </c>
      <c r="B2094" t="s">
        <v>2385</v>
      </c>
      <c r="D2094" t="s">
        <v>2386</v>
      </c>
      <c r="E2094" t="s">
        <v>16</v>
      </c>
      <c r="F2094" t="s">
        <v>134</v>
      </c>
      <c r="G2094" s="14">
        <v>109000</v>
      </c>
      <c r="H2094" s="14">
        <v>109000</v>
      </c>
      <c r="I2094" t="s">
        <v>22</v>
      </c>
      <c r="J2094" t="s">
        <v>22</v>
      </c>
      <c r="K2094" t="s">
        <v>594</v>
      </c>
      <c r="L2094" t="s">
        <v>136</v>
      </c>
      <c r="M2094" t="s">
        <v>300</v>
      </c>
      <c r="N2094">
        <v>1</v>
      </c>
      <c r="O2094" t="s">
        <v>130</v>
      </c>
      <c r="P2094" t="s">
        <v>66</v>
      </c>
      <c r="Q2094" t="s">
        <v>30</v>
      </c>
      <c r="R2094" t="str">
        <f>VLOOKUP($O2094,'Mapa Oficinas'!$A$7:$C$46,2,FALSE)</f>
        <v>Interior - Río Negro</v>
      </c>
      <c r="S2094" t="str">
        <f>VLOOKUP($O2094,'Mapa Oficinas'!$A$7:$C$46,3,FALSE)</f>
        <v>Bariloche</v>
      </c>
    </row>
    <row r="2095" spans="1:19" x14ac:dyDescent="0.2">
      <c r="A2095" s="1">
        <v>46008</v>
      </c>
      <c r="B2095" t="s">
        <v>2387</v>
      </c>
      <c r="D2095" t="s">
        <v>2388</v>
      </c>
      <c r="E2095" t="s">
        <v>16</v>
      </c>
      <c r="F2095" t="s">
        <v>47</v>
      </c>
      <c r="G2095" s="14">
        <v>130000</v>
      </c>
      <c r="H2095" s="14">
        <v>124000</v>
      </c>
      <c r="I2095" t="s">
        <v>22</v>
      </c>
      <c r="J2095" t="s">
        <v>22</v>
      </c>
      <c r="K2095" t="s">
        <v>2389</v>
      </c>
      <c r="L2095" t="s">
        <v>1064</v>
      </c>
      <c r="M2095" t="s">
        <v>72</v>
      </c>
      <c r="N2095">
        <v>2</v>
      </c>
      <c r="O2095" t="s">
        <v>50</v>
      </c>
      <c r="P2095" t="s">
        <v>21</v>
      </c>
      <c r="Q2095" t="s">
        <v>30</v>
      </c>
      <c r="R2095" t="str">
        <f>VLOOKUP($O2095,'Mapa Oficinas'!$A$7:$C$46,2,FALSE)</f>
        <v>CABA</v>
      </c>
      <c r="S2095" t="str">
        <f>VLOOKUP($O2095,'Mapa Oficinas'!$A$7:$C$46,3,FALSE)</f>
        <v>Villa Urquiza</v>
      </c>
    </row>
    <row r="2096" spans="1:19" x14ac:dyDescent="0.2">
      <c r="A2096" s="1">
        <v>46008</v>
      </c>
      <c r="D2096" t="s">
        <v>2399</v>
      </c>
      <c r="E2096" t="s">
        <v>16</v>
      </c>
      <c r="F2096" t="s">
        <v>17</v>
      </c>
      <c r="G2096" s="14">
        <v>0</v>
      </c>
      <c r="H2096" s="14">
        <v>150000</v>
      </c>
      <c r="I2096" t="s">
        <v>22</v>
      </c>
      <c r="J2096" t="s">
        <v>22</v>
      </c>
      <c r="K2096" t="s">
        <v>2400</v>
      </c>
      <c r="L2096" t="s">
        <v>282</v>
      </c>
      <c r="M2096" t="s">
        <v>97</v>
      </c>
      <c r="N2096">
        <v>2</v>
      </c>
      <c r="O2096" t="s">
        <v>29</v>
      </c>
      <c r="P2096" t="s">
        <v>36</v>
      </c>
      <c r="Q2096" t="s">
        <v>30</v>
      </c>
      <c r="R2096" t="str">
        <f>VLOOKUP($O2096,'Mapa Oficinas'!$A$7:$C$46,2,FALSE)</f>
        <v>CABA</v>
      </c>
      <c r="S2096" t="str">
        <f>VLOOKUP($O2096,'Mapa Oficinas'!$A$7:$C$46,3,FALSE)</f>
        <v>Núñez</v>
      </c>
    </row>
    <row r="2097" spans="1:19" x14ac:dyDescent="0.2">
      <c r="A2097" s="1">
        <v>46008</v>
      </c>
      <c r="B2097">
        <v>220</v>
      </c>
      <c r="D2097" t="s">
        <v>2404</v>
      </c>
      <c r="E2097" t="s">
        <v>16</v>
      </c>
      <c r="F2097" t="s">
        <v>17</v>
      </c>
      <c r="G2097" s="14">
        <v>170000</v>
      </c>
      <c r="H2097" s="14">
        <v>170000</v>
      </c>
      <c r="I2097" t="s">
        <v>22</v>
      </c>
      <c r="J2097" t="s">
        <v>22</v>
      </c>
      <c r="K2097" t="s">
        <v>2404</v>
      </c>
      <c r="L2097" t="s">
        <v>111</v>
      </c>
      <c r="M2097" t="s">
        <v>19</v>
      </c>
      <c r="N2097">
        <v>1</v>
      </c>
      <c r="O2097" t="s">
        <v>20</v>
      </c>
      <c r="P2097" t="s">
        <v>146</v>
      </c>
      <c r="Q2097" t="s">
        <v>30</v>
      </c>
      <c r="R2097" t="str">
        <f>VLOOKUP($O2097,'Mapa Oficinas'!$A$7:$C$46,2,FALSE)</f>
        <v>CABA</v>
      </c>
      <c r="S2097" t="str">
        <f>VLOOKUP($O2097,'Mapa Oficinas'!$A$7:$C$46,3,FALSE)</f>
        <v>Palermo</v>
      </c>
    </row>
    <row r="2098" spans="1:19" x14ac:dyDescent="0.2">
      <c r="A2098" s="1">
        <v>46008</v>
      </c>
      <c r="B2098" t="s">
        <v>2376</v>
      </c>
      <c r="D2098" t="s">
        <v>2377</v>
      </c>
      <c r="E2098" t="s">
        <v>16</v>
      </c>
      <c r="F2098" t="s">
        <v>134</v>
      </c>
      <c r="G2098" s="14">
        <v>190000</v>
      </c>
      <c r="H2098" s="14">
        <v>187000</v>
      </c>
      <c r="I2098" t="s">
        <v>22</v>
      </c>
      <c r="J2098" t="s">
        <v>22</v>
      </c>
      <c r="K2098" t="s">
        <v>2378</v>
      </c>
      <c r="L2098" t="s">
        <v>2379</v>
      </c>
      <c r="M2098" t="s">
        <v>72</v>
      </c>
      <c r="N2098">
        <v>1</v>
      </c>
      <c r="O2098" t="s">
        <v>130</v>
      </c>
      <c r="P2098" t="s">
        <v>66</v>
      </c>
      <c r="Q2098" t="s">
        <v>30</v>
      </c>
      <c r="R2098" t="str">
        <f>VLOOKUP($O2098,'Mapa Oficinas'!$A$7:$C$46,2,FALSE)</f>
        <v>Interior - Río Negro</v>
      </c>
      <c r="S2098" t="str">
        <f>VLOOKUP($O2098,'Mapa Oficinas'!$A$7:$C$46,3,FALSE)</f>
        <v>Bariloche</v>
      </c>
    </row>
    <row r="2099" spans="1:19" x14ac:dyDescent="0.2">
      <c r="A2099" s="1">
        <v>46008</v>
      </c>
      <c r="B2099">
        <v>10647</v>
      </c>
      <c r="D2099" t="s">
        <v>2405</v>
      </c>
      <c r="E2099" t="s">
        <v>16</v>
      </c>
      <c r="F2099" t="s">
        <v>17</v>
      </c>
      <c r="G2099" s="14">
        <v>245000</v>
      </c>
      <c r="H2099" s="14">
        <v>245000</v>
      </c>
      <c r="I2099" t="s">
        <v>22</v>
      </c>
      <c r="J2099" t="s">
        <v>22</v>
      </c>
      <c r="K2099" t="s">
        <v>2405</v>
      </c>
      <c r="L2099" t="s">
        <v>71</v>
      </c>
      <c r="M2099" t="s">
        <v>97</v>
      </c>
      <c r="N2099">
        <v>1</v>
      </c>
      <c r="O2099" t="s">
        <v>103</v>
      </c>
      <c r="P2099" t="s">
        <v>146</v>
      </c>
      <c r="Q2099" t="s">
        <v>30</v>
      </c>
      <c r="R2099" t="str">
        <f>VLOOKUP($O2099,'Mapa Oficinas'!$A$7:$C$46,2,FALSE)</f>
        <v>CABA</v>
      </c>
      <c r="S2099" t="str">
        <f>VLOOKUP($O2099,'Mapa Oficinas'!$A$7:$C$46,3,FALSE)</f>
        <v>Barrio Parque</v>
      </c>
    </row>
    <row r="2100" spans="1:19" x14ac:dyDescent="0.2">
      <c r="A2100" s="1">
        <v>46008</v>
      </c>
      <c r="B2100" t="s">
        <v>2406</v>
      </c>
      <c r="D2100" t="s">
        <v>2407</v>
      </c>
      <c r="E2100" t="s">
        <v>16</v>
      </c>
      <c r="F2100" t="s">
        <v>17</v>
      </c>
      <c r="G2100" s="14">
        <v>265000</v>
      </c>
      <c r="H2100" s="14">
        <v>265000</v>
      </c>
      <c r="I2100" t="s">
        <v>22</v>
      </c>
      <c r="J2100" t="s">
        <v>22</v>
      </c>
      <c r="L2100" t="s">
        <v>71</v>
      </c>
      <c r="M2100" t="s">
        <v>28</v>
      </c>
      <c r="N2100">
        <v>2</v>
      </c>
      <c r="O2100" t="s">
        <v>359</v>
      </c>
      <c r="P2100" t="s">
        <v>276</v>
      </c>
      <c r="Q2100" t="s">
        <v>30</v>
      </c>
      <c r="R2100" t="str">
        <f>VLOOKUP($O2100,'Mapa Oficinas'!$A$7:$C$46,2,FALSE)</f>
        <v>CABA</v>
      </c>
      <c r="S2100" t="str">
        <f>VLOOKUP($O2100,'Mapa Oficinas'!$A$7:$C$46,3,FALSE)</f>
        <v>Palermo</v>
      </c>
    </row>
    <row r="2101" spans="1:19" x14ac:dyDescent="0.2">
      <c r="A2101" s="1">
        <v>46008</v>
      </c>
      <c r="B2101" t="s">
        <v>2373</v>
      </c>
      <c r="D2101" t="s">
        <v>2374</v>
      </c>
      <c r="E2101" t="s">
        <v>16</v>
      </c>
      <c r="F2101" t="s">
        <v>17</v>
      </c>
      <c r="G2101" s="14">
        <v>334000</v>
      </c>
      <c r="H2101" s="14">
        <v>325000</v>
      </c>
      <c r="I2101" t="s">
        <v>22</v>
      </c>
      <c r="J2101" t="s">
        <v>22</v>
      </c>
      <c r="K2101" t="s">
        <v>2375</v>
      </c>
      <c r="L2101" t="s">
        <v>1030</v>
      </c>
      <c r="M2101" t="s">
        <v>28</v>
      </c>
      <c r="N2101">
        <v>2</v>
      </c>
      <c r="O2101" t="s">
        <v>73</v>
      </c>
      <c r="P2101" t="s">
        <v>21</v>
      </c>
      <c r="Q2101" t="s">
        <v>30</v>
      </c>
      <c r="R2101" t="str">
        <f>VLOOKUP($O2101,'Mapa Oficinas'!$A$7:$C$46,2,FALSE)</f>
        <v>CABA</v>
      </c>
      <c r="S2101" t="str">
        <f>VLOOKUP($O2101,'Mapa Oficinas'!$A$7:$C$46,3,FALSE)</f>
        <v>Recoleta</v>
      </c>
    </row>
    <row r="2102" spans="1:19" x14ac:dyDescent="0.2">
      <c r="A2102" s="1">
        <v>46009</v>
      </c>
      <c r="B2102" t="s">
        <v>2336</v>
      </c>
      <c r="D2102" t="s">
        <v>2337</v>
      </c>
      <c r="E2102" t="s">
        <v>16</v>
      </c>
      <c r="F2102" t="s">
        <v>17</v>
      </c>
      <c r="G2102" s="14">
        <v>46200</v>
      </c>
      <c r="H2102" s="14">
        <v>44000</v>
      </c>
      <c r="I2102" t="s">
        <v>22</v>
      </c>
      <c r="J2102" t="s">
        <v>22</v>
      </c>
      <c r="K2102" t="s">
        <v>2338</v>
      </c>
      <c r="L2102" t="s">
        <v>2339</v>
      </c>
      <c r="M2102" t="s">
        <v>97</v>
      </c>
      <c r="N2102">
        <v>2</v>
      </c>
      <c r="O2102" t="s">
        <v>65</v>
      </c>
      <c r="P2102" t="s">
        <v>21</v>
      </c>
      <c r="Q2102" t="s">
        <v>30</v>
      </c>
      <c r="R2102" t="str">
        <f>VLOOKUP($O2102,'Mapa Oficinas'!$A$7:$C$46,2,FALSE)</f>
        <v>Interior - Mendoza</v>
      </c>
      <c r="S2102" t="str">
        <f>VLOOKUP($O2102,'Mapa Oficinas'!$A$7:$C$46,3,FALSE)</f>
        <v>Capital Mendoza</v>
      </c>
    </row>
    <row r="2103" spans="1:19" x14ac:dyDescent="0.2">
      <c r="A2103" s="1">
        <v>46009</v>
      </c>
      <c r="B2103" t="s">
        <v>2343</v>
      </c>
      <c r="D2103" t="s">
        <v>2344</v>
      </c>
      <c r="E2103" t="s">
        <v>16</v>
      </c>
      <c r="F2103" t="s">
        <v>134</v>
      </c>
      <c r="G2103" s="14">
        <v>60000</v>
      </c>
      <c r="H2103" s="14">
        <v>59000</v>
      </c>
      <c r="I2103" t="s">
        <v>22</v>
      </c>
      <c r="J2103" t="s">
        <v>22</v>
      </c>
      <c r="K2103" t="s">
        <v>2345</v>
      </c>
      <c r="L2103" t="s">
        <v>2346</v>
      </c>
      <c r="M2103" t="s">
        <v>97</v>
      </c>
      <c r="N2103">
        <v>2</v>
      </c>
      <c r="O2103" t="s">
        <v>130</v>
      </c>
      <c r="P2103" t="s">
        <v>41</v>
      </c>
      <c r="Q2103" t="s">
        <v>30</v>
      </c>
      <c r="R2103" t="str">
        <f>VLOOKUP($O2103,'Mapa Oficinas'!$A$7:$C$46,2,FALSE)</f>
        <v>Interior - Río Negro</v>
      </c>
      <c r="S2103" t="str">
        <f>VLOOKUP($O2103,'Mapa Oficinas'!$A$7:$C$46,3,FALSE)</f>
        <v>Bariloche</v>
      </c>
    </row>
    <row r="2104" spans="1:19" x14ac:dyDescent="0.2">
      <c r="A2104" s="1">
        <v>46009</v>
      </c>
      <c r="B2104" t="s">
        <v>2360</v>
      </c>
      <c r="D2104" t="s">
        <v>2360</v>
      </c>
      <c r="E2104" t="s">
        <v>16</v>
      </c>
      <c r="F2104" t="s">
        <v>17</v>
      </c>
      <c r="G2104" s="14">
        <v>72000</v>
      </c>
      <c r="H2104" s="14">
        <v>72000</v>
      </c>
      <c r="I2104" t="s">
        <v>22</v>
      </c>
      <c r="J2104" t="s">
        <v>22</v>
      </c>
      <c r="K2104" t="s">
        <v>2360</v>
      </c>
      <c r="L2104" t="s">
        <v>2361</v>
      </c>
      <c r="M2104" t="s">
        <v>19</v>
      </c>
      <c r="N2104">
        <v>1</v>
      </c>
      <c r="O2104" t="s">
        <v>35</v>
      </c>
      <c r="P2104" t="s">
        <v>131</v>
      </c>
      <c r="Q2104" t="s">
        <v>30</v>
      </c>
      <c r="R2104" t="str">
        <f>VLOOKUP($O2104,'Mapa Oficinas'!$A$7:$C$46,2,FALSE)</f>
        <v>Zona Norte (GBA)</v>
      </c>
      <c r="S2104" t="str">
        <f>VLOOKUP($O2104,'Mapa Oficinas'!$A$7:$C$46,3,FALSE)</f>
        <v>Vicente López</v>
      </c>
    </row>
    <row r="2105" spans="1:19" x14ac:dyDescent="0.2">
      <c r="A2105" s="1">
        <v>46009</v>
      </c>
      <c r="B2105" t="s">
        <v>2365</v>
      </c>
      <c r="D2105" t="s">
        <v>2366</v>
      </c>
      <c r="E2105" t="s">
        <v>16</v>
      </c>
      <c r="F2105" t="s">
        <v>82</v>
      </c>
      <c r="G2105" s="14">
        <v>85000</v>
      </c>
      <c r="H2105" s="14">
        <v>84000</v>
      </c>
      <c r="I2105" t="s">
        <v>22</v>
      </c>
      <c r="J2105" t="s">
        <v>18</v>
      </c>
      <c r="K2105" t="s">
        <v>2367</v>
      </c>
      <c r="L2105" t="s">
        <v>630</v>
      </c>
      <c r="M2105" t="s">
        <v>28</v>
      </c>
      <c r="N2105">
        <v>2</v>
      </c>
      <c r="O2105" t="s">
        <v>246</v>
      </c>
      <c r="P2105" t="s">
        <v>21</v>
      </c>
      <c r="Q2105" t="s">
        <v>30</v>
      </c>
      <c r="R2105" t="str">
        <f>VLOOKUP($O2105,'Mapa Oficinas'!$A$7:$C$46,2,FALSE)</f>
        <v>Interior - Salta</v>
      </c>
      <c r="S2105" t="str">
        <f>VLOOKUP($O2105,'Mapa Oficinas'!$A$7:$C$46,3,FALSE)</f>
        <v>San Lorenzo Chico</v>
      </c>
    </row>
    <row r="2106" spans="1:19" x14ac:dyDescent="0.2">
      <c r="A2106" s="1">
        <v>46009</v>
      </c>
      <c r="B2106" t="s">
        <v>2353</v>
      </c>
      <c r="D2106" t="s">
        <v>2354</v>
      </c>
      <c r="E2106" t="s">
        <v>16</v>
      </c>
      <c r="F2106" t="s">
        <v>82</v>
      </c>
      <c r="G2106" s="14">
        <v>130000</v>
      </c>
      <c r="H2106" s="14">
        <v>107000</v>
      </c>
      <c r="I2106" t="s">
        <v>22</v>
      </c>
      <c r="J2106" t="s">
        <v>22</v>
      </c>
      <c r="K2106" t="s">
        <v>2355</v>
      </c>
      <c r="L2106" t="s">
        <v>54</v>
      </c>
      <c r="M2106" t="s">
        <v>300</v>
      </c>
      <c r="N2106">
        <v>1</v>
      </c>
      <c r="O2106" t="s">
        <v>55</v>
      </c>
      <c r="P2106" t="s">
        <v>131</v>
      </c>
      <c r="Q2106" t="s">
        <v>30</v>
      </c>
      <c r="R2106" t="str">
        <f>VLOOKUP($O2106,'Mapa Oficinas'!$A$7:$C$46,2,FALSE)</f>
        <v>Interior - Santa Fe</v>
      </c>
      <c r="S2106" t="str">
        <f>VLOOKUP($O2106,'Mapa Oficinas'!$A$7:$C$46,3,FALSE)</f>
        <v>Capital Santa Fe</v>
      </c>
    </row>
    <row r="2107" spans="1:19" x14ac:dyDescent="0.2">
      <c r="A2107" s="1">
        <v>46009</v>
      </c>
      <c r="B2107" t="s">
        <v>2350</v>
      </c>
      <c r="D2107" t="s">
        <v>2351</v>
      </c>
      <c r="E2107" t="s">
        <v>16</v>
      </c>
      <c r="F2107" t="s">
        <v>17</v>
      </c>
      <c r="G2107" s="14">
        <v>110000</v>
      </c>
      <c r="H2107" s="14">
        <v>110000</v>
      </c>
      <c r="I2107" t="s">
        <v>22</v>
      </c>
      <c r="J2107" t="s">
        <v>22</v>
      </c>
      <c r="K2107" t="s">
        <v>2352</v>
      </c>
      <c r="L2107" t="s">
        <v>1598</v>
      </c>
      <c r="M2107" t="s">
        <v>28</v>
      </c>
      <c r="N2107">
        <v>2</v>
      </c>
      <c r="O2107" t="s">
        <v>151</v>
      </c>
      <c r="P2107" t="s">
        <v>21</v>
      </c>
      <c r="Q2107" t="s">
        <v>30</v>
      </c>
      <c r="R2107" t="str">
        <f>VLOOKUP($O2107,'Mapa Oficinas'!$A$7:$C$46,2,FALSE)</f>
        <v>Interior - Neuquén</v>
      </c>
      <c r="S2107" t="str">
        <f>VLOOKUP($O2107,'Mapa Oficinas'!$A$7:$C$46,3,FALSE)</f>
        <v>Capital Neuquén</v>
      </c>
    </row>
    <row r="2108" spans="1:19" x14ac:dyDescent="0.2">
      <c r="A2108" s="1">
        <v>46009</v>
      </c>
      <c r="B2108" t="s">
        <v>2340</v>
      </c>
      <c r="D2108" t="s">
        <v>2341</v>
      </c>
      <c r="E2108" t="s">
        <v>16</v>
      </c>
      <c r="F2108" t="s">
        <v>17</v>
      </c>
      <c r="G2108" s="14">
        <v>135000</v>
      </c>
      <c r="H2108" s="14">
        <v>131000</v>
      </c>
      <c r="I2108" t="s">
        <v>22</v>
      </c>
      <c r="J2108" t="s">
        <v>22</v>
      </c>
      <c r="K2108" t="s">
        <v>2342</v>
      </c>
      <c r="L2108" t="s">
        <v>277</v>
      </c>
      <c r="M2108" t="s">
        <v>19</v>
      </c>
      <c r="N2108">
        <v>2</v>
      </c>
      <c r="O2108" t="s">
        <v>227</v>
      </c>
      <c r="P2108" t="s">
        <v>276</v>
      </c>
      <c r="Q2108" t="s">
        <v>30</v>
      </c>
      <c r="R2108" t="str">
        <f>VLOOKUP($O2108,'Mapa Oficinas'!$A$7:$C$46,2,FALSE)</f>
        <v>Zona Oeste (GBA)</v>
      </c>
      <c r="S2108" t="str">
        <f>VLOOKUP($O2108,'Mapa Oficinas'!$A$7:$C$46,3,FALSE)</f>
        <v>Parque Leloir</v>
      </c>
    </row>
    <row r="2109" spans="1:19" x14ac:dyDescent="0.2">
      <c r="A2109" s="1">
        <v>46009</v>
      </c>
      <c r="B2109" t="s">
        <v>2362</v>
      </c>
      <c r="D2109" t="s">
        <v>2363</v>
      </c>
      <c r="E2109" t="s">
        <v>16</v>
      </c>
      <c r="F2109" t="s">
        <v>17</v>
      </c>
      <c r="G2109" s="14">
        <v>169900</v>
      </c>
      <c r="H2109" s="14">
        <v>160000</v>
      </c>
      <c r="I2109" t="s">
        <v>22</v>
      </c>
      <c r="J2109" t="s">
        <v>22</v>
      </c>
      <c r="K2109" t="s">
        <v>2364</v>
      </c>
      <c r="L2109" t="s">
        <v>398</v>
      </c>
      <c r="M2109" t="s">
        <v>28</v>
      </c>
      <c r="N2109">
        <v>2</v>
      </c>
      <c r="O2109" t="s">
        <v>35</v>
      </c>
      <c r="P2109" t="s">
        <v>21</v>
      </c>
      <c r="Q2109" t="s">
        <v>30</v>
      </c>
      <c r="R2109" t="str">
        <f>VLOOKUP($O2109,'Mapa Oficinas'!$A$7:$C$46,2,FALSE)</f>
        <v>Zona Norte (GBA)</v>
      </c>
      <c r="S2109" t="str">
        <f>VLOOKUP($O2109,'Mapa Oficinas'!$A$7:$C$46,3,FALSE)</f>
        <v>Vicente López</v>
      </c>
    </row>
    <row r="2110" spans="1:19" x14ac:dyDescent="0.2">
      <c r="A2110" s="1">
        <v>46009</v>
      </c>
      <c r="D2110" t="s">
        <v>2358</v>
      </c>
      <c r="E2110" t="s">
        <v>16</v>
      </c>
      <c r="F2110" t="s">
        <v>17</v>
      </c>
      <c r="G2110" s="14">
        <v>440000</v>
      </c>
      <c r="H2110" s="14">
        <v>440000</v>
      </c>
      <c r="I2110" t="s">
        <v>22</v>
      </c>
      <c r="J2110" t="s">
        <v>22</v>
      </c>
      <c r="K2110" t="s">
        <v>2359</v>
      </c>
      <c r="L2110" t="s">
        <v>191</v>
      </c>
      <c r="M2110" t="s">
        <v>19</v>
      </c>
      <c r="N2110">
        <v>1</v>
      </c>
      <c r="O2110" t="s">
        <v>201</v>
      </c>
      <c r="P2110" t="s">
        <v>146</v>
      </c>
      <c r="Q2110" t="s">
        <v>30</v>
      </c>
      <c r="R2110" t="str">
        <f>VLOOKUP($O2110,'Mapa Oficinas'!$A$7:$C$46,2,FALSE)</f>
        <v>CABA</v>
      </c>
      <c r="S2110" t="str">
        <f>VLOOKUP($O2110,'Mapa Oficinas'!$A$7:$C$46,3,FALSE)</f>
        <v>Recoleta</v>
      </c>
    </row>
    <row r="2111" spans="1:19" x14ac:dyDescent="0.2">
      <c r="A2111" s="1">
        <v>46009</v>
      </c>
      <c r="B2111" t="s">
        <v>2347</v>
      </c>
      <c r="D2111" t="s">
        <v>2348</v>
      </c>
      <c r="E2111" t="s">
        <v>16</v>
      </c>
      <c r="F2111" t="s">
        <v>17</v>
      </c>
      <c r="G2111" s="14">
        <v>650000</v>
      </c>
      <c r="H2111" s="14">
        <v>650000</v>
      </c>
      <c r="I2111" t="s">
        <v>22</v>
      </c>
      <c r="J2111" t="s">
        <v>22</v>
      </c>
      <c r="K2111" t="s">
        <v>2349</v>
      </c>
      <c r="L2111" t="s">
        <v>191</v>
      </c>
      <c r="M2111" t="s">
        <v>19</v>
      </c>
      <c r="N2111">
        <v>1</v>
      </c>
      <c r="O2111" t="s">
        <v>73</v>
      </c>
      <c r="P2111" t="s">
        <v>146</v>
      </c>
      <c r="Q2111" t="s">
        <v>30</v>
      </c>
      <c r="R2111" t="str">
        <f>VLOOKUP($O2111,'Mapa Oficinas'!$A$7:$C$46,2,FALSE)</f>
        <v>CABA</v>
      </c>
      <c r="S2111" t="str">
        <f>VLOOKUP($O2111,'Mapa Oficinas'!$A$7:$C$46,3,FALSE)</f>
        <v>Recoleta</v>
      </c>
    </row>
    <row r="2112" spans="1:19" x14ac:dyDescent="0.2">
      <c r="A2112" s="1">
        <v>46009</v>
      </c>
      <c r="B2112" t="s">
        <v>2356</v>
      </c>
      <c r="D2112" t="s">
        <v>2357</v>
      </c>
      <c r="E2112" t="s">
        <v>16</v>
      </c>
      <c r="F2112" t="s">
        <v>17</v>
      </c>
      <c r="G2112" s="14">
        <v>790000</v>
      </c>
      <c r="H2112" s="14">
        <v>670000</v>
      </c>
      <c r="I2112" t="s">
        <v>22</v>
      </c>
      <c r="J2112" t="s">
        <v>22</v>
      </c>
      <c r="K2112" t="s">
        <v>2357</v>
      </c>
      <c r="L2112" t="s">
        <v>700</v>
      </c>
      <c r="M2112" t="s">
        <v>19</v>
      </c>
      <c r="N2112">
        <v>2</v>
      </c>
      <c r="O2112" t="s">
        <v>40</v>
      </c>
      <c r="P2112" t="s">
        <v>21</v>
      </c>
      <c r="Q2112" t="s">
        <v>30</v>
      </c>
      <c r="R2112" t="str">
        <f>VLOOKUP($O2112,'Mapa Oficinas'!$A$7:$C$46,2,FALSE)</f>
        <v>Zona Norte (GBA)</v>
      </c>
      <c r="S2112" t="str">
        <f>VLOOKUP($O2112,'Mapa Oficinas'!$A$7:$C$46,3,FALSE)</f>
        <v>Pilar</v>
      </c>
    </row>
    <row r="2113" spans="1:19" x14ac:dyDescent="0.2">
      <c r="A2113" s="1">
        <v>46010</v>
      </c>
      <c r="B2113" t="s">
        <v>2320</v>
      </c>
      <c r="D2113" t="s">
        <v>2321</v>
      </c>
      <c r="E2113" t="s">
        <v>16</v>
      </c>
      <c r="F2113" t="s">
        <v>17</v>
      </c>
      <c r="G2113" s="14">
        <v>49000</v>
      </c>
      <c r="H2113" s="14">
        <v>48200</v>
      </c>
      <c r="I2113" t="s">
        <v>22</v>
      </c>
      <c r="J2113" t="s">
        <v>22</v>
      </c>
      <c r="K2113" t="s">
        <v>2322</v>
      </c>
      <c r="L2113" t="s">
        <v>195</v>
      </c>
      <c r="M2113" t="s">
        <v>19</v>
      </c>
      <c r="N2113">
        <v>2</v>
      </c>
      <c r="O2113" t="s">
        <v>198</v>
      </c>
      <c r="P2113" t="s">
        <v>21</v>
      </c>
      <c r="Q2113" t="s">
        <v>30</v>
      </c>
      <c r="R2113" t="str">
        <f>VLOOKUP($O2113,'Mapa Oficinas'!$A$7:$C$46,2,FALSE)</f>
        <v>CABA</v>
      </c>
      <c r="S2113" t="str">
        <f>VLOOKUP($O2113,'Mapa Oficinas'!$A$7:$C$46,3,FALSE)</f>
        <v>Caballito</v>
      </c>
    </row>
    <row r="2114" spans="1:19" x14ac:dyDescent="0.2">
      <c r="A2114" s="1">
        <v>46010</v>
      </c>
      <c r="B2114" t="s">
        <v>2310</v>
      </c>
      <c r="D2114" t="s">
        <v>2310</v>
      </c>
      <c r="E2114" t="s">
        <v>16</v>
      </c>
      <c r="F2114" t="s">
        <v>17</v>
      </c>
      <c r="G2114" s="14">
        <v>52000</v>
      </c>
      <c r="H2114" s="14">
        <v>52000</v>
      </c>
      <c r="I2114" t="s">
        <v>22</v>
      </c>
      <c r="J2114" t="s">
        <v>22</v>
      </c>
      <c r="L2114" t="s">
        <v>1309</v>
      </c>
      <c r="M2114" t="s">
        <v>97</v>
      </c>
      <c r="N2114">
        <v>2</v>
      </c>
      <c r="O2114" t="s">
        <v>151</v>
      </c>
      <c r="P2114" t="s">
        <v>21</v>
      </c>
      <c r="Q2114" t="s">
        <v>30</v>
      </c>
      <c r="R2114" t="str">
        <f>VLOOKUP($O2114,'Mapa Oficinas'!$A$7:$C$46,2,FALSE)</f>
        <v>Interior - Neuquén</v>
      </c>
      <c r="S2114" t="str">
        <f>VLOOKUP($O2114,'Mapa Oficinas'!$A$7:$C$46,3,FALSE)</f>
        <v>Capital Neuquén</v>
      </c>
    </row>
    <row r="2115" spans="1:19" x14ac:dyDescent="0.2">
      <c r="A2115" s="1">
        <v>46010</v>
      </c>
      <c r="B2115" t="s">
        <v>2317</v>
      </c>
      <c r="D2115" t="s">
        <v>2318</v>
      </c>
      <c r="E2115" t="s">
        <v>16</v>
      </c>
      <c r="F2115" t="s">
        <v>17</v>
      </c>
      <c r="G2115" s="14">
        <v>83000</v>
      </c>
      <c r="H2115" s="14">
        <v>75000</v>
      </c>
      <c r="I2115" t="s">
        <v>22</v>
      </c>
      <c r="J2115" t="s">
        <v>22</v>
      </c>
      <c r="K2115" t="s">
        <v>2319</v>
      </c>
      <c r="L2115" t="s">
        <v>1564</v>
      </c>
      <c r="M2115" t="s">
        <v>19</v>
      </c>
      <c r="N2115">
        <v>2</v>
      </c>
      <c r="O2115" t="s">
        <v>201</v>
      </c>
      <c r="P2115" t="s">
        <v>21</v>
      </c>
      <c r="Q2115" t="s">
        <v>30</v>
      </c>
      <c r="R2115" t="str">
        <f>VLOOKUP($O2115,'Mapa Oficinas'!$A$7:$C$46,2,FALSE)</f>
        <v>CABA</v>
      </c>
      <c r="S2115" t="str">
        <f>VLOOKUP($O2115,'Mapa Oficinas'!$A$7:$C$46,3,FALSE)</f>
        <v>Recoleta</v>
      </c>
    </row>
    <row r="2116" spans="1:19" x14ac:dyDescent="0.2">
      <c r="A2116" s="1">
        <v>46010</v>
      </c>
      <c r="B2116" t="s">
        <v>2308</v>
      </c>
      <c r="D2116" t="s">
        <v>1230</v>
      </c>
      <c r="E2116" t="s">
        <v>16</v>
      </c>
      <c r="F2116" t="s">
        <v>82</v>
      </c>
      <c r="G2116" s="14">
        <v>98000</v>
      </c>
      <c r="H2116" s="14">
        <v>85000</v>
      </c>
      <c r="I2116" t="s">
        <v>22</v>
      </c>
      <c r="J2116" t="s">
        <v>22</v>
      </c>
      <c r="K2116" t="s">
        <v>2309</v>
      </c>
      <c r="L2116" t="s">
        <v>84</v>
      </c>
      <c r="M2116" t="s">
        <v>28</v>
      </c>
      <c r="N2116">
        <v>2</v>
      </c>
      <c r="O2116" t="s">
        <v>85</v>
      </c>
      <c r="P2116" t="s">
        <v>41</v>
      </c>
      <c r="Q2116" t="s">
        <v>30</v>
      </c>
      <c r="R2116" t="str">
        <f>VLOOKUP($O2116,'Mapa Oficinas'!$A$7:$C$46,2,FALSE)</f>
        <v>Interior - Jujuy</v>
      </c>
      <c r="S2116" t="str">
        <f>VLOOKUP($O2116,'Mapa Oficinas'!$A$7:$C$46,3,FALSE)</f>
        <v>Capital Jujuy</v>
      </c>
    </row>
    <row r="2117" spans="1:19" x14ac:dyDescent="0.2">
      <c r="A2117" s="1">
        <v>46010</v>
      </c>
      <c r="B2117" t="s">
        <v>2314</v>
      </c>
      <c r="D2117" t="s">
        <v>2315</v>
      </c>
      <c r="E2117" t="s">
        <v>16</v>
      </c>
      <c r="F2117" t="s">
        <v>17</v>
      </c>
      <c r="G2117" s="14">
        <v>90000</v>
      </c>
      <c r="H2117" s="14">
        <v>85000</v>
      </c>
      <c r="I2117" t="s">
        <v>22</v>
      </c>
      <c r="J2117" t="s">
        <v>22</v>
      </c>
      <c r="K2117" t="s">
        <v>2316</v>
      </c>
      <c r="L2117" t="s">
        <v>569</v>
      </c>
      <c r="M2117" t="s">
        <v>72</v>
      </c>
      <c r="N2117">
        <v>2</v>
      </c>
      <c r="O2117" t="s">
        <v>201</v>
      </c>
      <c r="P2117" t="s">
        <v>276</v>
      </c>
      <c r="Q2117" t="s">
        <v>30</v>
      </c>
      <c r="R2117" t="str">
        <f>VLOOKUP($O2117,'Mapa Oficinas'!$A$7:$C$46,2,FALSE)</f>
        <v>CABA</v>
      </c>
      <c r="S2117" t="str">
        <f>VLOOKUP($O2117,'Mapa Oficinas'!$A$7:$C$46,3,FALSE)</f>
        <v>Recoleta</v>
      </c>
    </row>
    <row r="2118" spans="1:19" x14ac:dyDescent="0.2">
      <c r="A2118" s="1">
        <v>46010</v>
      </c>
      <c r="B2118" t="s">
        <v>2323</v>
      </c>
      <c r="D2118" t="s">
        <v>2324</v>
      </c>
      <c r="E2118" t="s">
        <v>16</v>
      </c>
      <c r="F2118" t="s">
        <v>17</v>
      </c>
      <c r="G2118" s="14">
        <v>90000</v>
      </c>
      <c r="H2118" s="14">
        <v>88000</v>
      </c>
      <c r="I2118" t="s">
        <v>22</v>
      </c>
      <c r="J2118" t="s">
        <v>22</v>
      </c>
      <c r="K2118" t="s">
        <v>2325</v>
      </c>
      <c r="L2118" t="s">
        <v>2326</v>
      </c>
      <c r="M2118" t="s">
        <v>28</v>
      </c>
      <c r="N2118">
        <v>2</v>
      </c>
      <c r="O2118" t="s">
        <v>65</v>
      </c>
      <c r="P2118" t="s">
        <v>21</v>
      </c>
      <c r="Q2118" t="s">
        <v>30</v>
      </c>
      <c r="R2118" t="str">
        <f>VLOOKUP($O2118,'Mapa Oficinas'!$A$7:$C$46,2,FALSE)</f>
        <v>Interior - Mendoza</v>
      </c>
      <c r="S2118" t="str">
        <f>VLOOKUP($O2118,'Mapa Oficinas'!$A$7:$C$46,3,FALSE)</f>
        <v>Capital Mendoza</v>
      </c>
    </row>
    <row r="2119" spans="1:19" x14ac:dyDescent="0.2">
      <c r="A2119" s="1">
        <v>46010</v>
      </c>
      <c r="B2119">
        <v>10584</v>
      </c>
      <c r="D2119" t="s">
        <v>2335</v>
      </c>
      <c r="E2119" t="s">
        <v>16</v>
      </c>
      <c r="F2119" t="s">
        <v>17</v>
      </c>
      <c r="G2119" s="14">
        <v>90000</v>
      </c>
      <c r="H2119" s="14">
        <v>90000</v>
      </c>
      <c r="I2119" t="s">
        <v>22</v>
      </c>
      <c r="J2119" t="s">
        <v>22</v>
      </c>
      <c r="K2119" t="s">
        <v>2335</v>
      </c>
      <c r="L2119" t="s">
        <v>318</v>
      </c>
      <c r="M2119" t="s">
        <v>19</v>
      </c>
      <c r="N2119">
        <v>2</v>
      </c>
      <c r="O2119" t="s">
        <v>103</v>
      </c>
      <c r="P2119" t="s">
        <v>276</v>
      </c>
      <c r="Q2119" t="s">
        <v>30</v>
      </c>
      <c r="R2119" t="str">
        <f>VLOOKUP($O2119,'Mapa Oficinas'!$A$7:$C$46,2,FALSE)</f>
        <v>CABA</v>
      </c>
      <c r="S2119" t="str">
        <f>VLOOKUP($O2119,'Mapa Oficinas'!$A$7:$C$46,3,FALSE)</f>
        <v>Barrio Parque</v>
      </c>
    </row>
    <row r="2120" spans="1:19" x14ac:dyDescent="0.2">
      <c r="A2120" s="1">
        <v>46010</v>
      </c>
      <c r="B2120" t="s">
        <v>2332</v>
      </c>
      <c r="D2120" t="s">
        <v>2333</v>
      </c>
      <c r="E2120" t="s">
        <v>16</v>
      </c>
      <c r="F2120" t="s">
        <v>17</v>
      </c>
      <c r="G2120" s="14">
        <v>99500</v>
      </c>
      <c r="H2120" s="14">
        <v>95000</v>
      </c>
      <c r="I2120" t="s">
        <v>22</v>
      </c>
      <c r="J2120" t="s">
        <v>22</v>
      </c>
      <c r="K2120" t="s">
        <v>2334</v>
      </c>
      <c r="L2120" t="s">
        <v>277</v>
      </c>
      <c r="M2120" t="s">
        <v>19</v>
      </c>
      <c r="N2120">
        <v>2</v>
      </c>
      <c r="O2120" t="s">
        <v>103</v>
      </c>
      <c r="P2120" t="s">
        <v>44</v>
      </c>
      <c r="Q2120" t="s">
        <v>30</v>
      </c>
      <c r="R2120" t="str">
        <f>VLOOKUP($O2120,'Mapa Oficinas'!$A$7:$C$46,2,FALSE)</f>
        <v>CABA</v>
      </c>
      <c r="S2120" t="str">
        <f>VLOOKUP($O2120,'Mapa Oficinas'!$A$7:$C$46,3,FALSE)</f>
        <v>Barrio Parque</v>
      </c>
    </row>
    <row r="2121" spans="1:19" x14ac:dyDescent="0.2">
      <c r="A2121" s="1">
        <v>46010</v>
      </c>
      <c r="B2121" t="s">
        <v>2329</v>
      </c>
      <c r="D2121" t="s">
        <v>2330</v>
      </c>
      <c r="E2121" t="s">
        <v>16</v>
      </c>
      <c r="F2121" t="s">
        <v>17</v>
      </c>
      <c r="G2121" s="14">
        <v>158000</v>
      </c>
      <c r="H2121" s="14">
        <v>150000</v>
      </c>
      <c r="I2121" t="s">
        <v>22</v>
      </c>
      <c r="J2121" t="s">
        <v>22</v>
      </c>
      <c r="K2121" t="s">
        <v>2331</v>
      </c>
      <c r="L2121" t="s">
        <v>277</v>
      </c>
      <c r="M2121" t="s">
        <v>19</v>
      </c>
      <c r="N2121">
        <v>2</v>
      </c>
      <c r="O2121" t="s">
        <v>103</v>
      </c>
      <c r="P2121" t="s">
        <v>44</v>
      </c>
      <c r="Q2121" t="s">
        <v>30</v>
      </c>
      <c r="R2121" t="str">
        <f>VLOOKUP($O2121,'Mapa Oficinas'!$A$7:$C$46,2,FALSE)</f>
        <v>CABA</v>
      </c>
      <c r="S2121" t="str">
        <f>VLOOKUP($O2121,'Mapa Oficinas'!$A$7:$C$46,3,FALSE)</f>
        <v>Barrio Parque</v>
      </c>
    </row>
    <row r="2122" spans="1:19" x14ac:dyDescent="0.2">
      <c r="A2122" s="1">
        <v>46010</v>
      </c>
      <c r="D2122" t="s">
        <v>2312</v>
      </c>
      <c r="E2122" t="s">
        <v>16</v>
      </c>
      <c r="F2122" t="s">
        <v>17</v>
      </c>
      <c r="G2122" s="14">
        <v>0</v>
      </c>
      <c r="H2122" s="14">
        <v>218000</v>
      </c>
      <c r="I2122" t="s">
        <v>22</v>
      </c>
      <c r="J2122" t="s">
        <v>22</v>
      </c>
      <c r="K2122" t="s">
        <v>2313</v>
      </c>
      <c r="M2122" t="s">
        <v>19</v>
      </c>
      <c r="N2122">
        <v>1</v>
      </c>
      <c r="O2122" t="s">
        <v>20</v>
      </c>
      <c r="P2122" t="s">
        <v>146</v>
      </c>
      <c r="Q2122" t="s">
        <v>30</v>
      </c>
      <c r="R2122" t="str">
        <f>VLOOKUP($O2122,'Mapa Oficinas'!$A$7:$C$46,2,FALSE)</f>
        <v>CABA</v>
      </c>
      <c r="S2122" t="str">
        <f>VLOOKUP($O2122,'Mapa Oficinas'!$A$7:$C$46,3,FALSE)</f>
        <v>Palermo</v>
      </c>
    </row>
    <row r="2123" spans="1:19" x14ac:dyDescent="0.2">
      <c r="A2123" s="1">
        <v>46010</v>
      </c>
      <c r="D2123" t="s">
        <v>2302</v>
      </c>
      <c r="E2123" t="s">
        <v>16</v>
      </c>
      <c r="F2123" t="s">
        <v>17</v>
      </c>
      <c r="G2123" s="14">
        <v>238000</v>
      </c>
      <c r="H2123" s="14">
        <v>238000</v>
      </c>
      <c r="I2123" t="s">
        <v>22</v>
      </c>
      <c r="J2123" t="s">
        <v>22</v>
      </c>
      <c r="K2123" t="s">
        <v>2311</v>
      </c>
      <c r="L2123" t="s">
        <v>79</v>
      </c>
      <c r="M2123" t="s">
        <v>19</v>
      </c>
      <c r="N2123">
        <v>1</v>
      </c>
      <c r="O2123" t="s">
        <v>20</v>
      </c>
      <c r="P2123" t="s">
        <v>146</v>
      </c>
      <c r="Q2123" t="s">
        <v>30</v>
      </c>
      <c r="R2123" t="str">
        <f>VLOOKUP($O2123,'Mapa Oficinas'!$A$7:$C$46,2,FALSE)</f>
        <v>CABA</v>
      </c>
      <c r="S2123" t="str">
        <f>VLOOKUP($O2123,'Mapa Oficinas'!$A$7:$C$46,3,FALSE)</f>
        <v>Palermo</v>
      </c>
    </row>
    <row r="2124" spans="1:19" x14ac:dyDescent="0.2">
      <c r="A2124" s="1">
        <v>46010</v>
      </c>
      <c r="B2124">
        <v>19122025</v>
      </c>
      <c r="D2124" t="s">
        <v>2307</v>
      </c>
      <c r="E2124" t="s">
        <v>16</v>
      </c>
      <c r="F2124" t="s">
        <v>134</v>
      </c>
      <c r="G2124" s="14">
        <v>295000</v>
      </c>
      <c r="H2124" s="14">
        <v>295000</v>
      </c>
      <c r="I2124" t="s">
        <v>22</v>
      </c>
      <c r="J2124" t="s">
        <v>22</v>
      </c>
      <c r="L2124" t="s">
        <v>595</v>
      </c>
      <c r="M2124" t="s">
        <v>28</v>
      </c>
      <c r="N2124">
        <v>1</v>
      </c>
      <c r="O2124" t="s">
        <v>130</v>
      </c>
      <c r="P2124" t="s">
        <v>131</v>
      </c>
      <c r="Q2124" t="s">
        <v>30</v>
      </c>
      <c r="R2124" t="str">
        <f>VLOOKUP($O2124,'Mapa Oficinas'!$A$7:$C$46,2,FALSE)</f>
        <v>Interior - Río Negro</v>
      </c>
      <c r="S2124" t="str">
        <f>VLOOKUP($O2124,'Mapa Oficinas'!$A$7:$C$46,3,FALSE)</f>
        <v>Bariloche</v>
      </c>
    </row>
    <row r="2125" spans="1:19" x14ac:dyDescent="0.2">
      <c r="A2125" s="1">
        <v>46011</v>
      </c>
      <c r="B2125" t="s">
        <v>2304</v>
      </c>
      <c r="D2125" t="s">
        <v>2305</v>
      </c>
      <c r="E2125" t="s">
        <v>16</v>
      </c>
      <c r="F2125" t="s">
        <v>17</v>
      </c>
      <c r="G2125" s="14">
        <v>75000</v>
      </c>
      <c r="H2125" s="14">
        <v>70000</v>
      </c>
      <c r="I2125" t="s">
        <v>22</v>
      </c>
      <c r="J2125" t="s">
        <v>22</v>
      </c>
      <c r="K2125" t="s">
        <v>2306</v>
      </c>
      <c r="L2125" t="s">
        <v>79</v>
      </c>
      <c r="M2125" t="s">
        <v>19</v>
      </c>
      <c r="N2125">
        <v>2</v>
      </c>
      <c r="O2125" t="s">
        <v>20</v>
      </c>
      <c r="P2125" t="s">
        <v>21</v>
      </c>
      <c r="Q2125" t="s">
        <v>30</v>
      </c>
      <c r="R2125" t="str">
        <f>VLOOKUP($O2125,'Mapa Oficinas'!$A$7:$C$46,2,FALSE)</f>
        <v>CABA</v>
      </c>
      <c r="S2125" t="str">
        <f>VLOOKUP($O2125,'Mapa Oficinas'!$A$7:$C$46,3,FALSE)</f>
        <v>Palermo</v>
      </c>
    </row>
    <row r="2126" spans="1:19" x14ac:dyDescent="0.2">
      <c r="A2126" s="1">
        <v>46011</v>
      </c>
      <c r="B2126" t="s">
        <v>2299</v>
      </c>
      <c r="D2126" t="s">
        <v>2300</v>
      </c>
      <c r="E2126" t="s">
        <v>16</v>
      </c>
      <c r="F2126" t="s">
        <v>17</v>
      </c>
      <c r="G2126" s="14">
        <v>89000</v>
      </c>
      <c r="H2126" s="14">
        <v>85000</v>
      </c>
      <c r="I2126" t="s">
        <v>22</v>
      </c>
      <c r="J2126" t="s">
        <v>22</v>
      </c>
      <c r="K2126" t="s">
        <v>2301</v>
      </c>
      <c r="L2126" t="s">
        <v>37</v>
      </c>
      <c r="M2126" t="s">
        <v>19</v>
      </c>
      <c r="N2126">
        <v>2</v>
      </c>
      <c r="O2126" t="s">
        <v>201</v>
      </c>
      <c r="P2126" t="s">
        <v>21</v>
      </c>
      <c r="Q2126" t="s">
        <v>30</v>
      </c>
      <c r="R2126" t="str">
        <f>VLOOKUP($O2126,'Mapa Oficinas'!$A$7:$C$46,2,FALSE)</f>
        <v>CABA</v>
      </c>
      <c r="S2126" t="str">
        <f>VLOOKUP($O2126,'Mapa Oficinas'!$A$7:$C$46,3,FALSE)</f>
        <v>Recoleta</v>
      </c>
    </row>
    <row r="2127" spans="1:19" x14ac:dyDescent="0.2">
      <c r="A2127" s="1">
        <v>46011</v>
      </c>
      <c r="D2127" t="s">
        <v>2302</v>
      </c>
      <c r="E2127" t="s">
        <v>16</v>
      </c>
      <c r="F2127" t="s">
        <v>17</v>
      </c>
      <c r="G2127" s="14">
        <v>110000</v>
      </c>
      <c r="H2127" s="14">
        <v>110000</v>
      </c>
      <c r="I2127" t="s">
        <v>22</v>
      </c>
      <c r="J2127" t="s">
        <v>22</v>
      </c>
      <c r="K2127" t="s">
        <v>2303</v>
      </c>
      <c r="L2127" t="s">
        <v>79</v>
      </c>
      <c r="M2127" t="s">
        <v>19</v>
      </c>
      <c r="N2127">
        <v>2</v>
      </c>
      <c r="O2127" t="s">
        <v>20</v>
      </c>
      <c r="P2127" t="s">
        <v>276</v>
      </c>
      <c r="Q2127" t="s">
        <v>30</v>
      </c>
      <c r="R2127" t="str">
        <f>VLOOKUP($O2127,'Mapa Oficinas'!$A$7:$C$46,2,FALSE)</f>
        <v>CABA</v>
      </c>
      <c r="S2127" t="str">
        <f>VLOOKUP($O2127,'Mapa Oficinas'!$A$7:$C$46,3,FALSE)</f>
        <v>Palermo</v>
      </c>
    </row>
    <row r="2128" spans="1:19" x14ac:dyDescent="0.2">
      <c r="A2128" s="1">
        <v>46013</v>
      </c>
      <c r="B2128" t="s">
        <v>2256</v>
      </c>
      <c r="D2128" t="s">
        <v>2257</v>
      </c>
      <c r="E2128" t="s">
        <v>16</v>
      </c>
      <c r="F2128" t="s">
        <v>47</v>
      </c>
      <c r="G2128" s="14">
        <v>115000</v>
      </c>
      <c r="H2128" s="14">
        <v>50000</v>
      </c>
      <c r="I2128" t="s">
        <v>22</v>
      </c>
      <c r="J2128" t="s">
        <v>22</v>
      </c>
      <c r="K2128" t="s">
        <v>2258</v>
      </c>
      <c r="L2128" t="s">
        <v>2259</v>
      </c>
      <c r="M2128" t="s">
        <v>28</v>
      </c>
      <c r="N2128">
        <v>2</v>
      </c>
      <c r="O2128" t="s">
        <v>50</v>
      </c>
      <c r="P2128" t="s">
        <v>21</v>
      </c>
      <c r="Q2128" t="s">
        <v>30</v>
      </c>
      <c r="R2128" t="str">
        <f>VLOOKUP($O2128,'Mapa Oficinas'!$A$7:$C$46,2,FALSE)</f>
        <v>CABA</v>
      </c>
      <c r="S2128" t="str">
        <f>VLOOKUP($O2128,'Mapa Oficinas'!$A$7:$C$46,3,FALSE)</f>
        <v>Villa Urquiza</v>
      </c>
    </row>
    <row r="2129" spans="1:19" x14ac:dyDescent="0.2">
      <c r="A2129" s="1">
        <v>46013</v>
      </c>
      <c r="B2129" t="s">
        <v>2278</v>
      </c>
      <c r="D2129" t="s">
        <v>2279</v>
      </c>
      <c r="E2129" t="s">
        <v>16</v>
      </c>
      <c r="F2129" t="s">
        <v>17</v>
      </c>
      <c r="G2129" s="14">
        <v>75000</v>
      </c>
      <c r="H2129" s="14">
        <v>75000</v>
      </c>
      <c r="I2129" t="s">
        <v>22</v>
      </c>
      <c r="J2129" t="s">
        <v>22</v>
      </c>
      <c r="K2129" t="s">
        <v>2280</v>
      </c>
      <c r="L2129" t="s">
        <v>2095</v>
      </c>
      <c r="M2129" t="s">
        <v>19</v>
      </c>
      <c r="N2129">
        <v>2</v>
      </c>
      <c r="O2129" t="s">
        <v>65</v>
      </c>
      <c r="P2129" t="s">
        <v>21</v>
      </c>
      <c r="Q2129" t="s">
        <v>30</v>
      </c>
      <c r="R2129" t="str">
        <f>VLOOKUP($O2129,'Mapa Oficinas'!$A$7:$C$46,2,FALSE)</f>
        <v>Interior - Mendoza</v>
      </c>
      <c r="S2129" t="str">
        <f>VLOOKUP($O2129,'Mapa Oficinas'!$A$7:$C$46,3,FALSE)</f>
        <v>Capital Mendoza</v>
      </c>
    </row>
    <row r="2130" spans="1:19" x14ac:dyDescent="0.2">
      <c r="A2130" s="1">
        <v>46013</v>
      </c>
      <c r="B2130" t="s">
        <v>2272</v>
      </c>
      <c r="D2130" t="s">
        <v>2273</v>
      </c>
      <c r="E2130" t="s">
        <v>16</v>
      </c>
      <c r="F2130" t="s">
        <v>134</v>
      </c>
      <c r="G2130" s="14">
        <v>87750</v>
      </c>
      <c r="H2130" s="14">
        <v>75000</v>
      </c>
      <c r="I2130" t="s">
        <v>22</v>
      </c>
      <c r="J2130" t="s">
        <v>22</v>
      </c>
      <c r="K2130" t="s">
        <v>2274</v>
      </c>
      <c r="L2130" t="s">
        <v>129</v>
      </c>
      <c r="M2130" t="s">
        <v>97</v>
      </c>
      <c r="N2130">
        <v>1</v>
      </c>
      <c r="O2130" t="s">
        <v>130</v>
      </c>
      <c r="P2130" t="s">
        <v>131</v>
      </c>
      <c r="Q2130" t="s">
        <v>30</v>
      </c>
      <c r="R2130" t="str">
        <f>VLOOKUP($O2130,'Mapa Oficinas'!$A$7:$C$46,2,FALSE)</f>
        <v>Interior - Río Negro</v>
      </c>
      <c r="S2130" t="str">
        <f>VLOOKUP($O2130,'Mapa Oficinas'!$A$7:$C$46,3,FALSE)</f>
        <v>Bariloche</v>
      </c>
    </row>
    <row r="2131" spans="1:19" x14ac:dyDescent="0.2">
      <c r="A2131" s="1">
        <v>46013</v>
      </c>
      <c r="B2131" t="s">
        <v>2281</v>
      </c>
      <c r="D2131" t="s">
        <v>2282</v>
      </c>
      <c r="E2131" t="s">
        <v>16</v>
      </c>
      <c r="F2131" t="s">
        <v>243</v>
      </c>
      <c r="G2131" s="14">
        <v>84000</v>
      </c>
      <c r="H2131" s="14">
        <v>84000</v>
      </c>
      <c r="I2131" t="s">
        <v>22</v>
      </c>
      <c r="J2131" t="s">
        <v>22</v>
      </c>
      <c r="K2131" t="s">
        <v>2283</v>
      </c>
      <c r="L2131" t="s">
        <v>630</v>
      </c>
      <c r="M2131" t="s">
        <v>28</v>
      </c>
      <c r="N2131">
        <v>2</v>
      </c>
      <c r="O2131" t="s">
        <v>246</v>
      </c>
      <c r="P2131" t="s">
        <v>21</v>
      </c>
      <c r="Q2131" t="s">
        <v>30</v>
      </c>
      <c r="R2131" t="str">
        <f>VLOOKUP($O2131,'Mapa Oficinas'!$A$7:$C$46,2,FALSE)</f>
        <v>Interior - Salta</v>
      </c>
      <c r="S2131" t="str">
        <f>VLOOKUP($O2131,'Mapa Oficinas'!$A$7:$C$46,3,FALSE)</f>
        <v>San Lorenzo Chico</v>
      </c>
    </row>
    <row r="2132" spans="1:19" x14ac:dyDescent="0.2">
      <c r="A2132" s="1">
        <v>46013</v>
      </c>
      <c r="B2132">
        <v>49</v>
      </c>
      <c r="D2132" t="s">
        <v>2270</v>
      </c>
      <c r="E2132" t="s">
        <v>16</v>
      </c>
      <c r="F2132" t="s">
        <v>17</v>
      </c>
      <c r="G2132" s="14">
        <v>92000</v>
      </c>
      <c r="H2132" s="14">
        <v>92000</v>
      </c>
      <c r="I2132" t="s">
        <v>22</v>
      </c>
      <c r="J2132" t="s">
        <v>22</v>
      </c>
      <c r="K2132" t="s">
        <v>2271</v>
      </c>
      <c r="M2132" t="s">
        <v>19</v>
      </c>
      <c r="N2132">
        <v>1</v>
      </c>
      <c r="O2132" t="s">
        <v>116</v>
      </c>
      <c r="P2132" t="s">
        <v>146</v>
      </c>
      <c r="Q2132" t="s">
        <v>30</v>
      </c>
      <c r="R2132" t="str">
        <f>VLOOKUP($O2132,'Mapa Oficinas'!$A$7:$C$46,2,FALSE)</f>
        <v>CABA</v>
      </c>
      <c r="S2132" t="str">
        <f>VLOOKUP($O2132,'Mapa Oficinas'!$A$7:$C$46,3,FALSE)</f>
        <v>Puerto Madero</v>
      </c>
    </row>
    <row r="2133" spans="1:19" x14ac:dyDescent="0.2">
      <c r="A2133" s="1">
        <v>46013</v>
      </c>
      <c r="B2133" t="s">
        <v>2260</v>
      </c>
      <c r="D2133" t="s">
        <v>2261</v>
      </c>
      <c r="E2133" t="s">
        <v>16</v>
      </c>
      <c r="F2133" t="s">
        <v>17</v>
      </c>
      <c r="G2133" s="14">
        <v>115000</v>
      </c>
      <c r="H2133" s="14">
        <v>92000</v>
      </c>
      <c r="I2133" t="s">
        <v>22</v>
      </c>
      <c r="J2133" t="s">
        <v>22</v>
      </c>
      <c r="K2133" t="s">
        <v>2262</v>
      </c>
      <c r="L2133" t="s">
        <v>107</v>
      </c>
      <c r="M2133" t="s">
        <v>300</v>
      </c>
      <c r="N2133">
        <v>2</v>
      </c>
      <c r="O2133" t="s">
        <v>35</v>
      </c>
      <c r="P2133" t="s">
        <v>21</v>
      </c>
      <c r="Q2133" t="s">
        <v>30</v>
      </c>
      <c r="R2133" t="str">
        <f>VLOOKUP($O2133,'Mapa Oficinas'!$A$7:$C$46,2,FALSE)</f>
        <v>Zona Norte (GBA)</v>
      </c>
      <c r="S2133" t="str">
        <f>VLOOKUP($O2133,'Mapa Oficinas'!$A$7:$C$46,3,FALSE)</f>
        <v>Vicente López</v>
      </c>
    </row>
    <row r="2134" spans="1:19" x14ac:dyDescent="0.2">
      <c r="A2134" s="1">
        <v>46013</v>
      </c>
      <c r="B2134" t="s">
        <v>2288</v>
      </c>
      <c r="D2134" t="s">
        <v>2289</v>
      </c>
      <c r="E2134" t="s">
        <v>16</v>
      </c>
      <c r="F2134" t="s">
        <v>17</v>
      </c>
      <c r="G2134" s="14">
        <v>119000</v>
      </c>
      <c r="H2134" s="14">
        <v>110000</v>
      </c>
      <c r="I2134" t="s">
        <v>22</v>
      </c>
      <c r="J2134" t="s">
        <v>22</v>
      </c>
      <c r="K2134" t="s">
        <v>2290</v>
      </c>
      <c r="L2134" t="s">
        <v>1077</v>
      </c>
      <c r="M2134" t="s">
        <v>19</v>
      </c>
      <c r="N2134">
        <v>2</v>
      </c>
      <c r="O2134" t="s">
        <v>20</v>
      </c>
      <c r="P2134" t="s">
        <v>276</v>
      </c>
      <c r="Q2134" t="s">
        <v>30</v>
      </c>
      <c r="R2134" t="str">
        <f>VLOOKUP($O2134,'Mapa Oficinas'!$A$7:$C$46,2,FALSE)</f>
        <v>CABA</v>
      </c>
      <c r="S2134" t="str">
        <f>VLOOKUP($O2134,'Mapa Oficinas'!$A$7:$C$46,3,FALSE)</f>
        <v>Palermo</v>
      </c>
    </row>
    <row r="2135" spans="1:19" x14ac:dyDescent="0.2">
      <c r="A2135" s="1">
        <v>46013</v>
      </c>
      <c r="B2135" t="s">
        <v>2275</v>
      </c>
      <c r="D2135" t="s">
        <v>2276</v>
      </c>
      <c r="E2135" t="s">
        <v>16</v>
      </c>
      <c r="F2135" t="s">
        <v>82</v>
      </c>
      <c r="G2135" s="14">
        <v>86000</v>
      </c>
      <c r="H2135" s="14">
        <v>125000</v>
      </c>
      <c r="I2135" t="s">
        <v>22</v>
      </c>
      <c r="J2135" t="s">
        <v>22</v>
      </c>
      <c r="K2135" t="s">
        <v>2277</v>
      </c>
      <c r="L2135" t="s">
        <v>696</v>
      </c>
      <c r="M2135" t="s">
        <v>97</v>
      </c>
      <c r="N2135">
        <v>1</v>
      </c>
      <c r="O2135" t="s">
        <v>65</v>
      </c>
      <c r="P2135" t="s">
        <v>66</v>
      </c>
      <c r="Q2135" t="s">
        <v>30</v>
      </c>
      <c r="R2135" t="str">
        <f>VLOOKUP($O2135,'Mapa Oficinas'!$A$7:$C$46,2,FALSE)</f>
        <v>Interior - Mendoza</v>
      </c>
      <c r="S2135" t="str">
        <f>VLOOKUP($O2135,'Mapa Oficinas'!$A$7:$C$46,3,FALSE)</f>
        <v>Capital Mendoza</v>
      </c>
    </row>
    <row r="2136" spans="1:19" x14ac:dyDescent="0.2">
      <c r="A2136" s="1">
        <v>46013</v>
      </c>
      <c r="B2136" t="s">
        <v>2263</v>
      </c>
      <c r="D2136" t="s">
        <v>2264</v>
      </c>
      <c r="E2136" t="s">
        <v>16</v>
      </c>
      <c r="F2136" t="s">
        <v>17</v>
      </c>
      <c r="G2136" s="14">
        <v>145000</v>
      </c>
      <c r="H2136" s="14">
        <v>135000</v>
      </c>
      <c r="I2136" t="s">
        <v>22</v>
      </c>
      <c r="J2136" t="s">
        <v>22</v>
      </c>
      <c r="K2136" t="s">
        <v>2265</v>
      </c>
      <c r="L2136" t="s">
        <v>2266</v>
      </c>
      <c r="M2136" t="s">
        <v>19</v>
      </c>
      <c r="N2136">
        <v>2</v>
      </c>
      <c r="O2136" t="s">
        <v>40</v>
      </c>
      <c r="P2136" t="s">
        <v>21</v>
      </c>
      <c r="Q2136" t="s">
        <v>30</v>
      </c>
      <c r="R2136" t="str">
        <f>VLOOKUP($O2136,'Mapa Oficinas'!$A$7:$C$46,2,FALSE)</f>
        <v>Zona Norte (GBA)</v>
      </c>
      <c r="S2136" t="str">
        <f>VLOOKUP($O2136,'Mapa Oficinas'!$A$7:$C$46,3,FALSE)</f>
        <v>Pilar</v>
      </c>
    </row>
    <row r="2137" spans="1:19" x14ac:dyDescent="0.2">
      <c r="A2137" s="1">
        <v>46013</v>
      </c>
      <c r="B2137" t="s">
        <v>2284</v>
      </c>
      <c r="D2137" t="s">
        <v>2285</v>
      </c>
      <c r="E2137" t="s">
        <v>16</v>
      </c>
      <c r="F2137" t="s">
        <v>82</v>
      </c>
      <c r="G2137" s="14">
        <v>165000</v>
      </c>
      <c r="H2137" s="14">
        <v>162000</v>
      </c>
      <c r="I2137" t="s">
        <v>22</v>
      </c>
      <c r="J2137" t="s">
        <v>22</v>
      </c>
      <c r="K2137" t="s">
        <v>2286</v>
      </c>
      <c r="L2137" t="s">
        <v>2287</v>
      </c>
      <c r="M2137" t="s">
        <v>19</v>
      </c>
      <c r="N2137">
        <v>1</v>
      </c>
      <c r="O2137" t="s">
        <v>98</v>
      </c>
      <c r="P2137" t="s">
        <v>66</v>
      </c>
      <c r="Q2137" t="s">
        <v>30</v>
      </c>
      <c r="R2137" t="str">
        <f>VLOOKUP($O2137,'Mapa Oficinas'!$A$7:$C$46,2,FALSE)</f>
        <v>Interior - Neuquén</v>
      </c>
      <c r="S2137" t="str">
        <f>VLOOKUP($O2137,'Mapa Oficinas'!$A$7:$C$46,3,FALSE)</f>
        <v>Villa La Angostura</v>
      </c>
    </row>
    <row r="2138" spans="1:19" x14ac:dyDescent="0.2">
      <c r="A2138" s="1">
        <v>46013</v>
      </c>
      <c r="B2138" t="s">
        <v>2291</v>
      </c>
      <c r="D2138" t="s">
        <v>2292</v>
      </c>
      <c r="E2138" t="s">
        <v>16</v>
      </c>
      <c r="F2138" t="s">
        <v>17</v>
      </c>
      <c r="G2138" s="14">
        <v>445000</v>
      </c>
      <c r="H2138" s="14">
        <v>400000</v>
      </c>
      <c r="I2138" t="s">
        <v>22</v>
      </c>
      <c r="J2138" t="s">
        <v>22</v>
      </c>
      <c r="K2138" t="s">
        <v>2293</v>
      </c>
      <c r="L2138" t="s">
        <v>277</v>
      </c>
      <c r="M2138" t="s">
        <v>28</v>
      </c>
      <c r="N2138">
        <v>2</v>
      </c>
      <c r="O2138" t="s">
        <v>20</v>
      </c>
      <c r="P2138" t="s">
        <v>276</v>
      </c>
      <c r="Q2138" t="s">
        <v>30</v>
      </c>
      <c r="R2138" t="str">
        <f>VLOOKUP($O2138,'Mapa Oficinas'!$A$7:$C$46,2,FALSE)</f>
        <v>CABA</v>
      </c>
      <c r="S2138" t="str">
        <f>VLOOKUP($O2138,'Mapa Oficinas'!$A$7:$C$46,3,FALSE)</f>
        <v>Palermo</v>
      </c>
    </row>
    <row r="2139" spans="1:19" x14ac:dyDescent="0.2">
      <c r="A2139" s="1">
        <v>46014</v>
      </c>
      <c r="B2139" t="s">
        <v>2212</v>
      </c>
      <c r="D2139" t="s">
        <v>2212</v>
      </c>
      <c r="E2139" t="s">
        <v>16</v>
      </c>
      <c r="F2139" t="s">
        <v>17</v>
      </c>
      <c r="G2139" s="14">
        <v>50000</v>
      </c>
      <c r="H2139" s="14">
        <v>50000</v>
      </c>
      <c r="I2139" t="s">
        <v>22</v>
      </c>
      <c r="J2139" t="s">
        <v>22</v>
      </c>
      <c r="L2139" t="s">
        <v>170</v>
      </c>
      <c r="M2139" t="s">
        <v>19</v>
      </c>
      <c r="N2139">
        <v>1</v>
      </c>
      <c r="O2139" t="s">
        <v>171</v>
      </c>
      <c r="P2139" t="s">
        <v>66</v>
      </c>
      <c r="Q2139" t="s">
        <v>30</v>
      </c>
      <c r="R2139" t="str">
        <f>VLOOKUP($O2139,'Mapa Oficinas'!$A$7:$C$46,2,FALSE)</f>
        <v>Zona Sur (GBA)</v>
      </c>
      <c r="S2139" t="str">
        <f>VLOOKUP($O2139,'Mapa Oficinas'!$A$7:$C$46,3,FALSE)</f>
        <v>La Plata</v>
      </c>
    </row>
    <row r="2140" spans="1:19" x14ac:dyDescent="0.2">
      <c r="A2140" s="1">
        <v>46014</v>
      </c>
      <c r="B2140" t="s">
        <v>2207</v>
      </c>
      <c r="D2140" t="s">
        <v>2208</v>
      </c>
      <c r="E2140" t="s">
        <v>16</v>
      </c>
      <c r="F2140" t="s">
        <v>82</v>
      </c>
      <c r="G2140" s="14">
        <v>60000</v>
      </c>
      <c r="H2140" s="14">
        <v>53000</v>
      </c>
      <c r="I2140" t="s">
        <v>22</v>
      </c>
      <c r="J2140" t="s">
        <v>22</v>
      </c>
      <c r="K2140" t="s">
        <v>2209</v>
      </c>
      <c r="L2140" t="s">
        <v>2210</v>
      </c>
      <c r="M2140" t="s">
        <v>28</v>
      </c>
      <c r="N2140">
        <v>2</v>
      </c>
      <c r="O2140" t="s">
        <v>85</v>
      </c>
      <c r="P2140" t="s">
        <v>21</v>
      </c>
      <c r="Q2140" t="s">
        <v>30</v>
      </c>
      <c r="R2140" t="str">
        <f>VLOOKUP($O2140,'Mapa Oficinas'!$A$7:$C$46,2,FALSE)</f>
        <v>Interior - Jujuy</v>
      </c>
      <c r="S2140" t="str">
        <f>VLOOKUP($O2140,'Mapa Oficinas'!$A$7:$C$46,3,FALSE)</f>
        <v>Capital Jujuy</v>
      </c>
    </row>
    <row r="2141" spans="1:19" x14ac:dyDescent="0.2">
      <c r="A2141" s="1">
        <v>46014</v>
      </c>
      <c r="B2141">
        <v>223</v>
      </c>
      <c r="D2141" t="s">
        <v>2211</v>
      </c>
      <c r="E2141" t="s">
        <v>16</v>
      </c>
      <c r="F2141" t="s">
        <v>17</v>
      </c>
      <c r="G2141" s="14">
        <v>60000</v>
      </c>
      <c r="H2141" s="14">
        <v>60000</v>
      </c>
      <c r="I2141" t="s">
        <v>22</v>
      </c>
      <c r="J2141" t="s">
        <v>22</v>
      </c>
      <c r="K2141" t="s">
        <v>2211</v>
      </c>
      <c r="L2141" t="s">
        <v>79</v>
      </c>
      <c r="M2141" t="s">
        <v>19</v>
      </c>
      <c r="N2141">
        <v>2</v>
      </c>
      <c r="O2141" t="s">
        <v>20</v>
      </c>
      <c r="P2141" t="s">
        <v>36</v>
      </c>
      <c r="Q2141" t="s">
        <v>30</v>
      </c>
      <c r="R2141" t="str">
        <f>VLOOKUP($O2141,'Mapa Oficinas'!$A$7:$C$46,2,FALSE)</f>
        <v>CABA</v>
      </c>
      <c r="S2141" t="str">
        <f>VLOOKUP($O2141,'Mapa Oficinas'!$A$7:$C$46,3,FALSE)</f>
        <v>Palermo</v>
      </c>
    </row>
    <row r="2142" spans="1:19" x14ac:dyDescent="0.2">
      <c r="A2142" s="1">
        <v>46014</v>
      </c>
      <c r="B2142" t="s">
        <v>2230</v>
      </c>
      <c r="D2142" t="s">
        <v>2231</v>
      </c>
      <c r="E2142" t="s">
        <v>16</v>
      </c>
      <c r="F2142" t="s">
        <v>17</v>
      </c>
      <c r="G2142" s="14">
        <v>62000</v>
      </c>
      <c r="H2142" s="14">
        <v>60000</v>
      </c>
      <c r="I2142" t="s">
        <v>22</v>
      </c>
      <c r="J2142" t="s">
        <v>22</v>
      </c>
      <c r="K2142" t="s">
        <v>2232</v>
      </c>
      <c r="L2142" t="s">
        <v>419</v>
      </c>
      <c r="M2142" t="s">
        <v>19</v>
      </c>
      <c r="N2142">
        <v>2</v>
      </c>
      <c r="O2142" t="s">
        <v>65</v>
      </c>
      <c r="P2142" t="s">
        <v>21</v>
      </c>
      <c r="Q2142" t="s">
        <v>30</v>
      </c>
      <c r="R2142" t="str">
        <f>VLOOKUP($O2142,'Mapa Oficinas'!$A$7:$C$46,2,FALSE)</f>
        <v>Interior - Mendoza</v>
      </c>
      <c r="S2142" t="str">
        <f>VLOOKUP($O2142,'Mapa Oficinas'!$A$7:$C$46,3,FALSE)</f>
        <v>Capital Mendoza</v>
      </c>
    </row>
    <row r="2143" spans="1:19" x14ac:dyDescent="0.2">
      <c r="A2143" s="1">
        <v>46014</v>
      </c>
      <c r="B2143" t="s">
        <v>2253</v>
      </c>
      <c r="D2143" t="s">
        <v>2254</v>
      </c>
      <c r="E2143" t="s">
        <v>16</v>
      </c>
      <c r="F2143" t="s">
        <v>17</v>
      </c>
      <c r="G2143" s="14">
        <v>70000</v>
      </c>
      <c r="H2143" s="14">
        <v>60000</v>
      </c>
      <c r="I2143" t="s">
        <v>22</v>
      </c>
      <c r="J2143" t="s">
        <v>22</v>
      </c>
      <c r="K2143" t="s">
        <v>2255</v>
      </c>
      <c r="L2143" t="s">
        <v>1077</v>
      </c>
      <c r="M2143" t="s">
        <v>19</v>
      </c>
      <c r="N2143">
        <v>2</v>
      </c>
      <c r="O2143" t="s">
        <v>103</v>
      </c>
      <c r="P2143" t="s">
        <v>36</v>
      </c>
      <c r="Q2143" t="s">
        <v>30</v>
      </c>
      <c r="R2143" t="str">
        <f>VLOOKUP($O2143,'Mapa Oficinas'!$A$7:$C$46,2,FALSE)</f>
        <v>CABA</v>
      </c>
      <c r="S2143" t="str">
        <f>VLOOKUP($O2143,'Mapa Oficinas'!$A$7:$C$46,3,FALSE)</f>
        <v>Barrio Parque</v>
      </c>
    </row>
    <row r="2144" spans="1:19" x14ac:dyDescent="0.2">
      <c r="A2144" s="1">
        <v>46014</v>
      </c>
      <c r="B2144" t="s">
        <v>2218</v>
      </c>
      <c r="D2144" t="s">
        <v>2219</v>
      </c>
      <c r="E2144" t="s">
        <v>16</v>
      </c>
      <c r="F2144" t="s">
        <v>82</v>
      </c>
      <c r="G2144" s="14">
        <v>70000</v>
      </c>
      <c r="H2144" s="14">
        <v>70000</v>
      </c>
      <c r="I2144" t="s">
        <v>22</v>
      </c>
      <c r="J2144" t="s">
        <v>22</v>
      </c>
      <c r="K2144" t="s">
        <v>2220</v>
      </c>
      <c r="L2144" t="s">
        <v>2221</v>
      </c>
      <c r="M2144" t="s">
        <v>28</v>
      </c>
      <c r="N2144">
        <v>2</v>
      </c>
      <c r="O2144" t="s">
        <v>151</v>
      </c>
      <c r="P2144" t="s">
        <v>41</v>
      </c>
      <c r="Q2144" t="s">
        <v>30</v>
      </c>
      <c r="R2144" t="str">
        <f>VLOOKUP($O2144,'Mapa Oficinas'!$A$7:$C$46,2,FALSE)</f>
        <v>Interior - Neuquén</v>
      </c>
      <c r="S2144" t="str">
        <f>VLOOKUP($O2144,'Mapa Oficinas'!$A$7:$C$46,3,FALSE)</f>
        <v>Capital Neuquén</v>
      </c>
    </row>
    <row r="2145" spans="1:19" x14ac:dyDescent="0.2">
      <c r="A2145" s="1">
        <v>46014</v>
      </c>
      <c r="B2145" t="s">
        <v>2225</v>
      </c>
      <c r="D2145" t="s">
        <v>1158</v>
      </c>
      <c r="E2145" t="s">
        <v>16</v>
      </c>
      <c r="F2145" t="s">
        <v>17</v>
      </c>
      <c r="G2145" s="14">
        <v>74000</v>
      </c>
      <c r="H2145" s="14">
        <v>74000</v>
      </c>
      <c r="I2145" t="s">
        <v>22</v>
      </c>
      <c r="J2145" t="s">
        <v>22</v>
      </c>
      <c r="K2145" t="s">
        <v>2226</v>
      </c>
      <c r="L2145" t="s">
        <v>191</v>
      </c>
      <c r="M2145" t="s">
        <v>19</v>
      </c>
      <c r="N2145">
        <v>2</v>
      </c>
      <c r="O2145" t="s">
        <v>73</v>
      </c>
      <c r="P2145" t="s">
        <v>21</v>
      </c>
      <c r="Q2145" t="s">
        <v>30</v>
      </c>
      <c r="R2145" t="str">
        <f>VLOOKUP($O2145,'Mapa Oficinas'!$A$7:$C$46,2,FALSE)</f>
        <v>CABA</v>
      </c>
      <c r="S2145" t="str">
        <f>VLOOKUP($O2145,'Mapa Oficinas'!$A$7:$C$46,3,FALSE)</f>
        <v>Recoleta</v>
      </c>
    </row>
    <row r="2146" spans="1:19" x14ac:dyDescent="0.2">
      <c r="A2146" s="1">
        <v>46014</v>
      </c>
      <c r="B2146" t="s">
        <v>2222</v>
      </c>
      <c r="D2146" t="s">
        <v>2223</v>
      </c>
      <c r="E2146" t="s">
        <v>16</v>
      </c>
      <c r="F2146" t="s">
        <v>47</v>
      </c>
      <c r="G2146" s="14">
        <v>79000</v>
      </c>
      <c r="H2146" s="14">
        <v>75000</v>
      </c>
      <c r="I2146" t="s">
        <v>22</v>
      </c>
      <c r="J2146" t="s">
        <v>22</v>
      </c>
      <c r="K2146" t="s">
        <v>2224</v>
      </c>
      <c r="L2146" t="s">
        <v>217</v>
      </c>
      <c r="M2146" t="s">
        <v>19</v>
      </c>
      <c r="N2146">
        <v>2</v>
      </c>
      <c r="O2146" t="s">
        <v>198</v>
      </c>
      <c r="P2146" t="s">
        <v>21</v>
      </c>
      <c r="Q2146" t="s">
        <v>30</v>
      </c>
      <c r="R2146" t="str">
        <f>VLOOKUP($O2146,'Mapa Oficinas'!$A$7:$C$46,2,FALSE)</f>
        <v>CABA</v>
      </c>
      <c r="S2146" t="str">
        <f>VLOOKUP($O2146,'Mapa Oficinas'!$A$7:$C$46,3,FALSE)</f>
        <v>Caballito</v>
      </c>
    </row>
    <row r="2147" spans="1:19" x14ac:dyDescent="0.2">
      <c r="A2147" s="1">
        <v>46014</v>
      </c>
      <c r="B2147" t="s">
        <v>2247</v>
      </c>
      <c r="D2147" t="s">
        <v>2248</v>
      </c>
      <c r="E2147" t="s">
        <v>16</v>
      </c>
      <c r="F2147" t="s">
        <v>17</v>
      </c>
      <c r="G2147" s="14">
        <v>115000</v>
      </c>
      <c r="H2147" s="14">
        <v>108000</v>
      </c>
      <c r="I2147" t="s">
        <v>22</v>
      </c>
      <c r="J2147" t="s">
        <v>22</v>
      </c>
      <c r="K2147" t="s">
        <v>2249</v>
      </c>
      <c r="L2147" t="s">
        <v>503</v>
      </c>
      <c r="M2147" t="s">
        <v>19</v>
      </c>
      <c r="N2147">
        <v>2</v>
      </c>
      <c r="O2147" t="s">
        <v>103</v>
      </c>
      <c r="P2147" t="s">
        <v>21</v>
      </c>
      <c r="Q2147" t="s">
        <v>30</v>
      </c>
      <c r="R2147" t="str">
        <f>VLOOKUP($O2147,'Mapa Oficinas'!$A$7:$C$46,2,FALSE)</f>
        <v>CABA</v>
      </c>
      <c r="S2147" t="str">
        <f>VLOOKUP($O2147,'Mapa Oficinas'!$A$7:$C$46,3,FALSE)</f>
        <v>Barrio Parque</v>
      </c>
    </row>
    <row r="2148" spans="1:19" x14ac:dyDescent="0.2">
      <c r="A2148" s="1">
        <v>46014</v>
      </c>
      <c r="B2148" t="s">
        <v>2233</v>
      </c>
      <c r="D2148" t="s">
        <v>2234</v>
      </c>
      <c r="E2148" t="s">
        <v>16</v>
      </c>
      <c r="F2148" t="s">
        <v>17</v>
      </c>
      <c r="G2148" s="14">
        <v>120000</v>
      </c>
      <c r="H2148" s="14">
        <v>115000</v>
      </c>
      <c r="I2148" t="s">
        <v>22</v>
      </c>
      <c r="J2148" t="s">
        <v>22</v>
      </c>
      <c r="K2148" t="s">
        <v>2235</v>
      </c>
      <c r="L2148" t="s">
        <v>277</v>
      </c>
      <c r="M2148" t="s">
        <v>19</v>
      </c>
      <c r="N2148">
        <v>2</v>
      </c>
      <c r="O2148" t="s">
        <v>142</v>
      </c>
      <c r="P2148" t="s">
        <v>21</v>
      </c>
      <c r="Q2148" t="s">
        <v>30</v>
      </c>
      <c r="R2148" t="str">
        <f>VLOOKUP($O2148,'Mapa Oficinas'!$A$7:$C$46,2,FALSE)</f>
        <v>Zona Norte (GBA)</v>
      </c>
      <c r="S2148" t="str">
        <f>VLOOKUP($O2148,'Mapa Oficinas'!$A$7:$C$46,3,FALSE)</f>
        <v>Nordelta</v>
      </c>
    </row>
    <row r="2149" spans="1:19" x14ac:dyDescent="0.2">
      <c r="A2149" s="1">
        <v>46014</v>
      </c>
      <c r="B2149" t="s">
        <v>2243</v>
      </c>
      <c r="D2149" t="s">
        <v>2244</v>
      </c>
      <c r="E2149" t="s">
        <v>16</v>
      </c>
      <c r="F2149" t="s">
        <v>17</v>
      </c>
      <c r="G2149" s="14">
        <v>129000</v>
      </c>
      <c r="H2149" s="14">
        <v>120000</v>
      </c>
      <c r="I2149" t="s">
        <v>22</v>
      </c>
      <c r="J2149" t="s">
        <v>22</v>
      </c>
      <c r="K2149" t="s">
        <v>2245</v>
      </c>
      <c r="L2149" t="s">
        <v>217</v>
      </c>
      <c r="M2149" t="s">
        <v>19</v>
      </c>
      <c r="N2149">
        <v>2</v>
      </c>
      <c r="O2149" t="s">
        <v>103</v>
      </c>
      <c r="P2149" t="s">
        <v>21</v>
      </c>
      <c r="Q2149" t="s">
        <v>30</v>
      </c>
      <c r="R2149" t="str">
        <f>VLOOKUP($O2149,'Mapa Oficinas'!$A$7:$C$46,2,FALSE)</f>
        <v>CABA</v>
      </c>
      <c r="S2149" t="str">
        <f>VLOOKUP($O2149,'Mapa Oficinas'!$A$7:$C$46,3,FALSE)</f>
        <v>Barrio Parque</v>
      </c>
    </row>
    <row r="2150" spans="1:19" x14ac:dyDescent="0.2">
      <c r="A2150" s="1">
        <v>46014</v>
      </c>
      <c r="B2150" t="s">
        <v>2236</v>
      </c>
      <c r="D2150" t="s">
        <v>2237</v>
      </c>
      <c r="E2150" t="s">
        <v>16</v>
      </c>
      <c r="F2150" t="s">
        <v>17</v>
      </c>
      <c r="G2150" s="14">
        <v>140000</v>
      </c>
      <c r="H2150" s="14">
        <v>138000</v>
      </c>
      <c r="I2150" t="s">
        <v>22</v>
      </c>
      <c r="J2150" t="s">
        <v>22</v>
      </c>
      <c r="K2150" t="s">
        <v>2238</v>
      </c>
      <c r="L2150" t="s">
        <v>2239</v>
      </c>
      <c r="M2150" t="s">
        <v>19</v>
      </c>
      <c r="N2150">
        <v>2</v>
      </c>
      <c r="O2150" t="s">
        <v>142</v>
      </c>
      <c r="P2150" t="s">
        <v>21</v>
      </c>
      <c r="Q2150" t="s">
        <v>30</v>
      </c>
      <c r="R2150" t="str">
        <f>VLOOKUP($O2150,'Mapa Oficinas'!$A$7:$C$46,2,FALSE)</f>
        <v>Zona Norte (GBA)</v>
      </c>
      <c r="S2150" t="str">
        <f>VLOOKUP($O2150,'Mapa Oficinas'!$A$7:$C$46,3,FALSE)</f>
        <v>Nordelta</v>
      </c>
    </row>
    <row r="2151" spans="1:19" x14ac:dyDescent="0.2">
      <c r="A2151" s="1">
        <v>46014</v>
      </c>
      <c r="B2151">
        <v>10608</v>
      </c>
      <c r="D2151" t="s">
        <v>2246</v>
      </c>
      <c r="E2151" t="s">
        <v>16</v>
      </c>
      <c r="F2151" t="s">
        <v>17</v>
      </c>
      <c r="G2151" s="14">
        <v>152000</v>
      </c>
      <c r="H2151" s="14">
        <v>152000</v>
      </c>
      <c r="I2151" t="s">
        <v>22</v>
      </c>
      <c r="J2151" t="s">
        <v>22</v>
      </c>
      <c r="K2151" t="s">
        <v>2246</v>
      </c>
      <c r="L2151" t="s">
        <v>102</v>
      </c>
      <c r="M2151" t="s">
        <v>97</v>
      </c>
      <c r="N2151">
        <v>1</v>
      </c>
      <c r="O2151" t="s">
        <v>103</v>
      </c>
      <c r="P2151" t="s">
        <v>146</v>
      </c>
      <c r="Q2151" t="s">
        <v>30</v>
      </c>
      <c r="R2151" t="str">
        <f>VLOOKUP($O2151,'Mapa Oficinas'!$A$7:$C$46,2,FALSE)</f>
        <v>CABA</v>
      </c>
      <c r="S2151" t="str">
        <f>VLOOKUP($O2151,'Mapa Oficinas'!$A$7:$C$46,3,FALSE)</f>
        <v>Barrio Parque</v>
      </c>
    </row>
    <row r="2152" spans="1:19" x14ac:dyDescent="0.2">
      <c r="A2152" s="1">
        <v>46014</v>
      </c>
      <c r="B2152" t="s">
        <v>2214</v>
      </c>
      <c r="D2152" t="s">
        <v>2215</v>
      </c>
      <c r="E2152" t="s">
        <v>16</v>
      </c>
      <c r="F2152" t="s">
        <v>47</v>
      </c>
      <c r="G2152" s="14">
        <v>187000</v>
      </c>
      <c r="H2152" s="14">
        <v>180000</v>
      </c>
      <c r="I2152" t="s">
        <v>22</v>
      </c>
      <c r="J2152" t="s">
        <v>22</v>
      </c>
      <c r="K2152" t="s">
        <v>2216</v>
      </c>
      <c r="L2152" t="s">
        <v>2217</v>
      </c>
      <c r="M2152" t="s">
        <v>28</v>
      </c>
      <c r="N2152">
        <v>2</v>
      </c>
      <c r="O2152" t="s">
        <v>40</v>
      </c>
      <c r="P2152" t="s">
        <v>21</v>
      </c>
      <c r="Q2152" t="s">
        <v>30</v>
      </c>
      <c r="R2152" t="str">
        <f>VLOOKUP($O2152,'Mapa Oficinas'!$A$7:$C$46,2,FALSE)</f>
        <v>Zona Norte (GBA)</v>
      </c>
      <c r="S2152" t="str">
        <f>VLOOKUP($O2152,'Mapa Oficinas'!$A$7:$C$46,3,FALSE)</f>
        <v>Pilar</v>
      </c>
    </row>
    <row r="2153" spans="1:19" x14ac:dyDescent="0.2">
      <c r="A2153" s="1">
        <v>46014</v>
      </c>
      <c r="B2153" t="s">
        <v>2240</v>
      </c>
      <c r="D2153" t="s">
        <v>2241</v>
      </c>
      <c r="E2153" t="s">
        <v>16</v>
      </c>
      <c r="F2153" t="s">
        <v>17</v>
      </c>
      <c r="G2153" s="14">
        <v>250000</v>
      </c>
      <c r="H2153" s="14">
        <v>225000</v>
      </c>
      <c r="I2153" t="s">
        <v>22</v>
      </c>
      <c r="J2153" t="s">
        <v>22</v>
      </c>
      <c r="K2153" t="s">
        <v>2242</v>
      </c>
      <c r="L2153" t="s">
        <v>79</v>
      </c>
      <c r="M2153" t="s">
        <v>19</v>
      </c>
      <c r="N2153">
        <v>2</v>
      </c>
      <c r="O2153" t="s">
        <v>206</v>
      </c>
      <c r="P2153" t="s">
        <v>21</v>
      </c>
      <c r="Q2153" t="s">
        <v>30</v>
      </c>
      <c r="R2153" t="str">
        <f>VLOOKUP($O2153,'Mapa Oficinas'!$A$7:$C$46,2,FALSE)</f>
        <v>CABA</v>
      </c>
      <c r="S2153" t="str">
        <f>VLOOKUP($O2153,'Mapa Oficinas'!$A$7:$C$46,3,FALSE)</f>
        <v>Belgrano</v>
      </c>
    </row>
    <row r="2154" spans="1:19" x14ac:dyDescent="0.2">
      <c r="A2154" s="1">
        <v>46014</v>
      </c>
      <c r="B2154" t="s">
        <v>2250</v>
      </c>
      <c r="D2154" t="s">
        <v>2251</v>
      </c>
      <c r="E2154" t="s">
        <v>16</v>
      </c>
      <c r="F2154" t="s">
        <v>17</v>
      </c>
      <c r="G2154" s="14">
        <v>325000</v>
      </c>
      <c r="H2154" s="14">
        <v>325000</v>
      </c>
      <c r="I2154" t="s">
        <v>22</v>
      </c>
      <c r="J2154" t="s">
        <v>22</v>
      </c>
      <c r="K2154" t="s">
        <v>2252</v>
      </c>
      <c r="L2154" t="s">
        <v>199</v>
      </c>
      <c r="M2154" t="s">
        <v>28</v>
      </c>
      <c r="N2154">
        <v>2</v>
      </c>
      <c r="O2154" t="s">
        <v>103</v>
      </c>
      <c r="P2154" t="s">
        <v>21</v>
      </c>
      <c r="Q2154" t="s">
        <v>30</v>
      </c>
      <c r="R2154" t="str">
        <f>VLOOKUP($O2154,'Mapa Oficinas'!$A$7:$C$46,2,FALSE)</f>
        <v>CABA</v>
      </c>
      <c r="S2154" t="str">
        <f>VLOOKUP($O2154,'Mapa Oficinas'!$A$7:$C$46,3,FALSE)</f>
        <v>Barrio Parque</v>
      </c>
    </row>
    <row r="2155" spans="1:19" x14ac:dyDescent="0.2">
      <c r="A2155" s="1">
        <v>46015</v>
      </c>
      <c r="B2155" t="s">
        <v>2201</v>
      </c>
      <c r="D2155" t="s">
        <v>2202</v>
      </c>
      <c r="E2155" t="s">
        <v>16</v>
      </c>
      <c r="F2155" t="s">
        <v>17</v>
      </c>
      <c r="G2155" s="14">
        <v>129000</v>
      </c>
      <c r="H2155" s="14">
        <v>120000</v>
      </c>
      <c r="I2155" t="s">
        <v>22</v>
      </c>
      <c r="J2155" t="s">
        <v>22</v>
      </c>
      <c r="K2155" t="s">
        <v>2203</v>
      </c>
      <c r="L2155" t="s">
        <v>1498</v>
      </c>
      <c r="M2155" t="s">
        <v>19</v>
      </c>
      <c r="N2155">
        <v>2</v>
      </c>
      <c r="O2155" t="s">
        <v>20</v>
      </c>
      <c r="P2155" t="s">
        <v>276</v>
      </c>
      <c r="Q2155" t="s">
        <v>30</v>
      </c>
      <c r="R2155" t="str">
        <f>VLOOKUP($O2155,'Mapa Oficinas'!$A$7:$C$46,2,FALSE)</f>
        <v>CABA</v>
      </c>
      <c r="S2155" t="str">
        <f>VLOOKUP($O2155,'Mapa Oficinas'!$A$7:$C$46,3,FALSE)</f>
        <v>Palermo</v>
      </c>
    </row>
    <row r="2156" spans="1:19" x14ac:dyDescent="0.2">
      <c r="A2156" s="1">
        <v>46015</v>
      </c>
      <c r="B2156" t="s">
        <v>2193</v>
      </c>
      <c r="D2156" t="s">
        <v>2194</v>
      </c>
      <c r="E2156" t="s">
        <v>16</v>
      </c>
      <c r="F2156" t="s">
        <v>17</v>
      </c>
      <c r="G2156" s="14">
        <v>154000</v>
      </c>
      <c r="H2156" s="14">
        <v>125000</v>
      </c>
      <c r="I2156" t="s">
        <v>22</v>
      </c>
      <c r="J2156" t="s">
        <v>22</v>
      </c>
      <c r="K2156" t="s">
        <v>2195</v>
      </c>
      <c r="L2156" t="s">
        <v>2196</v>
      </c>
      <c r="M2156" t="s">
        <v>19</v>
      </c>
      <c r="N2156">
        <v>2</v>
      </c>
      <c r="O2156" t="s">
        <v>142</v>
      </c>
      <c r="P2156" t="s">
        <v>21</v>
      </c>
      <c r="Q2156" t="s">
        <v>30</v>
      </c>
      <c r="R2156" t="str">
        <f>VLOOKUP($O2156,'Mapa Oficinas'!$A$7:$C$46,2,FALSE)</f>
        <v>Zona Norte (GBA)</v>
      </c>
      <c r="S2156" t="str">
        <f>VLOOKUP($O2156,'Mapa Oficinas'!$A$7:$C$46,3,FALSE)</f>
        <v>Nordelta</v>
      </c>
    </row>
    <row r="2157" spans="1:19" x14ac:dyDescent="0.2">
      <c r="A2157" s="1">
        <v>46015</v>
      </c>
      <c r="B2157" t="s">
        <v>2189</v>
      </c>
      <c r="D2157" t="s">
        <v>2190</v>
      </c>
      <c r="E2157" t="s">
        <v>16</v>
      </c>
      <c r="F2157" t="s">
        <v>17</v>
      </c>
      <c r="G2157" s="14">
        <v>268000</v>
      </c>
      <c r="H2157" s="14">
        <v>143000</v>
      </c>
      <c r="I2157" t="s">
        <v>22</v>
      </c>
      <c r="J2157" t="s">
        <v>22</v>
      </c>
      <c r="K2157" t="s">
        <v>2191</v>
      </c>
      <c r="L2157" t="s">
        <v>2192</v>
      </c>
      <c r="M2157" t="s">
        <v>28</v>
      </c>
      <c r="N2157">
        <v>2</v>
      </c>
      <c r="O2157" t="s">
        <v>142</v>
      </c>
      <c r="P2157" t="s">
        <v>41</v>
      </c>
      <c r="Q2157" t="s">
        <v>30</v>
      </c>
      <c r="R2157" t="str">
        <f>VLOOKUP($O2157,'Mapa Oficinas'!$A$7:$C$46,2,FALSE)</f>
        <v>Zona Norte (GBA)</v>
      </c>
      <c r="S2157" t="str">
        <f>VLOOKUP($O2157,'Mapa Oficinas'!$A$7:$C$46,3,FALSE)</f>
        <v>Nordelta</v>
      </c>
    </row>
    <row r="2158" spans="1:19" x14ac:dyDescent="0.2">
      <c r="A2158" s="1">
        <v>46015</v>
      </c>
      <c r="B2158" t="s">
        <v>2197</v>
      </c>
      <c r="D2158" t="s">
        <v>2198</v>
      </c>
      <c r="E2158" t="s">
        <v>16</v>
      </c>
      <c r="F2158" t="s">
        <v>47</v>
      </c>
      <c r="G2158" s="14">
        <v>159000</v>
      </c>
      <c r="H2158" s="14">
        <v>159000</v>
      </c>
      <c r="I2158" t="s">
        <v>22</v>
      </c>
      <c r="J2158" t="s">
        <v>22</v>
      </c>
      <c r="K2158" t="s">
        <v>2199</v>
      </c>
      <c r="L2158" t="s">
        <v>2200</v>
      </c>
      <c r="M2158" t="s">
        <v>28</v>
      </c>
      <c r="N2158">
        <v>2</v>
      </c>
      <c r="O2158" t="s">
        <v>20</v>
      </c>
      <c r="P2158" t="s">
        <v>21</v>
      </c>
      <c r="Q2158" t="s">
        <v>30</v>
      </c>
      <c r="R2158" t="str">
        <f>VLOOKUP($O2158,'Mapa Oficinas'!$A$7:$C$46,2,FALSE)</f>
        <v>CABA</v>
      </c>
      <c r="S2158" t="str">
        <f>VLOOKUP($O2158,'Mapa Oficinas'!$A$7:$C$46,3,FALSE)</f>
        <v>Palermo</v>
      </c>
    </row>
    <row r="2159" spans="1:19" x14ac:dyDescent="0.2">
      <c r="A2159" s="1">
        <v>46015</v>
      </c>
      <c r="B2159" t="s">
        <v>2204</v>
      </c>
      <c r="D2159" t="s">
        <v>2205</v>
      </c>
      <c r="E2159" t="s">
        <v>16</v>
      </c>
      <c r="F2159" t="s">
        <v>17</v>
      </c>
      <c r="G2159" s="14">
        <v>165000</v>
      </c>
      <c r="H2159" s="14">
        <v>163000</v>
      </c>
      <c r="I2159" t="s">
        <v>22</v>
      </c>
      <c r="J2159" t="s">
        <v>22</v>
      </c>
      <c r="K2159" t="s">
        <v>2206</v>
      </c>
      <c r="L2159" t="s">
        <v>933</v>
      </c>
      <c r="M2159" t="s">
        <v>19</v>
      </c>
      <c r="N2159">
        <v>2</v>
      </c>
      <c r="O2159" t="s">
        <v>227</v>
      </c>
      <c r="P2159" t="s">
        <v>21</v>
      </c>
      <c r="Q2159" t="s">
        <v>30</v>
      </c>
      <c r="R2159" t="str">
        <f>VLOOKUP($O2159,'Mapa Oficinas'!$A$7:$C$46,2,FALSE)</f>
        <v>Zona Oeste (GBA)</v>
      </c>
      <c r="S2159" t="str">
        <f>VLOOKUP($O2159,'Mapa Oficinas'!$A$7:$C$46,3,FALSE)</f>
        <v>Parque Leloir</v>
      </c>
    </row>
    <row r="2160" spans="1:19" x14ac:dyDescent="0.2">
      <c r="A2160" s="1">
        <v>46016</v>
      </c>
      <c r="B2160" t="s">
        <v>2186</v>
      </c>
      <c r="D2160" t="s">
        <v>2187</v>
      </c>
      <c r="E2160" t="s">
        <v>16</v>
      </c>
      <c r="F2160" t="s">
        <v>17</v>
      </c>
      <c r="G2160" s="14">
        <v>138000</v>
      </c>
      <c r="H2160" s="14">
        <v>125000</v>
      </c>
      <c r="I2160" t="s">
        <v>22</v>
      </c>
      <c r="J2160" t="s">
        <v>22</v>
      </c>
      <c r="K2160" t="s">
        <v>2188</v>
      </c>
      <c r="L2160" t="s">
        <v>1064</v>
      </c>
      <c r="M2160" t="s">
        <v>19</v>
      </c>
      <c r="N2160">
        <v>2</v>
      </c>
      <c r="O2160" t="s">
        <v>103</v>
      </c>
      <c r="P2160" t="s">
        <v>276</v>
      </c>
      <c r="Q2160" t="s">
        <v>30</v>
      </c>
      <c r="R2160" t="str">
        <f>VLOOKUP($O2160,'Mapa Oficinas'!$A$7:$C$46,2,FALSE)</f>
        <v>CABA</v>
      </c>
      <c r="S2160" t="str">
        <f>VLOOKUP($O2160,'Mapa Oficinas'!$A$7:$C$46,3,FALSE)</f>
        <v>Barrio Parque</v>
      </c>
    </row>
    <row r="2161" spans="1:19" x14ac:dyDescent="0.2">
      <c r="A2161" s="1">
        <v>46016</v>
      </c>
      <c r="B2161" t="s">
        <v>2183</v>
      </c>
      <c r="D2161" t="s">
        <v>2184</v>
      </c>
      <c r="E2161" t="s">
        <v>16</v>
      </c>
      <c r="F2161" t="s">
        <v>47</v>
      </c>
      <c r="G2161" s="14">
        <v>450000</v>
      </c>
      <c r="H2161" s="14">
        <v>430000</v>
      </c>
      <c r="I2161" t="s">
        <v>22</v>
      </c>
      <c r="J2161" t="s">
        <v>22</v>
      </c>
      <c r="K2161" t="s">
        <v>2185</v>
      </c>
      <c r="L2161" t="s">
        <v>478</v>
      </c>
      <c r="M2161" t="s">
        <v>28</v>
      </c>
      <c r="N2161">
        <v>2</v>
      </c>
      <c r="O2161" t="s">
        <v>142</v>
      </c>
      <c r="P2161" t="s">
        <v>21</v>
      </c>
      <c r="Q2161" t="s">
        <v>30</v>
      </c>
      <c r="R2161" t="str">
        <f>VLOOKUP($O2161,'Mapa Oficinas'!$A$7:$C$46,2,FALSE)</f>
        <v>Zona Norte (GBA)</v>
      </c>
      <c r="S2161" t="str">
        <f>VLOOKUP($O2161,'Mapa Oficinas'!$A$7:$C$46,3,FALSE)</f>
        <v>Nordelta</v>
      </c>
    </row>
    <row r="2162" spans="1:19" x14ac:dyDescent="0.2">
      <c r="A2162" s="1">
        <v>46017</v>
      </c>
      <c r="B2162" t="s">
        <v>2173</v>
      </c>
      <c r="D2162" t="s">
        <v>2174</v>
      </c>
      <c r="E2162" t="s">
        <v>16</v>
      </c>
      <c r="F2162" t="s">
        <v>134</v>
      </c>
      <c r="G2162" s="14">
        <v>52000</v>
      </c>
      <c r="H2162" s="14">
        <v>47000</v>
      </c>
      <c r="I2162" t="s">
        <v>22</v>
      </c>
      <c r="J2162" t="s">
        <v>22</v>
      </c>
      <c r="K2162" t="s">
        <v>2175</v>
      </c>
      <c r="L2162" t="s">
        <v>2176</v>
      </c>
      <c r="M2162" t="s">
        <v>19</v>
      </c>
      <c r="N2162">
        <v>1</v>
      </c>
      <c r="O2162" t="s">
        <v>246</v>
      </c>
      <c r="P2162" t="s">
        <v>66</v>
      </c>
      <c r="Q2162" t="s">
        <v>30</v>
      </c>
      <c r="R2162" t="str">
        <f>VLOOKUP($O2162,'Mapa Oficinas'!$A$7:$C$46,2,FALSE)</f>
        <v>Interior - Salta</v>
      </c>
      <c r="S2162" t="str">
        <f>VLOOKUP($O2162,'Mapa Oficinas'!$A$7:$C$46,3,FALSE)</f>
        <v>San Lorenzo Chico</v>
      </c>
    </row>
    <row r="2163" spans="1:19" x14ac:dyDescent="0.2">
      <c r="A2163" s="1">
        <v>46017</v>
      </c>
      <c r="B2163" t="s">
        <v>2180</v>
      </c>
      <c r="D2163" t="s">
        <v>2181</v>
      </c>
      <c r="E2163" t="s">
        <v>16</v>
      </c>
      <c r="F2163" t="s">
        <v>127</v>
      </c>
      <c r="G2163" s="14">
        <v>88000</v>
      </c>
      <c r="H2163" s="14">
        <v>84500</v>
      </c>
      <c r="I2163" t="s">
        <v>22</v>
      </c>
      <c r="J2163" t="s">
        <v>22</v>
      </c>
      <c r="K2163" t="s">
        <v>2182</v>
      </c>
      <c r="L2163" t="s">
        <v>217</v>
      </c>
      <c r="M2163" t="s">
        <v>19</v>
      </c>
      <c r="N2163">
        <v>2</v>
      </c>
      <c r="O2163" t="s">
        <v>116</v>
      </c>
      <c r="P2163" t="s">
        <v>21</v>
      </c>
      <c r="Q2163" t="s">
        <v>30</v>
      </c>
      <c r="R2163" t="str">
        <f>VLOOKUP($O2163,'Mapa Oficinas'!$A$7:$C$46,2,FALSE)</f>
        <v>CABA</v>
      </c>
      <c r="S2163" t="str">
        <f>VLOOKUP($O2163,'Mapa Oficinas'!$A$7:$C$46,3,FALSE)</f>
        <v>Puerto Madero</v>
      </c>
    </row>
    <row r="2164" spans="1:19" x14ac:dyDescent="0.2">
      <c r="A2164" s="1">
        <v>46017</v>
      </c>
      <c r="B2164" t="s">
        <v>2170</v>
      </c>
      <c r="D2164" t="s">
        <v>2171</v>
      </c>
      <c r="E2164" t="s">
        <v>16</v>
      </c>
      <c r="F2164" t="s">
        <v>17</v>
      </c>
      <c r="G2164" s="14">
        <v>215000</v>
      </c>
      <c r="H2164" s="14">
        <v>205000</v>
      </c>
      <c r="I2164" t="s">
        <v>22</v>
      </c>
      <c r="J2164" t="s">
        <v>22</v>
      </c>
      <c r="K2164" t="s">
        <v>2172</v>
      </c>
      <c r="L2164" t="s">
        <v>191</v>
      </c>
      <c r="M2164" t="s">
        <v>19</v>
      </c>
      <c r="N2164">
        <v>2</v>
      </c>
      <c r="O2164" t="s">
        <v>252</v>
      </c>
      <c r="P2164" t="s">
        <v>276</v>
      </c>
      <c r="Q2164" t="s">
        <v>30</v>
      </c>
      <c r="R2164" t="str">
        <f>VLOOKUP($O2164,'Mapa Oficinas'!$A$7:$C$46,2,FALSE)</f>
        <v>CABA</v>
      </c>
      <c r="S2164" t="str">
        <f>VLOOKUP($O2164,'Mapa Oficinas'!$A$7:$C$46,3,FALSE)</f>
        <v>Belgrano</v>
      </c>
    </row>
    <row r="2165" spans="1:19" x14ac:dyDescent="0.2">
      <c r="A2165" s="1">
        <v>46017</v>
      </c>
      <c r="B2165" t="s">
        <v>2177</v>
      </c>
      <c r="D2165" t="s">
        <v>2178</v>
      </c>
      <c r="E2165" t="s">
        <v>16</v>
      </c>
      <c r="F2165" t="s">
        <v>17</v>
      </c>
      <c r="G2165" s="14">
        <v>380000</v>
      </c>
      <c r="H2165" s="14">
        <v>345000</v>
      </c>
      <c r="I2165" t="s">
        <v>22</v>
      </c>
      <c r="J2165" t="s">
        <v>22</v>
      </c>
      <c r="K2165" t="s">
        <v>2179</v>
      </c>
      <c r="L2165" t="s">
        <v>867</v>
      </c>
      <c r="M2165" t="s">
        <v>19</v>
      </c>
      <c r="N2165">
        <v>2</v>
      </c>
      <c r="O2165" t="s">
        <v>116</v>
      </c>
      <c r="P2165" t="s">
        <v>21</v>
      </c>
      <c r="Q2165" t="s">
        <v>30</v>
      </c>
      <c r="R2165" t="str">
        <f>VLOOKUP($O2165,'Mapa Oficinas'!$A$7:$C$46,2,FALSE)</f>
        <v>CABA</v>
      </c>
      <c r="S2165" t="str">
        <f>VLOOKUP($O2165,'Mapa Oficinas'!$A$7:$C$46,3,FALSE)</f>
        <v>Puerto Madero</v>
      </c>
    </row>
    <row r="2166" spans="1:19" x14ac:dyDescent="0.2">
      <c r="A2166" s="1">
        <v>46018</v>
      </c>
      <c r="B2166" t="s">
        <v>2164</v>
      </c>
      <c r="D2166" t="s">
        <v>2165</v>
      </c>
      <c r="E2166" t="s">
        <v>16</v>
      </c>
      <c r="F2166" t="s">
        <v>82</v>
      </c>
      <c r="G2166" s="14">
        <v>65000</v>
      </c>
      <c r="H2166" s="14">
        <v>65000</v>
      </c>
      <c r="I2166" t="s">
        <v>22</v>
      </c>
      <c r="J2166" t="s">
        <v>22</v>
      </c>
      <c r="K2166" t="s">
        <v>2166</v>
      </c>
      <c r="L2166" t="s">
        <v>1531</v>
      </c>
      <c r="M2166" t="s">
        <v>97</v>
      </c>
      <c r="N2166">
        <v>2</v>
      </c>
      <c r="O2166" t="s">
        <v>85</v>
      </c>
      <c r="P2166" t="s">
        <v>21</v>
      </c>
      <c r="Q2166" t="s">
        <v>30</v>
      </c>
      <c r="R2166" t="str">
        <f>VLOOKUP($O2166,'Mapa Oficinas'!$A$7:$C$46,2,FALSE)</f>
        <v>Interior - Jujuy</v>
      </c>
      <c r="S2166" t="str">
        <f>VLOOKUP($O2166,'Mapa Oficinas'!$A$7:$C$46,3,FALSE)</f>
        <v>Capital Jujuy</v>
      </c>
    </row>
    <row r="2167" spans="1:19" x14ac:dyDescent="0.2">
      <c r="A2167" s="1">
        <v>46018</v>
      </c>
      <c r="B2167" t="s">
        <v>2167</v>
      </c>
      <c r="D2167" t="s">
        <v>2168</v>
      </c>
      <c r="E2167" t="s">
        <v>16</v>
      </c>
      <c r="F2167" t="s">
        <v>17</v>
      </c>
      <c r="G2167" s="14">
        <v>145000</v>
      </c>
      <c r="H2167" s="14">
        <v>133000</v>
      </c>
      <c r="I2167" t="s">
        <v>22</v>
      </c>
      <c r="J2167" t="s">
        <v>22</v>
      </c>
      <c r="K2167" t="s">
        <v>2169</v>
      </c>
      <c r="L2167" t="s">
        <v>545</v>
      </c>
      <c r="M2167" t="s">
        <v>72</v>
      </c>
      <c r="N2167">
        <v>2</v>
      </c>
      <c r="O2167" t="s">
        <v>116</v>
      </c>
      <c r="P2167" t="s">
        <v>21</v>
      </c>
      <c r="Q2167" t="s">
        <v>30</v>
      </c>
      <c r="R2167" t="str">
        <f>VLOOKUP($O2167,'Mapa Oficinas'!$A$7:$C$46,2,FALSE)</f>
        <v>CABA</v>
      </c>
      <c r="S2167" t="str">
        <f>VLOOKUP($O2167,'Mapa Oficinas'!$A$7:$C$46,3,FALSE)</f>
        <v>Puerto Madero</v>
      </c>
    </row>
    <row r="2168" spans="1:19" x14ac:dyDescent="0.2">
      <c r="A2168" s="1">
        <v>46020</v>
      </c>
      <c r="B2168" t="s">
        <v>2154</v>
      </c>
      <c r="D2168" t="s">
        <v>2155</v>
      </c>
      <c r="E2168" t="s">
        <v>16</v>
      </c>
      <c r="F2168" t="s">
        <v>38</v>
      </c>
      <c r="G2168" s="14">
        <v>45000</v>
      </c>
      <c r="H2168" s="14">
        <v>39000</v>
      </c>
      <c r="I2168" t="s">
        <v>22</v>
      </c>
      <c r="J2168" t="s">
        <v>22</v>
      </c>
      <c r="K2168" t="s">
        <v>2156</v>
      </c>
      <c r="L2168" t="s">
        <v>1494</v>
      </c>
      <c r="M2168" t="s">
        <v>19</v>
      </c>
      <c r="N2168">
        <v>1</v>
      </c>
      <c r="O2168" t="s">
        <v>55</v>
      </c>
      <c r="P2168" t="s">
        <v>66</v>
      </c>
      <c r="Q2168" t="s">
        <v>30</v>
      </c>
      <c r="R2168" t="str">
        <f>VLOOKUP($O2168,'Mapa Oficinas'!$A$7:$C$46,2,FALSE)</f>
        <v>Interior - Santa Fe</v>
      </c>
      <c r="S2168" t="str">
        <f>VLOOKUP($O2168,'Mapa Oficinas'!$A$7:$C$46,3,FALSE)</f>
        <v>Capital Santa Fe</v>
      </c>
    </row>
    <row r="2169" spans="1:19" x14ac:dyDescent="0.2">
      <c r="A2169" s="1">
        <v>46020</v>
      </c>
      <c r="B2169" t="s">
        <v>2143</v>
      </c>
      <c r="D2169" t="s">
        <v>2144</v>
      </c>
      <c r="E2169" t="s">
        <v>16</v>
      </c>
      <c r="F2169" t="s">
        <v>82</v>
      </c>
      <c r="G2169" s="14">
        <v>62000</v>
      </c>
      <c r="H2169" s="14">
        <v>55000</v>
      </c>
      <c r="I2169" t="s">
        <v>22</v>
      </c>
      <c r="J2169" t="s">
        <v>22</v>
      </c>
      <c r="K2169" t="s">
        <v>2145</v>
      </c>
      <c r="L2169" t="s">
        <v>286</v>
      </c>
      <c r="M2169" t="s">
        <v>19</v>
      </c>
      <c r="N2169">
        <v>1</v>
      </c>
      <c r="O2169" t="s">
        <v>55</v>
      </c>
      <c r="P2169" t="s">
        <v>66</v>
      </c>
      <c r="Q2169" t="s">
        <v>30</v>
      </c>
      <c r="R2169" t="str">
        <f>VLOOKUP($O2169,'Mapa Oficinas'!$A$7:$C$46,2,FALSE)</f>
        <v>Interior - Santa Fe</v>
      </c>
      <c r="S2169" t="str">
        <f>VLOOKUP($O2169,'Mapa Oficinas'!$A$7:$C$46,3,FALSE)</f>
        <v>Capital Santa Fe</v>
      </c>
    </row>
    <row r="2170" spans="1:19" x14ac:dyDescent="0.2">
      <c r="A2170" s="1">
        <v>46020</v>
      </c>
      <c r="B2170" t="s">
        <v>2149</v>
      </c>
      <c r="D2170" t="s">
        <v>2149</v>
      </c>
      <c r="E2170" t="s">
        <v>16</v>
      </c>
      <c r="F2170" t="s">
        <v>17</v>
      </c>
      <c r="G2170" s="14">
        <v>63000</v>
      </c>
      <c r="H2170" s="14">
        <v>63000</v>
      </c>
      <c r="I2170" t="s">
        <v>22</v>
      </c>
      <c r="J2170" t="s">
        <v>22</v>
      </c>
      <c r="K2170" t="s">
        <v>2149</v>
      </c>
      <c r="L2170" t="s">
        <v>199</v>
      </c>
      <c r="M2170" t="s">
        <v>19</v>
      </c>
      <c r="N2170">
        <v>2</v>
      </c>
      <c r="O2170" t="s">
        <v>50</v>
      </c>
      <c r="P2170" t="s">
        <v>21</v>
      </c>
      <c r="Q2170" t="s">
        <v>30</v>
      </c>
      <c r="R2170" t="str">
        <f>VLOOKUP($O2170,'Mapa Oficinas'!$A$7:$C$46,2,FALSE)</f>
        <v>CABA</v>
      </c>
      <c r="S2170" t="str">
        <f>VLOOKUP($O2170,'Mapa Oficinas'!$A$7:$C$46,3,FALSE)</f>
        <v>Villa Urquiza</v>
      </c>
    </row>
    <row r="2171" spans="1:19" x14ac:dyDescent="0.2">
      <c r="A2171" s="1">
        <v>46020</v>
      </c>
      <c r="B2171" t="s">
        <v>2150</v>
      </c>
      <c r="D2171" t="s">
        <v>2151</v>
      </c>
      <c r="E2171" t="s">
        <v>16</v>
      </c>
      <c r="F2171" t="s">
        <v>82</v>
      </c>
      <c r="G2171" s="14">
        <v>72000</v>
      </c>
      <c r="H2171" s="14">
        <v>71000</v>
      </c>
      <c r="I2171" t="s">
        <v>22</v>
      </c>
      <c r="J2171" t="s">
        <v>22</v>
      </c>
      <c r="K2171" t="s">
        <v>2152</v>
      </c>
      <c r="L2171" t="s">
        <v>2153</v>
      </c>
      <c r="M2171" t="s">
        <v>19</v>
      </c>
      <c r="N2171">
        <v>2</v>
      </c>
      <c r="O2171" t="s">
        <v>98</v>
      </c>
      <c r="P2171" t="s">
        <v>41</v>
      </c>
      <c r="Q2171" t="s">
        <v>30</v>
      </c>
      <c r="R2171" t="str">
        <f>VLOOKUP($O2171,'Mapa Oficinas'!$A$7:$C$46,2,FALSE)</f>
        <v>Interior - Neuquén</v>
      </c>
      <c r="S2171" t="str">
        <f>VLOOKUP($O2171,'Mapa Oficinas'!$A$7:$C$46,3,FALSE)</f>
        <v>Villa La Angostura</v>
      </c>
    </row>
    <row r="2172" spans="1:19" x14ac:dyDescent="0.2">
      <c r="A2172" s="1">
        <v>46020</v>
      </c>
      <c r="B2172" t="s">
        <v>2160</v>
      </c>
      <c r="D2172" t="s">
        <v>2161</v>
      </c>
      <c r="E2172" t="s">
        <v>16</v>
      </c>
      <c r="F2172" t="s">
        <v>82</v>
      </c>
      <c r="G2172" s="14">
        <v>85000</v>
      </c>
      <c r="H2172" s="14">
        <v>83000</v>
      </c>
      <c r="I2172" t="s">
        <v>22</v>
      </c>
      <c r="J2172" t="s">
        <v>22</v>
      </c>
      <c r="K2172" t="s">
        <v>2162</v>
      </c>
      <c r="L2172" t="s">
        <v>2163</v>
      </c>
      <c r="M2172" t="s">
        <v>19</v>
      </c>
      <c r="N2172">
        <v>2</v>
      </c>
      <c r="O2172" t="s">
        <v>618</v>
      </c>
      <c r="P2172" t="s">
        <v>21</v>
      </c>
      <c r="Q2172" t="s">
        <v>30</v>
      </c>
      <c r="R2172" t="str">
        <f>VLOOKUP($O2172,'Mapa Oficinas'!$A$7:$C$46,2,FALSE)</f>
        <v>CABA</v>
      </c>
      <c r="S2172" t="str">
        <f>VLOOKUP($O2172,'Mapa Oficinas'!$A$7:$C$46,3,FALSE)</f>
        <v>Caballito</v>
      </c>
    </row>
    <row r="2173" spans="1:19" x14ac:dyDescent="0.2">
      <c r="A2173" s="1">
        <v>46020</v>
      </c>
      <c r="B2173" t="s">
        <v>2136</v>
      </c>
      <c r="D2173" t="s">
        <v>2137</v>
      </c>
      <c r="E2173" t="s">
        <v>16</v>
      </c>
      <c r="F2173" t="s">
        <v>17</v>
      </c>
      <c r="G2173" s="14">
        <v>120000</v>
      </c>
      <c r="H2173" s="14">
        <v>115000</v>
      </c>
      <c r="I2173" t="s">
        <v>22</v>
      </c>
      <c r="J2173" t="s">
        <v>22</v>
      </c>
      <c r="K2173" t="s">
        <v>2138</v>
      </c>
      <c r="L2173" t="s">
        <v>277</v>
      </c>
      <c r="M2173" t="s">
        <v>19</v>
      </c>
      <c r="N2173">
        <v>2</v>
      </c>
      <c r="O2173" t="s">
        <v>35</v>
      </c>
      <c r="P2173" t="s">
        <v>21</v>
      </c>
      <c r="Q2173" t="s">
        <v>30</v>
      </c>
      <c r="R2173" t="str">
        <f>VLOOKUP($O2173,'Mapa Oficinas'!$A$7:$C$46,2,FALSE)</f>
        <v>Zona Norte (GBA)</v>
      </c>
      <c r="S2173" t="str">
        <f>VLOOKUP($O2173,'Mapa Oficinas'!$A$7:$C$46,3,FALSE)</f>
        <v>Vicente López</v>
      </c>
    </row>
    <row r="2174" spans="1:19" x14ac:dyDescent="0.2">
      <c r="A2174" s="1">
        <v>46020</v>
      </c>
      <c r="B2174" t="s">
        <v>2157</v>
      </c>
      <c r="D2174" t="s">
        <v>2158</v>
      </c>
      <c r="E2174" t="s">
        <v>16</v>
      </c>
      <c r="F2174" t="s">
        <v>17</v>
      </c>
      <c r="G2174" s="14">
        <v>240000</v>
      </c>
      <c r="H2174" s="14">
        <v>200000</v>
      </c>
      <c r="I2174" t="s">
        <v>22</v>
      </c>
      <c r="J2174" t="s">
        <v>22</v>
      </c>
      <c r="K2174" t="s">
        <v>2159</v>
      </c>
      <c r="L2174" t="s">
        <v>164</v>
      </c>
      <c r="M2174" t="s">
        <v>19</v>
      </c>
      <c r="N2174">
        <v>2</v>
      </c>
      <c r="O2174" t="s">
        <v>116</v>
      </c>
      <c r="P2174" t="s">
        <v>276</v>
      </c>
      <c r="Q2174" t="s">
        <v>30</v>
      </c>
      <c r="R2174" t="str">
        <f>VLOOKUP($O2174,'Mapa Oficinas'!$A$7:$C$46,2,FALSE)</f>
        <v>CABA</v>
      </c>
      <c r="S2174" t="str">
        <f>VLOOKUP($O2174,'Mapa Oficinas'!$A$7:$C$46,3,FALSE)</f>
        <v>Puerto Madero</v>
      </c>
    </row>
    <row r="2175" spans="1:19" x14ac:dyDescent="0.2">
      <c r="A2175" s="1">
        <v>46020</v>
      </c>
      <c r="B2175" t="s">
        <v>2146</v>
      </c>
      <c r="D2175" t="s">
        <v>2147</v>
      </c>
      <c r="E2175" t="s">
        <v>16</v>
      </c>
      <c r="F2175" t="s">
        <v>17</v>
      </c>
      <c r="G2175" s="14">
        <v>215000</v>
      </c>
      <c r="H2175" s="14">
        <v>203000</v>
      </c>
      <c r="I2175" t="s">
        <v>22</v>
      </c>
      <c r="J2175" t="s">
        <v>22</v>
      </c>
      <c r="K2175" t="s">
        <v>2148</v>
      </c>
      <c r="L2175" t="s">
        <v>79</v>
      </c>
      <c r="M2175" t="s">
        <v>19</v>
      </c>
      <c r="N2175">
        <v>2</v>
      </c>
      <c r="O2175" t="s">
        <v>201</v>
      </c>
      <c r="P2175" t="s">
        <v>21</v>
      </c>
      <c r="Q2175" t="s">
        <v>30</v>
      </c>
      <c r="R2175" t="str">
        <f>VLOOKUP($O2175,'Mapa Oficinas'!$A$7:$C$46,2,FALSE)</f>
        <v>CABA</v>
      </c>
      <c r="S2175" t="str">
        <f>VLOOKUP($O2175,'Mapa Oficinas'!$A$7:$C$46,3,FALSE)</f>
        <v>Recoleta</v>
      </c>
    </row>
    <row r="2176" spans="1:19" x14ac:dyDescent="0.2">
      <c r="A2176" s="1">
        <v>46020</v>
      </c>
      <c r="B2176" t="s">
        <v>2139</v>
      </c>
      <c r="D2176" t="s">
        <v>2140</v>
      </c>
      <c r="E2176" t="s">
        <v>16</v>
      </c>
      <c r="F2176" t="s">
        <v>17</v>
      </c>
      <c r="G2176" s="14">
        <v>360000</v>
      </c>
      <c r="H2176" s="14">
        <v>255000</v>
      </c>
      <c r="I2176" t="s">
        <v>22</v>
      </c>
      <c r="J2176" t="s">
        <v>22</v>
      </c>
      <c r="K2176" t="s">
        <v>2141</v>
      </c>
      <c r="L2176" t="s">
        <v>2142</v>
      </c>
      <c r="M2176" t="s">
        <v>28</v>
      </c>
      <c r="N2176">
        <v>1</v>
      </c>
      <c r="O2176" t="s">
        <v>142</v>
      </c>
      <c r="P2176" t="s">
        <v>146</v>
      </c>
      <c r="Q2176" t="s">
        <v>30</v>
      </c>
      <c r="R2176" t="str">
        <f>VLOOKUP($O2176,'Mapa Oficinas'!$A$7:$C$46,2,FALSE)</f>
        <v>Zona Norte (GBA)</v>
      </c>
      <c r="S2176" t="str">
        <f>VLOOKUP($O2176,'Mapa Oficinas'!$A$7:$C$46,3,FALSE)</f>
        <v>Nordelta</v>
      </c>
    </row>
    <row r="2177" spans="1:19" x14ac:dyDescent="0.2">
      <c r="A2177" s="1">
        <v>46020</v>
      </c>
      <c r="B2177" t="s">
        <v>2133</v>
      </c>
      <c r="D2177" t="s">
        <v>2134</v>
      </c>
      <c r="E2177" t="s">
        <v>16</v>
      </c>
      <c r="F2177" t="s">
        <v>17</v>
      </c>
      <c r="G2177" s="14">
        <v>1350000</v>
      </c>
      <c r="H2177" s="14">
        <v>1210000</v>
      </c>
      <c r="I2177" t="s">
        <v>22</v>
      </c>
      <c r="J2177" t="s">
        <v>22</v>
      </c>
      <c r="K2177" t="s">
        <v>2135</v>
      </c>
      <c r="L2177" t="s">
        <v>102</v>
      </c>
      <c r="M2177" t="s">
        <v>19</v>
      </c>
      <c r="N2177">
        <v>2</v>
      </c>
      <c r="O2177" t="s">
        <v>20</v>
      </c>
      <c r="P2177" t="s">
        <v>21</v>
      </c>
      <c r="Q2177" t="s">
        <v>30</v>
      </c>
      <c r="R2177" t="str">
        <f>VLOOKUP($O2177,'Mapa Oficinas'!$A$7:$C$46,2,FALSE)</f>
        <v>CABA</v>
      </c>
      <c r="S2177" t="str">
        <f>VLOOKUP($O2177,'Mapa Oficinas'!$A$7:$C$46,3,FALSE)</f>
        <v>Palermo</v>
      </c>
    </row>
    <row r="2178" spans="1:19" x14ac:dyDescent="0.2">
      <c r="A2178" s="1">
        <v>46021</v>
      </c>
      <c r="B2178">
        <v>30122025</v>
      </c>
      <c r="D2178" t="s">
        <v>2128</v>
      </c>
      <c r="E2178" t="s">
        <v>16</v>
      </c>
      <c r="F2178" t="s">
        <v>134</v>
      </c>
      <c r="G2178" s="14">
        <v>135000</v>
      </c>
      <c r="H2178" s="14">
        <v>135000</v>
      </c>
      <c r="I2178" t="s">
        <v>22</v>
      </c>
      <c r="J2178" t="s">
        <v>22</v>
      </c>
      <c r="L2178" t="s">
        <v>595</v>
      </c>
      <c r="M2178" t="s">
        <v>97</v>
      </c>
      <c r="N2178">
        <v>1</v>
      </c>
      <c r="O2178" t="s">
        <v>130</v>
      </c>
      <c r="P2178" t="s">
        <v>131</v>
      </c>
      <c r="Q2178" t="s">
        <v>30</v>
      </c>
      <c r="R2178" t="str">
        <f>VLOOKUP($O2178,'Mapa Oficinas'!$A$7:$C$46,2,FALSE)</f>
        <v>Interior - Río Negro</v>
      </c>
      <c r="S2178" t="str">
        <f>VLOOKUP($O2178,'Mapa Oficinas'!$A$7:$C$46,3,FALSE)</f>
        <v>Bariloche</v>
      </c>
    </row>
    <row r="2179" spans="1:19" x14ac:dyDescent="0.2">
      <c r="A2179" s="1">
        <v>46021</v>
      </c>
      <c r="B2179" t="s">
        <v>2126</v>
      </c>
      <c r="D2179" t="s">
        <v>2126</v>
      </c>
      <c r="E2179" t="s">
        <v>16</v>
      </c>
      <c r="F2179" t="s">
        <v>17</v>
      </c>
      <c r="G2179" s="14">
        <v>165000</v>
      </c>
      <c r="H2179" s="14">
        <v>144380</v>
      </c>
      <c r="I2179" t="s">
        <v>22</v>
      </c>
      <c r="J2179" t="s">
        <v>22</v>
      </c>
      <c r="K2179" t="s">
        <v>2126</v>
      </c>
      <c r="L2179" t="s">
        <v>330</v>
      </c>
      <c r="M2179" t="s">
        <v>19</v>
      </c>
      <c r="N2179">
        <v>2</v>
      </c>
      <c r="O2179" t="s">
        <v>50</v>
      </c>
      <c r="P2179" t="s">
        <v>21</v>
      </c>
      <c r="Q2179" t="s">
        <v>30</v>
      </c>
      <c r="R2179" t="str">
        <f>VLOOKUP($O2179,'Mapa Oficinas'!$A$7:$C$46,2,FALSE)</f>
        <v>CABA</v>
      </c>
      <c r="S2179" t="str">
        <f>VLOOKUP($O2179,'Mapa Oficinas'!$A$7:$C$46,3,FALSE)</f>
        <v>Villa Urquiza</v>
      </c>
    </row>
    <row r="2180" spans="1:19" x14ac:dyDescent="0.2">
      <c r="A2180" s="1">
        <v>46021</v>
      </c>
      <c r="B2180" t="s">
        <v>2129</v>
      </c>
      <c r="D2180" t="s">
        <v>2130</v>
      </c>
      <c r="E2180" t="s">
        <v>16</v>
      </c>
      <c r="F2180" t="s">
        <v>17</v>
      </c>
      <c r="G2180" s="14">
        <v>220000</v>
      </c>
      <c r="H2180" s="14">
        <v>205000</v>
      </c>
      <c r="I2180" t="s">
        <v>22</v>
      </c>
      <c r="J2180" t="s">
        <v>22</v>
      </c>
      <c r="K2180" t="s">
        <v>2131</v>
      </c>
      <c r="L2180" t="s">
        <v>1274</v>
      </c>
      <c r="M2180" t="s">
        <v>28</v>
      </c>
      <c r="N2180">
        <v>1</v>
      </c>
      <c r="O2180" t="s">
        <v>142</v>
      </c>
      <c r="P2180" t="s">
        <v>146</v>
      </c>
      <c r="Q2180" t="s">
        <v>30</v>
      </c>
      <c r="R2180" t="str">
        <f>VLOOKUP($O2180,'Mapa Oficinas'!$A$7:$C$46,2,FALSE)</f>
        <v>Zona Norte (GBA)</v>
      </c>
      <c r="S2180" t="str">
        <f>VLOOKUP($O2180,'Mapa Oficinas'!$A$7:$C$46,3,FALSE)</f>
        <v>Nordelta</v>
      </c>
    </row>
    <row r="2181" spans="1:19" x14ac:dyDescent="0.2">
      <c r="A2181" s="1">
        <v>46021</v>
      </c>
      <c r="B2181" t="s">
        <v>1942</v>
      </c>
      <c r="D2181" t="s">
        <v>1943</v>
      </c>
      <c r="E2181" t="s">
        <v>16</v>
      </c>
      <c r="F2181" t="s">
        <v>17</v>
      </c>
      <c r="G2181" s="14">
        <v>265000</v>
      </c>
      <c r="H2181" s="14">
        <v>270000</v>
      </c>
      <c r="I2181" t="s">
        <v>22</v>
      </c>
      <c r="J2181" t="s">
        <v>22</v>
      </c>
      <c r="K2181" t="s">
        <v>1944</v>
      </c>
      <c r="L2181" t="s">
        <v>1945</v>
      </c>
      <c r="M2181" t="s">
        <v>28</v>
      </c>
      <c r="N2181">
        <v>1</v>
      </c>
      <c r="O2181" t="s">
        <v>142</v>
      </c>
      <c r="P2181" t="s">
        <v>146</v>
      </c>
      <c r="Q2181" t="s">
        <v>30</v>
      </c>
      <c r="R2181" t="str">
        <f>VLOOKUP($O2181,'Mapa Oficinas'!$A$7:$C$46,2,FALSE)</f>
        <v>Zona Norte (GBA)</v>
      </c>
      <c r="S2181" t="str">
        <f>VLOOKUP($O2181,'Mapa Oficinas'!$A$7:$C$46,3,FALSE)</f>
        <v>Nordelta</v>
      </c>
    </row>
    <row r="2182" spans="1:19" x14ac:dyDescent="0.2">
      <c r="A2182" s="1">
        <v>46022</v>
      </c>
      <c r="B2182" t="s">
        <v>2123</v>
      </c>
      <c r="D2182" t="s">
        <v>2124</v>
      </c>
      <c r="E2182" t="s">
        <v>16</v>
      </c>
      <c r="F2182" t="s">
        <v>17</v>
      </c>
      <c r="G2182" s="14">
        <v>270000</v>
      </c>
      <c r="H2182" s="14">
        <v>295000</v>
      </c>
      <c r="I2182" t="s">
        <v>22</v>
      </c>
      <c r="J2182" t="s">
        <v>22</v>
      </c>
      <c r="K2182" t="s">
        <v>2125</v>
      </c>
      <c r="L2182" t="s">
        <v>1983</v>
      </c>
      <c r="M2182" t="s">
        <v>19</v>
      </c>
      <c r="N2182">
        <v>2</v>
      </c>
      <c r="O2182" t="s">
        <v>98</v>
      </c>
      <c r="P2182" t="s">
        <v>41</v>
      </c>
      <c r="Q2182" t="s">
        <v>30</v>
      </c>
      <c r="R2182" t="str">
        <f>VLOOKUP($O2182,'Mapa Oficinas'!$A$7:$C$46,2,FALSE)</f>
        <v>Interior - Neuquén</v>
      </c>
      <c r="S2182" t="str">
        <f>VLOOKUP($O2182,'Mapa Oficinas'!$A$7:$C$46,3,FALSE)</f>
        <v>Villa La Angostura</v>
      </c>
    </row>
    <row r="2183" spans="1:19" x14ac:dyDescent="0.2">
      <c r="A2183" s="1">
        <v>46027</v>
      </c>
      <c r="B2183" t="s">
        <v>2107</v>
      </c>
      <c r="D2183" t="s">
        <v>239</v>
      </c>
      <c r="E2183" t="s">
        <v>16</v>
      </c>
      <c r="F2183" t="s">
        <v>17</v>
      </c>
      <c r="G2183" s="14">
        <v>134000</v>
      </c>
      <c r="H2183" s="14">
        <v>134000</v>
      </c>
      <c r="I2183" t="s">
        <v>22</v>
      </c>
      <c r="J2183" t="s">
        <v>22</v>
      </c>
      <c r="K2183" t="s">
        <v>2108</v>
      </c>
      <c r="L2183" t="s">
        <v>277</v>
      </c>
      <c r="M2183" t="s">
        <v>97</v>
      </c>
      <c r="N2183">
        <v>1</v>
      </c>
      <c r="O2183" t="s">
        <v>73</v>
      </c>
      <c r="P2183" t="s">
        <v>146</v>
      </c>
      <c r="Q2183" t="s">
        <v>30</v>
      </c>
      <c r="R2183" t="str">
        <f>VLOOKUP($O2183,'Mapa Oficinas'!$A$7:$C$46,2,FALSE)</f>
        <v>CABA</v>
      </c>
      <c r="S2183" t="str">
        <f>VLOOKUP($O2183,'Mapa Oficinas'!$A$7:$C$46,3,FALSE)</f>
        <v>Recoleta</v>
      </c>
    </row>
    <row r="2184" spans="1:19" x14ac:dyDescent="0.2">
      <c r="A2184" s="1">
        <v>46027</v>
      </c>
      <c r="D2184" t="s">
        <v>239</v>
      </c>
      <c r="E2184" t="s">
        <v>16</v>
      </c>
      <c r="F2184" t="s">
        <v>17</v>
      </c>
      <c r="G2184" s="14">
        <v>138000</v>
      </c>
      <c r="H2184" s="14">
        <v>138000</v>
      </c>
      <c r="I2184" t="s">
        <v>22</v>
      </c>
      <c r="J2184" t="s">
        <v>22</v>
      </c>
      <c r="K2184" t="s">
        <v>2109</v>
      </c>
      <c r="L2184" t="s">
        <v>277</v>
      </c>
      <c r="M2184" t="s">
        <v>97</v>
      </c>
      <c r="N2184">
        <v>1</v>
      </c>
      <c r="O2184" t="s">
        <v>73</v>
      </c>
      <c r="P2184" t="s">
        <v>146</v>
      </c>
      <c r="Q2184" t="s">
        <v>30</v>
      </c>
      <c r="R2184" t="str">
        <f>VLOOKUP($O2184,'Mapa Oficinas'!$A$7:$C$46,2,FALSE)</f>
        <v>CABA</v>
      </c>
      <c r="S2184" t="str">
        <f>VLOOKUP($O2184,'Mapa Oficinas'!$A$7:$C$46,3,FALSE)</f>
        <v>Recoleta</v>
      </c>
    </row>
    <row r="2185" spans="1:19" x14ac:dyDescent="0.2">
      <c r="A2185" s="1">
        <v>46027</v>
      </c>
      <c r="B2185" t="s">
        <v>2113</v>
      </c>
      <c r="D2185" t="s">
        <v>2114</v>
      </c>
      <c r="E2185" t="s">
        <v>16</v>
      </c>
      <c r="F2185" t="s">
        <v>17</v>
      </c>
      <c r="G2185" s="14">
        <v>309000</v>
      </c>
      <c r="H2185" s="14">
        <v>278000</v>
      </c>
      <c r="I2185" t="s">
        <v>22</v>
      </c>
      <c r="J2185" t="s">
        <v>22</v>
      </c>
      <c r="K2185" t="s">
        <v>2115</v>
      </c>
      <c r="L2185" t="s">
        <v>2116</v>
      </c>
      <c r="M2185" t="s">
        <v>28</v>
      </c>
      <c r="N2185">
        <v>2</v>
      </c>
      <c r="O2185" t="s">
        <v>389</v>
      </c>
      <c r="P2185" t="s">
        <v>21</v>
      </c>
      <c r="Q2185" t="s">
        <v>30</v>
      </c>
      <c r="R2185" t="str">
        <f>VLOOKUP($O2185,'Mapa Oficinas'!$A$7:$C$46,2,FALSE)</f>
        <v>Zona Norte (GBA)</v>
      </c>
      <c r="S2185" t="str">
        <f>VLOOKUP($O2185,'Mapa Oficinas'!$A$7:$C$46,3,FALSE)</f>
        <v>Escobar</v>
      </c>
    </row>
    <row r="2186" spans="1:19" x14ac:dyDescent="0.2">
      <c r="A2186" s="1">
        <v>46027</v>
      </c>
      <c r="B2186" t="s">
        <v>2110</v>
      </c>
      <c r="D2186" t="s">
        <v>2111</v>
      </c>
      <c r="E2186" t="s">
        <v>16</v>
      </c>
      <c r="F2186" t="s">
        <v>134</v>
      </c>
      <c r="G2186" s="14">
        <v>340000</v>
      </c>
      <c r="H2186" s="14">
        <v>320000</v>
      </c>
      <c r="I2186" t="s">
        <v>22</v>
      </c>
      <c r="J2186" t="s">
        <v>22</v>
      </c>
      <c r="K2186" t="s">
        <v>2112</v>
      </c>
      <c r="L2186" t="s">
        <v>129</v>
      </c>
      <c r="M2186" t="s">
        <v>28</v>
      </c>
      <c r="N2186">
        <v>2</v>
      </c>
      <c r="O2186" t="s">
        <v>130</v>
      </c>
      <c r="P2186" t="s">
        <v>21</v>
      </c>
      <c r="Q2186" t="s">
        <v>30</v>
      </c>
      <c r="R2186" t="str">
        <f>VLOOKUP($O2186,'Mapa Oficinas'!$A$7:$C$46,2,FALSE)</f>
        <v>Interior - Río Negro</v>
      </c>
      <c r="S2186" t="str">
        <f>VLOOKUP($O2186,'Mapa Oficinas'!$A$7:$C$46,3,FALSE)</f>
        <v>Bariloche</v>
      </c>
    </row>
    <row r="2187" spans="1:19" x14ac:dyDescent="0.2">
      <c r="A2187" s="1">
        <v>46028</v>
      </c>
      <c r="B2187" t="s">
        <v>2100</v>
      </c>
      <c r="D2187" t="s">
        <v>1492</v>
      </c>
      <c r="E2187" t="s">
        <v>16</v>
      </c>
      <c r="F2187" t="s">
        <v>134</v>
      </c>
      <c r="G2187" s="14">
        <v>60000</v>
      </c>
      <c r="H2187" s="14">
        <v>65000</v>
      </c>
      <c r="I2187" t="s">
        <v>22</v>
      </c>
      <c r="J2187" t="s">
        <v>22</v>
      </c>
      <c r="K2187" t="s">
        <v>2101</v>
      </c>
      <c r="L2187" t="s">
        <v>1494</v>
      </c>
      <c r="M2187" t="s">
        <v>28</v>
      </c>
      <c r="N2187">
        <v>2</v>
      </c>
      <c r="O2187" t="s">
        <v>55</v>
      </c>
      <c r="P2187" t="s">
        <v>21</v>
      </c>
      <c r="Q2187" t="s">
        <v>30</v>
      </c>
      <c r="R2187" t="str">
        <f>VLOOKUP($O2187,'Mapa Oficinas'!$A$7:$C$46,2,FALSE)</f>
        <v>Interior - Santa Fe</v>
      </c>
      <c r="S2187" t="str">
        <f>VLOOKUP($O2187,'Mapa Oficinas'!$A$7:$C$46,3,FALSE)</f>
        <v>Capital Santa Fe</v>
      </c>
    </row>
    <row r="2188" spans="1:19" x14ac:dyDescent="0.2">
      <c r="A2188" s="1">
        <v>46028</v>
      </c>
      <c r="B2188" t="s">
        <v>2092</v>
      </c>
      <c r="D2188" t="s">
        <v>2093</v>
      </c>
      <c r="E2188" t="s">
        <v>16</v>
      </c>
      <c r="F2188" t="s">
        <v>17</v>
      </c>
      <c r="G2188" s="14">
        <v>106000</v>
      </c>
      <c r="H2188" s="14">
        <v>104500</v>
      </c>
      <c r="I2188" t="s">
        <v>22</v>
      </c>
      <c r="J2188" t="s">
        <v>22</v>
      </c>
      <c r="K2188" t="s">
        <v>2094</v>
      </c>
      <c r="L2188" t="s">
        <v>1064</v>
      </c>
      <c r="M2188" t="s">
        <v>19</v>
      </c>
      <c r="N2188">
        <v>2</v>
      </c>
      <c r="O2188" t="s">
        <v>547</v>
      </c>
      <c r="P2188" t="s">
        <v>276</v>
      </c>
      <c r="Q2188" t="s">
        <v>30</v>
      </c>
      <c r="R2188" t="str">
        <f>VLOOKUP($O2188,'Mapa Oficinas'!$A$7:$C$46,2,FALSE)</f>
        <v>CABA</v>
      </c>
      <c r="S2188" t="str">
        <f>VLOOKUP($O2188,'Mapa Oficinas'!$A$7:$C$46,3,FALSE)</f>
        <v>Núñez</v>
      </c>
    </row>
    <row r="2189" spans="1:19" x14ac:dyDescent="0.2">
      <c r="A2189" s="1">
        <v>46028</v>
      </c>
      <c r="B2189" t="s">
        <v>2097</v>
      </c>
      <c r="D2189" t="s">
        <v>2098</v>
      </c>
      <c r="E2189" t="s">
        <v>16</v>
      </c>
      <c r="F2189" t="s">
        <v>17</v>
      </c>
      <c r="G2189" s="14">
        <v>170000</v>
      </c>
      <c r="H2189" s="14">
        <v>165000</v>
      </c>
      <c r="I2189" t="s">
        <v>22</v>
      </c>
      <c r="J2189" t="s">
        <v>22</v>
      </c>
      <c r="K2189" t="s">
        <v>2099</v>
      </c>
      <c r="L2189" t="s">
        <v>102</v>
      </c>
      <c r="M2189" t="s">
        <v>19</v>
      </c>
      <c r="N2189">
        <v>2</v>
      </c>
      <c r="O2189" t="s">
        <v>261</v>
      </c>
      <c r="P2189" t="s">
        <v>21</v>
      </c>
      <c r="Q2189" t="s">
        <v>30</v>
      </c>
      <c r="R2189" t="str">
        <f>VLOOKUP($O2189,'Mapa Oficinas'!$A$7:$C$46,2,FALSE)</f>
        <v>CABA</v>
      </c>
      <c r="S2189" t="str">
        <f>VLOOKUP($O2189,'Mapa Oficinas'!$A$7:$C$46,3,FALSE)</f>
        <v>Núñez</v>
      </c>
    </row>
    <row r="2190" spans="1:19" x14ac:dyDescent="0.2">
      <c r="A2190" s="1">
        <v>46028</v>
      </c>
      <c r="B2190">
        <v>10642</v>
      </c>
      <c r="D2190" t="s">
        <v>2102</v>
      </c>
      <c r="E2190" t="s">
        <v>16</v>
      </c>
      <c r="F2190" t="s">
        <v>17</v>
      </c>
      <c r="G2190" s="14">
        <v>245000</v>
      </c>
      <c r="H2190" s="14">
        <v>245000</v>
      </c>
      <c r="I2190" t="s">
        <v>22</v>
      </c>
      <c r="J2190" t="s">
        <v>22</v>
      </c>
      <c r="K2190" t="s">
        <v>2103</v>
      </c>
      <c r="L2190" t="s">
        <v>1019</v>
      </c>
      <c r="M2190" t="s">
        <v>19</v>
      </c>
      <c r="N2190">
        <v>1</v>
      </c>
      <c r="O2190" t="s">
        <v>103</v>
      </c>
      <c r="P2190" t="s">
        <v>146</v>
      </c>
      <c r="Q2190" t="s">
        <v>30</v>
      </c>
      <c r="R2190" t="str">
        <f>VLOOKUP($O2190,'Mapa Oficinas'!$A$7:$C$46,2,FALSE)</f>
        <v>CABA</v>
      </c>
      <c r="S2190" t="str">
        <f>VLOOKUP($O2190,'Mapa Oficinas'!$A$7:$C$46,3,FALSE)</f>
        <v>Barrio Parque</v>
      </c>
    </row>
    <row r="2191" spans="1:19" x14ac:dyDescent="0.2">
      <c r="A2191" s="1">
        <v>46028</v>
      </c>
      <c r="B2191" t="s">
        <v>2104</v>
      </c>
      <c r="D2191" t="s">
        <v>2105</v>
      </c>
      <c r="E2191" t="s">
        <v>16</v>
      </c>
      <c r="F2191" t="s">
        <v>17</v>
      </c>
      <c r="G2191" s="14">
        <v>470000</v>
      </c>
      <c r="H2191" s="14">
        <v>430000</v>
      </c>
      <c r="I2191" t="s">
        <v>22</v>
      </c>
      <c r="J2191" t="s">
        <v>22</v>
      </c>
      <c r="K2191" t="s">
        <v>2106</v>
      </c>
      <c r="L2191" t="s">
        <v>1019</v>
      </c>
      <c r="M2191" t="s">
        <v>28</v>
      </c>
      <c r="N2191">
        <v>2</v>
      </c>
      <c r="O2191" t="s">
        <v>103</v>
      </c>
      <c r="P2191" t="s">
        <v>21</v>
      </c>
      <c r="Q2191" t="s">
        <v>30</v>
      </c>
      <c r="R2191" t="str">
        <f>VLOOKUP($O2191,'Mapa Oficinas'!$A$7:$C$46,2,FALSE)</f>
        <v>CABA</v>
      </c>
      <c r="S2191" t="str">
        <f>VLOOKUP($O2191,'Mapa Oficinas'!$A$7:$C$46,3,FALSE)</f>
        <v>Barrio Parque</v>
      </c>
    </row>
    <row r="2192" spans="1:19" x14ac:dyDescent="0.2">
      <c r="A2192" s="1">
        <v>46029</v>
      </c>
      <c r="B2192" t="s">
        <v>2082</v>
      </c>
      <c r="D2192" t="s">
        <v>2083</v>
      </c>
      <c r="E2192" t="s">
        <v>16</v>
      </c>
      <c r="F2192" t="s">
        <v>17</v>
      </c>
      <c r="G2192" s="14">
        <v>38000</v>
      </c>
      <c r="H2192" s="14">
        <v>37500</v>
      </c>
      <c r="I2192" t="s">
        <v>22</v>
      </c>
      <c r="J2192" t="s">
        <v>22</v>
      </c>
      <c r="K2192" t="s">
        <v>2084</v>
      </c>
      <c r="L2192" t="s">
        <v>141</v>
      </c>
      <c r="M2192" t="s">
        <v>19</v>
      </c>
      <c r="N2192">
        <v>2</v>
      </c>
      <c r="O2192" t="s">
        <v>103</v>
      </c>
      <c r="P2192" t="s">
        <v>21</v>
      </c>
      <c r="Q2192" t="s">
        <v>30</v>
      </c>
      <c r="R2192" t="str">
        <f>VLOOKUP($O2192,'Mapa Oficinas'!$A$7:$C$46,2,FALSE)</f>
        <v>CABA</v>
      </c>
      <c r="S2192" t="str">
        <f>VLOOKUP($O2192,'Mapa Oficinas'!$A$7:$C$46,3,FALSE)</f>
        <v>Barrio Parque</v>
      </c>
    </row>
    <row r="2193" spans="1:19" x14ac:dyDescent="0.2">
      <c r="A2193" s="1">
        <v>46029</v>
      </c>
      <c r="B2193" t="s">
        <v>2065</v>
      </c>
      <c r="D2193" t="s">
        <v>2066</v>
      </c>
      <c r="E2193" t="s">
        <v>16</v>
      </c>
      <c r="F2193" t="s">
        <v>17</v>
      </c>
      <c r="G2193" s="14">
        <v>40500</v>
      </c>
      <c r="H2193" s="14">
        <v>38000</v>
      </c>
      <c r="I2193" t="s">
        <v>22</v>
      </c>
      <c r="J2193" t="s">
        <v>22</v>
      </c>
      <c r="K2193" t="s">
        <v>2067</v>
      </c>
      <c r="L2193" t="s">
        <v>1459</v>
      </c>
      <c r="M2193" t="s">
        <v>19</v>
      </c>
      <c r="N2193">
        <v>2</v>
      </c>
      <c r="O2193" t="s">
        <v>201</v>
      </c>
      <c r="P2193" t="s">
        <v>21</v>
      </c>
      <c r="Q2193" t="s">
        <v>30</v>
      </c>
      <c r="R2193" t="str">
        <f>VLOOKUP($O2193,'Mapa Oficinas'!$A$7:$C$46,2,FALSE)</f>
        <v>CABA</v>
      </c>
      <c r="S2193" t="str">
        <f>VLOOKUP($O2193,'Mapa Oficinas'!$A$7:$C$46,3,FALSE)</f>
        <v>Recoleta</v>
      </c>
    </row>
    <row r="2194" spans="1:19" x14ac:dyDescent="0.2">
      <c r="A2194" s="1">
        <v>46029</v>
      </c>
      <c r="B2194" t="s">
        <v>2058</v>
      </c>
      <c r="D2194" t="s">
        <v>2059</v>
      </c>
      <c r="E2194" t="s">
        <v>16</v>
      </c>
      <c r="F2194" t="s">
        <v>17</v>
      </c>
      <c r="G2194" s="14">
        <v>54000</v>
      </c>
      <c r="H2194" s="14">
        <v>52000</v>
      </c>
      <c r="I2194" t="s">
        <v>22</v>
      </c>
      <c r="J2194" t="s">
        <v>22</v>
      </c>
      <c r="K2194" t="s">
        <v>2060</v>
      </c>
      <c r="L2194" t="s">
        <v>727</v>
      </c>
      <c r="M2194" t="s">
        <v>72</v>
      </c>
      <c r="N2194">
        <v>2</v>
      </c>
      <c r="O2194" t="s">
        <v>73</v>
      </c>
      <c r="P2194" t="s">
        <v>21</v>
      </c>
      <c r="Q2194" t="s">
        <v>30</v>
      </c>
      <c r="R2194" t="str">
        <f>VLOOKUP($O2194,'Mapa Oficinas'!$A$7:$C$46,2,FALSE)</f>
        <v>CABA</v>
      </c>
      <c r="S2194" t="str">
        <f>VLOOKUP($O2194,'Mapa Oficinas'!$A$7:$C$46,3,FALSE)</f>
        <v>Recoleta</v>
      </c>
    </row>
    <row r="2195" spans="1:19" x14ac:dyDescent="0.2">
      <c r="A2195" s="1">
        <v>46029</v>
      </c>
      <c r="B2195" t="s">
        <v>2061</v>
      </c>
      <c r="D2195" t="s">
        <v>2062</v>
      </c>
      <c r="E2195" t="s">
        <v>16</v>
      </c>
      <c r="F2195" t="s">
        <v>17</v>
      </c>
      <c r="G2195" s="14">
        <v>65000</v>
      </c>
      <c r="H2195" s="14">
        <v>55000</v>
      </c>
      <c r="I2195" t="s">
        <v>22</v>
      </c>
      <c r="J2195" t="s">
        <v>22</v>
      </c>
      <c r="K2195" t="s">
        <v>2063</v>
      </c>
      <c r="L2195" t="s">
        <v>2064</v>
      </c>
      <c r="M2195" t="s">
        <v>72</v>
      </c>
      <c r="N2195">
        <v>2</v>
      </c>
      <c r="O2195" t="s">
        <v>35</v>
      </c>
      <c r="P2195" t="s">
        <v>21</v>
      </c>
      <c r="Q2195" t="s">
        <v>30</v>
      </c>
      <c r="R2195" t="str">
        <f>VLOOKUP($O2195,'Mapa Oficinas'!$A$7:$C$46,2,FALSE)</f>
        <v>Zona Norte (GBA)</v>
      </c>
      <c r="S2195" t="str">
        <f>VLOOKUP($O2195,'Mapa Oficinas'!$A$7:$C$46,3,FALSE)</f>
        <v>Vicente López</v>
      </c>
    </row>
    <row r="2196" spans="1:19" x14ac:dyDescent="0.2">
      <c r="A2196" s="1">
        <v>46029</v>
      </c>
      <c r="B2196" t="s">
        <v>2051</v>
      </c>
      <c r="D2196" t="s">
        <v>2052</v>
      </c>
      <c r="E2196" t="s">
        <v>16</v>
      </c>
      <c r="F2196" t="s">
        <v>17</v>
      </c>
      <c r="G2196" s="14">
        <v>68000</v>
      </c>
      <c r="H2196" s="14">
        <v>62000</v>
      </c>
      <c r="I2196" t="s">
        <v>22</v>
      </c>
      <c r="J2196" t="s">
        <v>22</v>
      </c>
      <c r="K2196" t="s">
        <v>2053</v>
      </c>
      <c r="L2196" t="s">
        <v>2054</v>
      </c>
      <c r="M2196" t="s">
        <v>72</v>
      </c>
      <c r="N2196">
        <v>2</v>
      </c>
      <c r="O2196" t="s">
        <v>73</v>
      </c>
      <c r="P2196" t="s">
        <v>21</v>
      </c>
      <c r="Q2196" t="s">
        <v>30</v>
      </c>
      <c r="R2196" t="str">
        <f>VLOOKUP($O2196,'Mapa Oficinas'!$A$7:$C$46,2,FALSE)</f>
        <v>CABA</v>
      </c>
      <c r="S2196" t="str">
        <f>VLOOKUP($O2196,'Mapa Oficinas'!$A$7:$C$46,3,FALSE)</f>
        <v>Recoleta</v>
      </c>
    </row>
    <row r="2197" spans="1:19" x14ac:dyDescent="0.2">
      <c r="A2197" s="1">
        <v>46029</v>
      </c>
      <c r="B2197" t="s">
        <v>2075</v>
      </c>
      <c r="D2197" t="s">
        <v>2076</v>
      </c>
      <c r="E2197" t="s">
        <v>16</v>
      </c>
      <c r="F2197" t="s">
        <v>134</v>
      </c>
      <c r="G2197" s="14">
        <v>78000</v>
      </c>
      <c r="H2197" s="14">
        <v>83000</v>
      </c>
      <c r="I2197" t="s">
        <v>22</v>
      </c>
      <c r="J2197" t="s">
        <v>22</v>
      </c>
      <c r="K2197" t="s">
        <v>2077</v>
      </c>
      <c r="L2197" t="s">
        <v>136</v>
      </c>
      <c r="M2197" t="s">
        <v>19</v>
      </c>
      <c r="N2197">
        <v>2</v>
      </c>
      <c r="O2197" t="s">
        <v>130</v>
      </c>
      <c r="P2197" t="s">
        <v>41</v>
      </c>
      <c r="Q2197" t="s">
        <v>30</v>
      </c>
      <c r="R2197" t="str">
        <f>VLOOKUP($O2197,'Mapa Oficinas'!$A$7:$C$46,2,FALSE)</f>
        <v>Interior - Río Negro</v>
      </c>
      <c r="S2197" t="str">
        <f>VLOOKUP($O2197,'Mapa Oficinas'!$A$7:$C$46,3,FALSE)</f>
        <v>Bariloche</v>
      </c>
    </row>
    <row r="2198" spans="1:19" x14ac:dyDescent="0.2">
      <c r="A2198" s="1">
        <v>46029</v>
      </c>
      <c r="B2198" t="s">
        <v>2073</v>
      </c>
      <c r="D2198" t="s">
        <v>2074</v>
      </c>
      <c r="E2198" t="s">
        <v>16</v>
      </c>
      <c r="F2198" t="s">
        <v>134</v>
      </c>
      <c r="G2198" s="14">
        <v>181000</v>
      </c>
      <c r="H2198" s="14">
        <v>181000</v>
      </c>
      <c r="I2198" t="s">
        <v>22</v>
      </c>
      <c r="J2198" t="s">
        <v>22</v>
      </c>
      <c r="K2198" t="s">
        <v>594</v>
      </c>
      <c r="L2198" t="s">
        <v>136</v>
      </c>
      <c r="M2198" t="s">
        <v>19</v>
      </c>
      <c r="N2198">
        <v>1</v>
      </c>
      <c r="O2198" t="s">
        <v>130</v>
      </c>
      <c r="P2198" t="s">
        <v>66</v>
      </c>
      <c r="Q2198" t="s">
        <v>30</v>
      </c>
      <c r="R2198" t="str">
        <f>VLOOKUP($O2198,'Mapa Oficinas'!$A$7:$C$46,2,FALSE)</f>
        <v>Interior - Río Negro</v>
      </c>
      <c r="S2198" t="str">
        <f>VLOOKUP($O2198,'Mapa Oficinas'!$A$7:$C$46,3,FALSE)</f>
        <v>Bariloche</v>
      </c>
    </row>
    <row r="2199" spans="1:19" x14ac:dyDescent="0.2">
      <c r="A2199" s="1">
        <v>46029</v>
      </c>
      <c r="B2199" t="s">
        <v>2085</v>
      </c>
      <c r="D2199" t="s">
        <v>2086</v>
      </c>
      <c r="E2199" t="s">
        <v>16</v>
      </c>
      <c r="F2199" t="s">
        <v>17</v>
      </c>
      <c r="G2199" s="14">
        <v>279000</v>
      </c>
      <c r="H2199" s="14">
        <v>260000</v>
      </c>
      <c r="I2199" t="s">
        <v>22</v>
      </c>
      <c r="J2199" t="s">
        <v>22</v>
      </c>
      <c r="K2199" t="s">
        <v>2087</v>
      </c>
      <c r="L2199" t="s">
        <v>2088</v>
      </c>
      <c r="M2199" t="s">
        <v>19</v>
      </c>
      <c r="N2199">
        <v>2</v>
      </c>
      <c r="O2199" t="s">
        <v>103</v>
      </c>
      <c r="P2199" t="s">
        <v>44</v>
      </c>
      <c r="Q2199" t="s">
        <v>30</v>
      </c>
      <c r="R2199" t="str">
        <f>VLOOKUP($O2199,'Mapa Oficinas'!$A$7:$C$46,2,FALSE)</f>
        <v>CABA</v>
      </c>
      <c r="S2199" t="str">
        <f>VLOOKUP($O2199,'Mapa Oficinas'!$A$7:$C$46,3,FALSE)</f>
        <v>Barrio Parque</v>
      </c>
    </row>
    <row r="2200" spans="1:19" x14ac:dyDescent="0.2">
      <c r="A2200" s="1">
        <v>46030</v>
      </c>
      <c r="B2200" t="s">
        <v>2026</v>
      </c>
      <c r="D2200" t="s">
        <v>2027</v>
      </c>
      <c r="E2200" t="s">
        <v>16</v>
      </c>
      <c r="F2200" t="s">
        <v>17</v>
      </c>
      <c r="G2200" s="14">
        <v>135207</v>
      </c>
      <c r="H2200" s="14">
        <v>70000</v>
      </c>
      <c r="I2200" t="s">
        <v>22</v>
      </c>
      <c r="J2200" t="s">
        <v>22</v>
      </c>
      <c r="K2200" t="s">
        <v>2028</v>
      </c>
      <c r="L2200" t="s">
        <v>222</v>
      </c>
      <c r="M2200" t="s">
        <v>19</v>
      </c>
      <c r="N2200">
        <v>2</v>
      </c>
      <c r="O2200" t="s">
        <v>142</v>
      </c>
      <c r="P2200" t="s">
        <v>21</v>
      </c>
      <c r="Q2200" t="s">
        <v>30</v>
      </c>
      <c r="R2200" t="str">
        <f>VLOOKUP($O2200,'Mapa Oficinas'!$A$7:$C$46,2,FALSE)</f>
        <v>Zona Norte (GBA)</v>
      </c>
      <c r="S2200" t="str">
        <f>VLOOKUP($O2200,'Mapa Oficinas'!$A$7:$C$46,3,FALSE)</f>
        <v>Nordelta</v>
      </c>
    </row>
    <row r="2201" spans="1:19" x14ac:dyDescent="0.2">
      <c r="A2201" s="1">
        <v>46030</v>
      </c>
      <c r="B2201" t="s">
        <v>2048</v>
      </c>
      <c r="D2201" t="s">
        <v>2049</v>
      </c>
      <c r="E2201" t="s">
        <v>16</v>
      </c>
      <c r="F2201" t="s">
        <v>17</v>
      </c>
      <c r="G2201" s="14">
        <v>83000</v>
      </c>
      <c r="H2201" s="14">
        <v>81000</v>
      </c>
      <c r="I2201" t="s">
        <v>22</v>
      </c>
      <c r="J2201" t="s">
        <v>22</v>
      </c>
      <c r="K2201" t="s">
        <v>2050</v>
      </c>
      <c r="L2201" t="s">
        <v>195</v>
      </c>
      <c r="M2201" t="s">
        <v>19</v>
      </c>
      <c r="N2201">
        <v>2</v>
      </c>
      <c r="O2201" t="s">
        <v>103</v>
      </c>
      <c r="P2201" t="s">
        <v>21</v>
      </c>
      <c r="Q2201" t="s">
        <v>30</v>
      </c>
      <c r="R2201" t="str">
        <f>VLOOKUP($O2201,'Mapa Oficinas'!$A$7:$C$46,2,FALSE)</f>
        <v>CABA</v>
      </c>
      <c r="S2201" t="str">
        <f>VLOOKUP($O2201,'Mapa Oficinas'!$A$7:$C$46,3,FALSE)</f>
        <v>Barrio Parque</v>
      </c>
    </row>
    <row r="2202" spans="1:19" x14ac:dyDescent="0.2">
      <c r="A2202" s="1">
        <v>46030</v>
      </c>
      <c r="B2202" t="s">
        <v>2041</v>
      </c>
      <c r="D2202" t="s">
        <v>2042</v>
      </c>
      <c r="E2202" t="s">
        <v>16</v>
      </c>
      <c r="F2202" t="s">
        <v>17</v>
      </c>
      <c r="G2202" s="14">
        <v>89000</v>
      </c>
      <c r="H2202" s="14">
        <v>82000</v>
      </c>
      <c r="I2202" t="s">
        <v>22</v>
      </c>
      <c r="J2202" t="s">
        <v>22</v>
      </c>
      <c r="K2202" t="s">
        <v>2043</v>
      </c>
      <c r="L2202" t="s">
        <v>191</v>
      </c>
      <c r="M2202" t="s">
        <v>19</v>
      </c>
      <c r="N2202">
        <v>2</v>
      </c>
      <c r="O2202" t="s">
        <v>20</v>
      </c>
      <c r="P2202" t="s">
        <v>21</v>
      </c>
      <c r="Q2202" t="s">
        <v>30</v>
      </c>
      <c r="R2202" t="str">
        <f>VLOOKUP($O2202,'Mapa Oficinas'!$A$7:$C$46,2,FALSE)</f>
        <v>CABA</v>
      </c>
      <c r="S2202" t="str">
        <f>VLOOKUP($O2202,'Mapa Oficinas'!$A$7:$C$46,3,FALSE)</f>
        <v>Palermo</v>
      </c>
    </row>
    <row r="2203" spans="1:19" x14ac:dyDescent="0.2">
      <c r="A2203" s="1">
        <v>46030</v>
      </c>
      <c r="B2203" t="s">
        <v>2035</v>
      </c>
      <c r="D2203" t="s">
        <v>2036</v>
      </c>
      <c r="E2203" t="s">
        <v>16</v>
      </c>
      <c r="F2203" t="s">
        <v>47</v>
      </c>
      <c r="G2203" s="14">
        <v>130000</v>
      </c>
      <c r="H2203" s="14">
        <v>125000</v>
      </c>
      <c r="I2203" t="s">
        <v>22</v>
      </c>
      <c r="J2203" t="s">
        <v>22</v>
      </c>
      <c r="K2203" t="s">
        <v>2037</v>
      </c>
      <c r="L2203" t="s">
        <v>2038</v>
      </c>
      <c r="M2203" t="s">
        <v>28</v>
      </c>
      <c r="N2203">
        <v>2</v>
      </c>
      <c r="O2203" t="s">
        <v>65</v>
      </c>
      <c r="P2203" t="s">
        <v>21</v>
      </c>
      <c r="Q2203" t="s">
        <v>30</v>
      </c>
      <c r="R2203" t="str">
        <f>VLOOKUP($O2203,'Mapa Oficinas'!$A$7:$C$46,2,FALSE)</f>
        <v>Interior - Mendoza</v>
      </c>
      <c r="S2203" t="str">
        <f>VLOOKUP($O2203,'Mapa Oficinas'!$A$7:$C$46,3,FALSE)</f>
        <v>Capital Mendoza</v>
      </c>
    </row>
    <row r="2204" spans="1:19" x14ac:dyDescent="0.2">
      <c r="A2204" s="1">
        <v>46030</v>
      </c>
      <c r="B2204" t="s">
        <v>2029</v>
      </c>
      <c r="D2204" t="s">
        <v>2030</v>
      </c>
      <c r="E2204" t="s">
        <v>16</v>
      </c>
      <c r="F2204" t="s">
        <v>17</v>
      </c>
      <c r="G2204" s="14">
        <v>135000</v>
      </c>
      <c r="H2204" s="14">
        <v>137000</v>
      </c>
      <c r="I2204" t="s">
        <v>22</v>
      </c>
      <c r="J2204" t="s">
        <v>22</v>
      </c>
      <c r="K2204" t="s">
        <v>2031</v>
      </c>
      <c r="L2204" t="s">
        <v>912</v>
      </c>
      <c r="M2204" t="s">
        <v>97</v>
      </c>
      <c r="N2204">
        <v>1</v>
      </c>
      <c r="O2204" t="s">
        <v>142</v>
      </c>
      <c r="P2204" t="s">
        <v>146</v>
      </c>
      <c r="Q2204" t="s">
        <v>30</v>
      </c>
      <c r="R2204" t="str">
        <f>VLOOKUP($O2204,'Mapa Oficinas'!$A$7:$C$46,2,FALSE)</f>
        <v>Zona Norte (GBA)</v>
      </c>
      <c r="S2204" t="str">
        <f>VLOOKUP($O2204,'Mapa Oficinas'!$A$7:$C$46,3,FALSE)</f>
        <v>Nordelta</v>
      </c>
    </row>
    <row r="2205" spans="1:19" x14ac:dyDescent="0.2">
      <c r="A2205" s="1">
        <v>46030</v>
      </c>
      <c r="B2205" t="s">
        <v>2044</v>
      </c>
      <c r="D2205" t="s">
        <v>2045</v>
      </c>
      <c r="E2205" t="s">
        <v>16</v>
      </c>
      <c r="F2205" t="s">
        <v>17</v>
      </c>
      <c r="G2205" s="14">
        <v>299000</v>
      </c>
      <c r="H2205" s="14">
        <v>295000</v>
      </c>
      <c r="I2205" t="s">
        <v>22</v>
      </c>
      <c r="J2205" t="s">
        <v>22</v>
      </c>
      <c r="K2205" t="s">
        <v>2046</v>
      </c>
      <c r="L2205" t="s">
        <v>2047</v>
      </c>
      <c r="M2205" t="s">
        <v>28</v>
      </c>
      <c r="N2205">
        <v>2</v>
      </c>
      <c r="O2205" t="s">
        <v>20</v>
      </c>
      <c r="P2205" t="s">
        <v>276</v>
      </c>
      <c r="Q2205" t="s">
        <v>30</v>
      </c>
      <c r="R2205" t="str">
        <f>VLOOKUP($O2205,'Mapa Oficinas'!$A$7:$C$46,2,FALSE)</f>
        <v>CABA</v>
      </c>
      <c r="S2205" t="str">
        <f>VLOOKUP($O2205,'Mapa Oficinas'!$A$7:$C$46,3,FALSE)</f>
        <v>Palermo</v>
      </c>
    </row>
    <row r="2206" spans="1:19" x14ac:dyDescent="0.2">
      <c r="A2206" s="1">
        <v>46030</v>
      </c>
      <c r="B2206" t="s">
        <v>2032</v>
      </c>
      <c r="D2206" t="s">
        <v>2033</v>
      </c>
      <c r="E2206" t="s">
        <v>16</v>
      </c>
      <c r="F2206" t="s">
        <v>17</v>
      </c>
      <c r="G2206" s="14">
        <v>465000</v>
      </c>
      <c r="H2206" s="14">
        <v>445000</v>
      </c>
      <c r="I2206" t="s">
        <v>22</v>
      </c>
      <c r="J2206" t="s">
        <v>22</v>
      </c>
      <c r="K2206" t="s">
        <v>2034</v>
      </c>
      <c r="L2206" t="s">
        <v>79</v>
      </c>
      <c r="M2206" t="s">
        <v>19</v>
      </c>
      <c r="N2206">
        <v>2</v>
      </c>
      <c r="O2206" t="s">
        <v>35</v>
      </c>
      <c r="P2206" t="s">
        <v>21</v>
      </c>
      <c r="Q2206" t="s">
        <v>30</v>
      </c>
      <c r="R2206" t="str">
        <f>VLOOKUP($O2206,'Mapa Oficinas'!$A$7:$C$46,2,FALSE)</f>
        <v>Zona Norte (GBA)</v>
      </c>
      <c r="S2206" t="str">
        <f>VLOOKUP($O2206,'Mapa Oficinas'!$A$7:$C$46,3,FALSE)</f>
        <v>Vicente López</v>
      </c>
    </row>
    <row r="2207" spans="1:19" x14ac:dyDescent="0.2">
      <c r="A2207" s="1">
        <v>46031</v>
      </c>
      <c r="D2207" t="s">
        <v>2024</v>
      </c>
      <c r="E2207" t="s">
        <v>16</v>
      </c>
      <c r="F2207" t="s">
        <v>38</v>
      </c>
      <c r="G2207" s="14">
        <v>45000</v>
      </c>
      <c r="H2207" s="14">
        <v>45000</v>
      </c>
      <c r="I2207" t="s">
        <v>22</v>
      </c>
      <c r="J2207" t="s">
        <v>22</v>
      </c>
      <c r="K2207" t="s">
        <v>1193</v>
      </c>
      <c r="L2207" t="s">
        <v>915</v>
      </c>
      <c r="M2207" t="s">
        <v>97</v>
      </c>
      <c r="N2207">
        <v>2</v>
      </c>
      <c r="O2207" t="s">
        <v>98</v>
      </c>
      <c r="P2207" t="s">
        <v>41</v>
      </c>
      <c r="Q2207" t="s">
        <v>30</v>
      </c>
      <c r="R2207" t="str">
        <f>VLOOKUP($O2207,'Mapa Oficinas'!$A$7:$C$46,2,FALSE)</f>
        <v>Interior - Neuquén</v>
      </c>
      <c r="S2207" t="str">
        <f>VLOOKUP($O2207,'Mapa Oficinas'!$A$7:$C$46,3,FALSE)</f>
        <v>Villa La Angostura</v>
      </c>
    </row>
    <row r="2208" spans="1:19" x14ac:dyDescent="0.2">
      <c r="A2208" s="1">
        <v>46031</v>
      </c>
      <c r="D2208" t="s">
        <v>2025</v>
      </c>
      <c r="E2208" t="s">
        <v>16</v>
      </c>
      <c r="F2208" t="s">
        <v>38</v>
      </c>
      <c r="G2208" s="14">
        <v>45000</v>
      </c>
      <c r="H2208" s="14">
        <v>45000</v>
      </c>
      <c r="I2208" t="s">
        <v>22</v>
      </c>
      <c r="J2208" t="s">
        <v>22</v>
      </c>
      <c r="K2208" t="s">
        <v>914</v>
      </c>
      <c r="L2208" t="s">
        <v>915</v>
      </c>
      <c r="M2208" t="s">
        <v>97</v>
      </c>
      <c r="N2208">
        <v>2</v>
      </c>
      <c r="O2208" t="s">
        <v>98</v>
      </c>
      <c r="P2208" t="s">
        <v>41</v>
      </c>
      <c r="Q2208" t="s">
        <v>30</v>
      </c>
      <c r="R2208" t="str">
        <f>VLOOKUP($O2208,'Mapa Oficinas'!$A$7:$C$46,2,FALSE)</f>
        <v>Interior - Neuquén</v>
      </c>
      <c r="S2208" t="str">
        <f>VLOOKUP($O2208,'Mapa Oficinas'!$A$7:$C$46,3,FALSE)</f>
        <v>Villa La Angostura</v>
      </c>
    </row>
    <row r="2209" spans="1:19" x14ac:dyDescent="0.2">
      <c r="A2209" s="1">
        <v>46031</v>
      </c>
      <c r="B2209" t="s">
        <v>2020</v>
      </c>
      <c r="D2209" t="s">
        <v>2021</v>
      </c>
      <c r="E2209" t="s">
        <v>16</v>
      </c>
      <c r="F2209" t="s">
        <v>17</v>
      </c>
      <c r="G2209" s="14">
        <v>69000</v>
      </c>
      <c r="H2209" s="14">
        <v>64000</v>
      </c>
      <c r="I2209" t="s">
        <v>22</v>
      </c>
      <c r="J2209" t="s">
        <v>22</v>
      </c>
      <c r="K2209" t="s">
        <v>2022</v>
      </c>
      <c r="L2209" t="s">
        <v>2023</v>
      </c>
      <c r="M2209" t="s">
        <v>19</v>
      </c>
      <c r="N2209">
        <v>2</v>
      </c>
      <c r="O2209" t="s">
        <v>389</v>
      </c>
      <c r="P2209" t="s">
        <v>21</v>
      </c>
      <c r="Q2209" t="s">
        <v>30</v>
      </c>
      <c r="R2209" t="str">
        <f>VLOOKUP($O2209,'Mapa Oficinas'!$A$7:$C$46,2,FALSE)</f>
        <v>Zona Norte (GBA)</v>
      </c>
      <c r="S2209" t="str">
        <f>VLOOKUP($O2209,'Mapa Oficinas'!$A$7:$C$46,3,FALSE)</f>
        <v>Escobar</v>
      </c>
    </row>
    <row r="2210" spans="1:19" x14ac:dyDescent="0.2">
      <c r="A2210" s="1">
        <v>46031</v>
      </c>
      <c r="B2210" t="s">
        <v>2012</v>
      </c>
      <c r="D2210" t="s">
        <v>2013</v>
      </c>
      <c r="E2210" t="s">
        <v>16</v>
      </c>
      <c r="F2210" t="s">
        <v>17</v>
      </c>
      <c r="G2210" s="14">
        <v>68000</v>
      </c>
      <c r="H2210" s="14">
        <v>68000</v>
      </c>
      <c r="I2210" t="s">
        <v>22</v>
      </c>
      <c r="J2210" t="s">
        <v>22</v>
      </c>
      <c r="K2210" t="s">
        <v>2014</v>
      </c>
      <c r="L2210" t="s">
        <v>2015</v>
      </c>
      <c r="M2210" t="s">
        <v>28</v>
      </c>
      <c r="N2210">
        <v>2</v>
      </c>
      <c r="O2210" t="s">
        <v>65</v>
      </c>
      <c r="P2210" t="s">
        <v>21</v>
      </c>
      <c r="Q2210" t="s">
        <v>30</v>
      </c>
      <c r="R2210" t="str">
        <f>VLOOKUP($O2210,'Mapa Oficinas'!$A$7:$C$46,2,FALSE)</f>
        <v>Interior - Mendoza</v>
      </c>
      <c r="S2210" t="str">
        <f>VLOOKUP($O2210,'Mapa Oficinas'!$A$7:$C$46,3,FALSE)</f>
        <v>Capital Mendoza</v>
      </c>
    </row>
    <row r="2211" spans="1:19" x14ac:dyDescent="0.2">
      <c r="A2211" s="1">
        <v>46031</v>
      </c>
      <c r="B2211" t="s">
        <v>2017</v>
      </c>
      <c r="D2211" t="s">
        <v>2018</v>
      </c>
      <c r="E2211" t="s">
        <v>16</v>
      </c>
      <c r="F2211" t="s">
        <v>17</v>
      </c>
      <c r="G2211" s="14">
        <v>143000</v>
      </c>
      <c r="H2211" s="14">
        <v>143000</v>
      </c>
      <c r="I2211" t="s">
        <v>22</v>
      </c>
      <c r="J2211" t="s">
        <v>22</v>
      </c>
      <c r="K2211" t="s">
        <v>2019</v>
      </c>
      <c r="L2211" t="s">
        <v>291</v>
      </c>
      <c r="M2211" t="s">
        <v>97</v>
      </c>
      <c r="N2211">
        <v>2</v>
      </c>
      <c r="O2211" t="s">
        <v>29</v>
      </c>
      <c r="P2211" t="s">
        <v>21</v>
      </c>
      <c r="Q2211" t="s">
        <v>30</v>
      </c>
      <c r="R2211" t="str">
        <f>VLOOKUP($O2211,'Mapa Oficinas'!$A$7:$C$46,2,FALSE)</f>
        <v>CABA</v>
      </c>
      <c r="S2211" t="str">
        <f>VLOOKUP($O2211,'Mapa Oficinas'!$A$7:$C$46,3,FALSE)</f>
        <v>Núñez</v>
      </c>
    </row>
    <row r="2212" spans="1:19" x14ac:dyDescent="0.2">
      <c r="A2212" s="1">
        <v>46031</v>
      </c>
      <c r="B2212" t="s">
        <v>2003</v>
      </c>
      <c r="D2212" t="s">
        <v>2004</v>
      </c>
      <c r="E2212" t="s">
        <v>16</v>
      </c>
      <c r="F2212" t="s">
        <v>47</v>
      </c>
      <c r="G2212" s="14">
        <v>169000</v>
      </c>
      <c r="H2212" s="14">
        <v>147600</v>
      </c>
      <c r="I2212" t="s">
        <v>22</v>
      </c>
      <c r="J2212" t="s">
        <v>22</v>
      </c>
      <c r="K2212" t="s">
        <v>2005</v>
      </c>
      <c r="L2212" t="s">
        <v>107</v>
      </c>
      <c r="M2212" t="s">
        <v>97</v>
      </c>
      <c r="N2212">
        <v>2</v>
      </c>
      <c r="O2212" t="s">
        <v>50</v>
      </c>
      <c r="P2212" t="s">
        <v>21</v>
      </c>
      <c r="Q2212" t="s">
        <v>30</v>
      </c>
      <c r="R2212" t="str">
        <f>VLOOKUP($O2212,'Mapa Oficinas'!$A$7:$C$46,2,FALSE)</f>
        <v>CABA</v>
      </c>
      <c r="S2212" t="str">
        <f>VLOOKUP($O2212,'Mapa Oficinas'!$A$7:$C$46,3,FALSE)</f>
        <v>Villa Urquiza</v>
      </c>
    </row>
    <row r="2213" spans="1:19" x14ac:dyDescent="0.2">
      <c r="A2213" s="1">
        <v>46034</v>
      </c>
      <c r="B2213" t="s">
        <v>1985</v>
      </c>
      <c r="D2213" t="s">
        <v>1986</v>
      </c>
      <c r="E2213" t="s">
        <v>16</v>
      </c>
      <c r="F2213" t="s">
        <v>1708</v>
      </c>
      <c r="G2213" s="14">
        <v>35000</v>
      </c>
      <c r="H2213" s="14">
        <v>40000</v>
      </c>
      <c r="I2213" t="s">
        <v>22</v>
      </c>
      <c r="J2213" t="s">
        <v>22</v>
      </c>
      <c r="K2213" t="s">
        <v>918</v>
      </c>
      <c r="L2213" t="s">
        <v>915</v>
      </c>
      <c r="M2213" t="s">
        <v>97</v>
      </c>
      <c r="N2213">
        <v>2</v>
      </c>
      <c r="O2213" t="s">
        <v>98</v>
      </c>
      <c r="P2213" t="s">
        <v>41</v>
      </c>
      <c r="Q2213" t="s">
        <v>30</v>
      </c>
      <c r="R2213" t="str">
        <f>VLOOKUP($O2213,'Mapa Oficinas'!$A$7:$C$46,2,FALSE)</f>
        <v>Interior - Neuquén</v>
      </c>
      <c r="S2213" t="str">
        <f>VLOOKUP($O2213,'Mapa Oficinas'!$A$7:$C$46,3,FALSE)</f>
        <v>Villa La Angostura</v>
      </c>
    </row>
    <row r="2214" spans="1:19" x14ac:dyDescent="0.2">
      <c r="A2214" s="1">
        <v>46034</v>
      </c>
      <c r="B2214" t="s">
        <v>1996</v>
      </c>
      <c r="D2214" t="s">
        <v>1997</v>
      </c>
      <c r="E2214" t="s">
        <v>16</v>
      </c>
      <c r="F2214" t="s">
        <v>17</v>
      </c>
      <c r="G2214" s="14">
        <v>63000</v>
      </c>
      <c r="H2214" s="14">
        <v>47000</v>
      </c>
      <c r="I2214" t="s">
        <v>22</v>
      </c>
      <c r="J2214" t="s">
        <v>22</v>
      </c>
      <c r="K2214" t="s">
        <v>1998</v>
      </c>
      <c r="L2214" t="s">
        <v>71</v>
      </c>
      <c r="M2214" t="s">
        <v>19</v>
      </c>
      <c r="N2214">
        <v>2</v>
      </c>
      <c r="O2214" t="s">
        <v>103</v>
      </c>
      <c r="P2214" t="s">
        <v>21</v>
      </c>
      <c r="Q2214" t="s">
        <v>30</v>
      </c>
      <c r="R2214" t="str">
        <f>VLOOKUP($O2214,'Mapa Oficinas'!$A$7:$C$46,2,FALSE)</f>
        <v>CABA</v>
      </c>
      <c r="S2214" t="str">
        <f>VLOOKUP($O2214,'Mapa Oficinas'!$A$7:$C$46,3,FALSE)</f>
        <v>Barrio Parque</v>
      </c>
    </row>
    <row r="2215" spans="1:19" x14ac:dyDescent="0.2">
      <c r="A2215" s="1">
        <v>46034</v>
      </c>
      <c r="B2215" t="s">
        <v>1999</v>
      </c>
      <c r="D2215" t="s">
        <v>2000</v>
      </c>
      <c r="E2215" t="s">
        <v>16</v>
      </c>
      <c r="F2215" t="s">
        <v>17</v>
      </c>
      <c r="G2215" s="14">
        <v>67000</v>
      </c>
      <c r="H2215" s="14">
        <v>65000</v>
      </c>
      <c r="I2215" t="s">
        <v>22</v>
      </c>
      <c r="J2215" t="s">
        <v>22</v>
      </c>
      <c r="K2215" t="s">
        <v>2001</v>
      </c>
      <c r="L2215" t="s">
        <v>2002</v>
      </c>
      <c r="M2215" t="s">
        <v>19</v>
      </c>
      <c r="N2215">
        <v>2</v>
      </c>
      <c r="O2215" t="s">
        <v>20</v>
      </c>
      <c r="P2215" t="s">
        <v>21</v>
      </c>
      <c r="Q2215" t="s">
        <v>30</v>
      </c>
      <c r="R2215" t="str">
        <f>VLOOKUP($O2215,'Mapa Oficinas'!$A$7:$C$46,2,FALSE)</f>
        <v>CABA</v>
      </c>
      <c r="S2215" t="str">
        <f>VLOOKUP($O2215,'Mapa Oficinas'!$A$7:$C$46,3,FALSE)</f>
        <v>Palermo</v>
      </c>
    </row>
    <row r="2216" spans="1:19" x14ac:dyDescent="0.2">
      <c r="A2216" s="1">
        <v>46034</v>
      </c>
      <c r="B2216">
        <v>10657</v>
      </c>
      <c r="D2216" t="s">
        <v>1993</v>
      </c>
      <c r="E2216" t="s">
        <v>16</v>
      </c>
      <c r="F2216" t="s">
        <v>17</v>
      </c>
      <c r="G2216" s="14">
        <v>73000</v>
      </c>
      <c r="H2216" s="14">
        <v>73000</v>
      </c>
      <c r="I2216" t="s">
        <v>22</v>
      </c>
      <c r="J2216" t="s">
        <v>22</v>
      </c>
      <c r="K2216" t="s">
        <v>1994</v>
      </c>
      <c r="L2216" t="s">
        <v>1995</v>
      </c>
      <c r="M2216" t="s">
        <v>19</v>
      </c>
      <c r="N2216">
        <v>2</v>
      </c>
      <c r="O2216" t="s">
        <v>103</v>
      </c>
      <c r="P2216" t="s">
        <v>21</v>
      </c>
      <c r="Q2216" t="s">
        <v>30</v>
      </c>
      <c r="R2216" t="str">
        <f>VLOOKUP($O2216,'Mapa Oficinas'!$A$7:$C$46,2,FALSE)</f>
        <v>CABA</v>
      </c>
      <c r="S2216" t="str">
        <f>VLOOKUP($O2216,'Mapa Oficinas'!$A$7:$C$46,3,FALSE)</f>
        <v>Barrio Parque</v>
      </c>
    </row>
    <row r="2217" spans="1:19" x14ac:dyDescent="0.2">
      <c r="A2217" s="1">
        <v>46034</v>
      </c>
      <c r="B2217" t="s">
        <v>1977</v>
      </c>
      <c r="D2217" t="s">
        <v>1978</v>
      </c>
      <c r="E2217" t="s">
        <v>16</v>
      </c>
      <c r="F2217" t="s">
        <v>17</v>
      </c>
      <c r="G2217" s="14">
        <v>115000</v>
      </c>
      <c r="H2217" s="14">
        <v>110000</v>
      </c>
      <c r="I2217" t="s">
        <v>22</v>
      </c>
      <c r="J2217" t="s">
        <v>22</v>
      </c>
      <c r="K2217" t="s">
        <v>1979</v>
      </c>
      <c r="L2217" t="s">
        <v>470</v>
      </c>
      <c r="M2217" t="s">
        <v>72</v>
      </c>
      <c r="N2217">
        <v>2</v>
      </c>
      <c r="O2217" t="s">
        <v>73</v>
      </c>
      <c r="P2217" t="s">
        <v>21</v>
      </c>
      <c r="Q2217" t="s">
        <v>30</v>
      </c>
      <c r="R2217" t="str">
        <f>VLOOKUP($O2217,'Mapa Oficinas'!$A$7:$C$46,2,FALSE)</f>
        <v>CABA</v>
      </c>
      <c r="S2217" t="str">
        <f>VLOOKUP($O2217,'Mapa Oficinas'!$A$7:$C$46,3,FALSE)</f>
        <v>Recoleta</v>
      </c>
    </row>
    <row r="2218" spans="1:19" x14ac:dyDescent="0.2">
      <c r="A2218" s="1">
        <v>46034</v>
      </c>
      <c r="B2218" t="s">
        <v>1990</v>
      </c>
      <c r="D2218" t="s">
        <v>1991</v>
      </c>
      <c r="E2218" t="s">
        <v>16</v>
      </c>
      <c r="F2218" t="s">
        <v>17</v>
      </c>
      <c r="G2218" s="14">
        <v>139000</v>
      </c>
      <c r="H2218" s="14">
        <v>136000</v>
      </c>
      <c r="I2218" t="s">
        <v>22</v>
      </c>
      <c r="J2218" t="s">
        <v>22</v>
      </c>
      <c r="K2218" t="s">
        <v>1992</v>
      </c>
      <c r="L2218" t="s">
        <v>799</v>
      </c>
      <c r="M2218" t="s">
        <v>19</v>
      </c>
      <c r="N2218">
        <v>2</v>
      </c>
      <c r="O2218" t="s">
        <v>103</v>
      </c>
      <c r="P2218" t="s">
        <v>21</v>
      </c>
      <c r="Q2218" t="s">
        <v>30</v>
      </c>
      <c r="R2218" t="str">
        <f>VLOOKUP($O2218,'Mapa Oficinas'!$A$7:$C$46,2,FALSE)</f>
        <v>CABA</v>
      </c>
      <c r="S2218" t="str">
        <f>VLOOKUP($O2218,'Mapa Oficinas'!$A$7:$C$46,3,FALSE)</f>
        <v>Barrio Parque</v>
      </c>
    </row>
    <row r="2219" spans="1:19" x14ac:dyDescent="0.2">
      <c r="A2219" s="1">
        <v>46034</v>
      </c>
      <c r="B2219" t="s">
        <v>1987</v>
      </c>
      <c r="D2219" t="s">
        <v>1988</v>
      </c>
      <c r="E2219" t="s">
        <v>16</v>
      </c>
      <c r="F2219" t="s">
        <v>17</v>
      </c>
      <c r="G2219" s="14">
        <v>690000</v>
      </c>
      <c r="H2219" s="14">
        <v>623000</v>
      </c>
      <c r="I2219" t="s">
        <v>22</v>
      </c>
      <c r="J2219" t="s">
        <v>22</v>
      </c>
      <c r="K2219" t="s">
        <v>1989</v>
      </c>
      <c r="L2219" t="s">
        <v>277</v>
      </c>
      <c r="M2219" t="s">
        <v>19</v>
      </c>
      <c r="N2219">
        <v>2</v>
      </c>
      <c r="O2219" t="s">
        <v>103</v>
      </c>
      <c r="P2219" t="s">
        <v>36</v>
      </c>
      <c r="Q2219" t="s">
        <v>30</v>
      </c>
      <c r="R2219" t="str">
        <f>VLOOKUP($O2219,'Mapa Oficinas'!$A$7:$C$46,2,FALSE)</f>
        <v>CABA</v>
      </c>
      <c r="S2219" t="str">
        <f>VLOOKUP($O2219,'Mapa Oficinas'!$A$7:$C$46,3,FALSE)</f>
        <v>Barrio Parque</v>
      </c>
    </row>
    <row r="2220" spans="1:19" x14ac:dyDescent="0.2">
      <c r="A2220" s="1">
        <v>46034</v>
      </c>
      <c r="D2220" t="s">
        <v>1981</v>
      </c>
      <c r="E2220" t="s">
        <v>16</v>
      </c>
      <c r="F2220" t="s">
        <v>17</v>
      </c>
      <c r="G2220" s="14">
        <v>640000</v>
      </c>
      <c r="H2220" s="14">
        <v>623000</v>
      </c>
      <c r="I2220" t="s">
        <v>22</v>
      </c>
      <c r="J2220" t="s">
        <v>22</v>
      </c>
      <c r="K2220" t="s">
        <v>1982</v>
      </c>
      <c r="L2220" t="s">
        <v>79</v>
      </c>
      <c r="M2220" t="s">
        <v>19</v>
      </c>
      <c r="N2220">
        <v>2</v>
      </c>
      <c r="O2220" t="s">
        <v>206</v>
      </c>
      <c r="P2220" t="s">
        <v>36</v>
      </c>
      <c r="Q2220" t="s">
        <v>30</v>
      </c>
      <c r="R2220" t="str">
        <f>VLOOKUP($O2220,'Mapa Oficinas'!$A$7:$C$46,2,FALSE)</f>
        <v>CABA</v>
      </c>
      <c r="S2220" t="str">
        <f>VLOOKUP($O2220,'Mapa Oficinas'!$A$7:$C$46,3,FALSE)</f>
        <v>Belgrano</v>
      </c>
    </row>
    <row r="2221" spans="1:19" x14ac:dyDescent="0.2">
      <c r="A2221" s="1">
        <v>46035</v>
      </c>
      <c r="B2221" t="s">
        <v>1974</v>
      </c>
      <c r="D2221" t="s">
        <v>1975</v>
      </c>
      <c r="E2221" t="s">
        <v>16</v>
      </c>
      <c r="F2221" t="s">
        <v>17</v>
      </c>
      <c r="G2221" s="14">
        <v>55000</v>
      </c>
      <c r="H2221" s="14">
        <v>55000</v>
      </c>
      <c r="I2221" t="s">
        <v>22</v>
      </c>
      <c r="J2221" t="s">
        <v>22</v>
      </c>
      <c r="K2221" t="s">
        <v>1976</v>
      </c>
      <c r="L2221" t="s">
        <v>991</v>
      </c>
      <c r="M2221" t="s">
        <v>19</v>
      </c>
      <c r="N2221">
        <v>2</v>
      </c>
      <c r="O2221" t="s">
        <v>686</v>
      </c>
      <c r="P2221" t="s">
        <v>21</v>
      </c>
      <c r="Q2221" t="s">
        <v>30</v>
      </c>
      <c r="R2221" t="str">
        <f>VLOOKUP($O2221,'Mapa Oficinas'!$A$7:$C$46,2,FALSE)</f>
        <v>CABA</v>
      </c>
      <c r="S2221" t="str">
        <f>VLOOKUP($O2221,'Mapa Oficinas'!$A$7:$C$46,3,FALSE)</f>
        <v>Retiro</v>
      </c>
    </row>
    <row r="2222" spans="1:19" x14ac:dyDescent="0.2">
      <c r="A2222" s="1">
        <v>46035</v>
      </c>
      <c r="B2222" t="s">
        <v>1967</v>
      </c>
      <c r="D2222" t="s">
        <v>1968</v>
      </c>
      <c r="E2222" t="s">
        <v>16</v>
      </c>
      <c r="F2222" t="s">
        <v>82</v>
      </c>
      <c r="G2222" s="14">
        <v>58000</v>
      </c>
      <c r="H2222" s="14">
        <v>55000</v>
      </c>
      <c r="I2222" t="s">
        <v>22</v>
      </c>
      <c r="J2222" t="s">
        <v>22</v>
      </c>
      <c r="K2222" t="s">
        <v>1969</v>
      </c>
      <c r="L2222" t="s">
        <v>1970</v>
      </c>
      <c r="M2222" t="s">
        <v>28</v>
      </c>
      <c r="N2222">
        <v>2</v>
      </c>
      <c r="O2222" t="s">
        <v>55</v>
      </c>
      <c r="P2222" t="s">
        <v>21</v>
      </c>
      <c r="Q2222" t="s">
        <v>30</v>
      </c>
      <c r="R2222" t="str">
        <f>VLOOKUP($O2222,'Mapa Oficinas'!$A$7:$C$46,2,FALSE)</f>
        <v>Interior - Santa Fe</v>
      </c>
      <c r="S2222" t="str">
        <f>VLOOKUP($O2222,'Mapa Oficinas'!$A$7:$C$46,3,FALSE)</f>
        <v>Capital Santa Fe</v>
      </c>
    </row>
    <row r="2223" spans="1:19" x14ac:dyDescent="0.2">
      <c r="A2223" s="1">
        <v>46035</v>
      </c>
      <c r="B2223" t="s">
        <v>1972</v>
      </c>
      <c r="D2223" t="s">
        <v>1973</v>
      </c>
      <c r="E2223" t="s">
        <v>16</v>
      </c>
      <c r="F2223" t="s">
        <v>184</v>
      </c>
      <c r="G2223" s="14">
        <v>73000</v>
      </c>
      <c r="H2223" s="14">
        <v>63000</v>
      </c>
      <c r="I2223" t="s">
        <v>22</v>
      </c>
      <c r="J2223" t="s">
        <v>22</v>
      </c>
      <c r="K2223" t="s">
        <v>594</v>
      </c>
      <c r="L2223" t="s">
        <v>136</v>
      </c>
      <c r="M2223" t="s">
        <v>19</v>
      </c>
      <c r="N2223">
        <v>2</v>
      </c>
      <c r="O2223" t="s">
        <v>130</v>
      </c>
      <c r="P2223" t="s">
        <v>41</v>
      </c>
      <c r="Q2223" t="s">
        <v>30</v>
      </c>
      <c r="R2223" t="str">
        <f>VLOOKUP($O2223,'Mapa Oficinas'!$A$7:$C$46,2,FALSE)</f>
        <v>Interior - Río Negro</v>
      </c>
      <c r="S2223" t="str">
        <f>VLOOKUP($O2223,'Mapa Oficinas'!$A$7:$C$46,3,FALSE)</f>
        <v>Bariloche</v>
      </c>
    </row>
    <row r="2224" spans="1:19" x14ac:dyDescent="0.2">
      <c r="A2224" s="1">
        <v>46035</v>
      </c>
      <c r="B2224" t="s">
        <v>1964</v>
      </c>
      <c r="D2224" t="s">
        <v>1965</v>
      </c>
      <c r="E2224" t="s">
        <v>16</v>
      </c>
      <c r="F2224" t="s">
        <v>82</v>
      </c>
      <c r="G2224" s="14">
        <v>80000</v>
      </c>
      <c r="H2224" s="14">
        <v>78000</v>
      </c>
      <c r="I2224" t="s">
        <v>22</v>
      </c>
      <c r="J2224" t="s">
        <v>22</v>
      </c>
      <c r="K2224" t="s">
        <v>1966</v>
      </c>
      <c r="L2224" t="s">
        <v>79</v>
      </c>
      <c r="M2224" t="s">
        <v>19</v>
      </c>
      <c r="N2224">
        <v>2</v>
      </c>
      <c r="O2224" t="s">
        <v>261</v>
      </c>
      <c r="P2224" t="s">
        <v>21</v>
      </c>
      <c r="Q2224" t="s">
        <v>30</v>
      </c>
      <c r="R2224" t="str">
        <f>VLOOKUP($O2224,'Mapa Oficinas'!$A$7:$C$46,2,FALSE)</f>
        <v>CABA</v>
      </c>
      <c r="S2224" t="str">
        <f>VLOOKUP($O2224,'Mapa Oficinas'!$A$7:$C$46,3,FALSE)</f>
        <v>Núñez</v>
      </c>
    </row>
    <row r="2225" spans="1:19" x14ac:dyDescent="0.2">
      <c r="A2225" s="1">
        <v>46035</v>
      </c>
      <c r="B2225" t="s">
        <v>1961</v>
      </c>
      <c r="D2225" t="s">
        <v>1962</v>
      </c>
      <c r="E2225" t="s">
        <v>16</v>
      </c>
      <c r="F2225" t="s">
        <v>38</v>
      </c>
      <c r="G2225" s="14">
        <v>80000</v>
      </c>
      <c r="H2225" s="14">
        <v>78000</v>
      </c>
      <c r="I2225" t="s">
        <v>22</v>
      </c>
      <c r="J2225" t="s">
        <v>22</v>
      </c>
      <c r="K2225" t="s">
        <v>1963</v>
      </c>
      <c r="L2225" t="s">
        <v>79</v>
      </c>
      <c r="M2225" t="s">
        <v>19</v>
      </c>
      <c r="N2225">
        <v>2</v>
      </c>
      <c r="O2225" t="s">
        <v>261</v>
      </c>
      <c r="P2225" t="s">
        <v>21</v>
      </c>
      <c r="Q2225" t="s">
        <v>30</v>
      </c>
      <c r="R2225" t="str">
        <f>VLOOKUP($O2225,'Mapa Oficinas'!$A$7:$C$46,2,FALSE)</f>
        <v>CABA</v>
      </c>
      <c r="S2225" t="str">
        <f>VLOOKUP($O2225,'Mapa Oficinas'!$A$7:$C$46,3,FALSE)</f>
        <v>Núñez</v>
      </c>
    </row>
    <row r="2226" spans="1:19" x14ac:dyDescent="0.2">
      <c r="A2226" s="1">
        <v>46035</v>
      </c>
      <c r="B2226" t="s">
        <v>1953</v>
      </c>
      <c r="D2226" t="s">
        <v>1954</v>
      </c>
      <c r="E2226" t="s">
        <v>16</v>
      </c>
      <c r="F2226" t="s">
        <v>47</v>
      </c>
      <c r="G2226" s="14">
        <v>109900</v>
      </c>
      <c r="H2226" s="14">
        <v>98000</v>
      </c>
      <c r="I2226" t="s">
        <v>22</v>
      </c>
      <c r="J2226" t="s">
        <v>22</v>
      </c>
      <c r="K2226" t="s">
        <v>1955</v>
      </c>
      <c r="L2226" t="s">
        <v>79</v>
      </c>
      <c r="M2226" t="s">
        <v>19</v>
      </c>
      <c r="N2226">
        <v>2</v>
      </c>
      <c r="O2226" t="s">
        <v>50</v>
      </c>
      <c r="P2226" t="s">
        <v>21</v>
      </c>
      <c r="Q2226" t="s">
        <v>30</v>
      </c>
      <c r="R2226" t="str">
        <f>VLOOKUP($O2226,'Mapa Oficinas'!$A$7:$C$46,2,FALSE)</f>
        <v>CABA</v>
      </c>
      <c r="S2226" t="str">
        <f>VLOOKUP($O2226,'Mapa Oficinas'!$A$7:$C$46,3,FALSE)</f>
        <v>Villa Urquiza</v>
      </c>
    </row>
    <row r="2227" spans="1:19" x14ac:dyDescent="0.2">
      <c r="A2227" s="1">
        <v>46035</v>
      </c>
      <c r="B2227" t="s">
        <v>1946</v>
      </c>
      <c r="D2227" t="s">
        <v>1947</v>
      </c>
      <c r="E2227" t="s">
        <v>16</v>
      </c>
      <c r="F2227" t="s">
        <v>17</v>
      </c>
      <c r="G2227" s="14">
        <v>153000</v>
      </c>
      <c r="H2227" s="14">
        <v>157000</v>
      </c>
      <c r="I2227" t="s">
        <v>22</v>
      </c>
      <c r="J2227" t="s">
        <v>22</v>
      </c>
      <c r="K2227" t="s">
        <v>1948</v>
      </c>
      <c r="L2227" t="s">
        <v>1949</v>
      </c>
      <c r="M2227" t="s">
        <v>28</v>
      </c>
      <c r="N2227">
        <v>2</v>
      </c>
      <c r="O2227" t="s">
        <v>142</v>
      </c>
      <c r="P2227" t="s">
        <v>41</v>
      </c>
      <c r="Q2227" t="s">
        <v>30</v>
      </c>
      <c r="R2227" t="str">
        <f>VLOOKUP($O2227,'Mapa Oficinas'!$A$7:$C$46,2,FALSE)</f>
        <v>Zona Norte (GBA)</v>
      </c>
      <c r="S2227" t="str">
        <f>VLOOKUP($O2227,'Mapa Oficinas'!$A$7:$C$46,3,FALSE)</f>
        <v>Nordelta</v>
      </c>
    </row>
    <row r="2228" spans="1:19" x14ac:dyDescent="0.2">
      <c r="A2228" s="1">
        <v>46035</v>
      </c>
      <c r="B2228" t="s">
        <v>1950</v>
      </c>
      <c r="D2228" t="s">
        <v>1951</v>
      </c>
      <c r="E2228" t="s">
        <v>16</v>
      </c>
      <c r="F2228" t="s">
        <v>17</v>
      </c>
      <c r="G2228" s="14">
        <v>219000</v>
      </c>
      <c r="H2228" s="14">
        <v>215000</v>
      </c>
      <c r="I2228" t="s">
        <v>22</v>
      </c>
      <c r="J2228" t="s">
        <v>22</v>
      </c>
      <c r="K2228" t="s">
        <v>1952</v>
      </c>
      <c r="L2228" t="s">
        <v>191</v>
      </c>
      <c r="M2228" t="s">
        <v>19</v>
      </c>
      <c r="N2228">
        <v>2</v>
      </c>
      <c r="O2228" t="s">
        <v>201</v>
      </c>
      <c r="P2228" t="s">
        <v>21</v>
      </c>
      <c r="Q2228" t="s">
        <v>30</v>
      </c>
      <c r="R2228" t="str">
        <f>VLOOKUP($O2228,'Mapa Oficinas'!$A$7:$C$46,2,FALSE)</f>
        <v>CABA</v>
      </c>
      <c r="S2228" t="str">
        <f>VLOOKUP($O2228,'Mapa Oficinas'!$A$7:$C$46,3,FALSE)</f>
        <v>Recoleta</v>
      </c>
    </row>
    <row r="2229" spans="1:19" x14ac:dyDescent="0.2">
      <c r="A2229" s="1">
        <v>46035</v>
      </c>
      <c r="B2229" t="s">
        <v>1942</v>
      </c>
      <c r="D2229" t="s">
        <v>1943</v>
      </c>
      <c r="E2229" t="s">
        <v>16</v>
      </c>
      <c r="F2229" t="s">
        <v>17</v>
      </c>
      <c r="G2229" s="14">
        <v>265000</v>
      </c>
      <c r="H2229" s="14">
        <v>250000</v>
      </c>
      <c r="I2229" t="s">
        <v>22</v>
      </c>
      <c r="J2229" t="s">
        <v>22</v>
      </c>
      <c r="K2229" t="s">
        <v>1944</v>
      </c>
      <c r="L2229" t="s">
        <v>1945</v>
      </c>
      <c r="M2229" t="s">
        <v>28</v>
      </c>
      <c r="N2229">
        <v>2</v>
      </c>
      <c r="O2229" t="s">
        <v>142</v>
      </c>
      <c r="P2229" t="s">
        <v>41</v>
      </c>
      <c r="Q2229" t="s">
        <v>30</v>
      </c>
      <c r="R2229" t="str">
        <f>VLOOKUP($O2229,'Mapa Oficinas'!$A$7:$C$46,2,FALSE)</f>
        <v>Zona Norte (GBA)</v>
      </c>
      <c r="S2229" t="str">
        <f>VLOOKUP($O2229,'Mapa Oficinas'!$A$7:$C$46,3,FALSE)</f>
        <v>Nordelta</v>
      </c>
    </row>
    <row r="2230" spans="1:19" x14ac:dyDescent="0.2">
      <c r="A2230" s="1">
        <v>46036</v>
      </c>
      <c r="B2230" t="s">
        <v>1907</v>
      </c>
      <c r="D2230" t="s">
        <v>1908</v>
      </c>
      <c r="E2230" t="s">
        <v>16</v>
      </c>
      <c r="F2230" t="s">
        <v>17</v>
      </c>
      <c r="G2230" s="14">
        <v>60000</v>
      </c>
      <c r="H2230" s="14">
        <v>55500</v>
      </c>
      <c r="I2230" t="s">
        <v>22</v>
      </c>
      <c r="J2230" t="s">
        <v>22</v>
      </c>
      <c r="K2230" t="s">
        <v>1909</v>
      </c>
      <c r="L2230" t="s">
        <v>191</v>
      </c>
      <c r="M2230" t="s">
        <v>13</v>
      </c>
      <c r="N2230">
        <v>2</v>
      </c>
      <c r="O2230" t="s">
        <v>547</v>
      </c>
      <c r="P2230" t="s">
        <v>21</v>
      </c>
      <c r="Q2230" t="s">
        <v>30</v>
      </c>
      <c r="R2230" t="str">
        <f>VLOOKUP($O2230,'Mapa Oficinas'!$A$7:$C$46,2,FALSE)</f>
        <v>CABA</v>
      </c>
      <c r="S2230" t="str">
        <f>VLOOKUP($O2230,'Mapa Oficinas'!$A$7:$C$46,3,FALSE)</f>
        <v>Núñez</v>
      </c>
    </row>
    <row r="2231" spans="1:19" x14ac:dyDescent="0.2">
      <c r="A2231" s="1">
        <v>46036</v>
      </c>
      <c r="B2231" t="s">
        <v>1890</v>
      </c>
      <c r="D2231" t="s">
        <v>1891</v>
      </c>
      <c r="E2231" t="s">
        <v>16</v>
      </c>
      <c r="F2231" t="s">
        <v>17</v>
      </c>
      <c r="G2231" s="14">
        <v>89000</v>
      </c>
      <c r="H2231" s="14">
        <v>83000</v>
      </c>
      <c r="I2231" t="s">
        <v>22</v>
      </c>
      <c r="J2231" t="s">
        <v>22</v>
      </c>
      <c r="K2231" t="s">
        <v>1892</v>
      </c>
      <c r="L2231" t="s">
        <v>102</v>
      </c>
      <c r="M2231" t="s">
        <v>19</v>
      </c>
      <c r="N2231">
        <v>2</v>
      </c>
      <c r="O2231" t="s">
        <v>547</v>
      </c>
      <c r="P2231" t="s">
        <v>21</v>
      </c>
      <c r="Q2231" t="s">
        <v>30</v>
      </c>
      <c r="R2231" t="str">
        <f>VLOOKUP($O2231,'Mapa Oficinas'!$A$7:$C$46,2,FALSE)</f>
        <v>CABA</v>
      </c>
      <c r="S2231" t="str">
        <f>VLOOKUP($O2231,'Mapa Oficinas'!$A$7:$C$46,3,FALSE)</f>
        <v>Núñez</v>
      </c>
    </row>
    <row r="2232" spans="1:19" x14ac:dyDescent="0.2">
      <c r="A2232" s="1">
        <v>46036</v>
      </c>
      <c r="B2232" t="s">
        <v>1903</v>
      </c>
      <c r="D2232" t="s">
        <v>1904</v>
      </c>
      <c r="E2232" t="s">
        <v>16</v>
      </c>
      <c r="F2232" t="s">
        <v>17</v>
      </c>
      <c r="G2232" s="14">
        <v>155000</v>
      </c>
      <c r="H2232" s="14">
        <v>89000</v>
      </c>
      <c r="I2232" t="s">
        <v>22</v>
      </c>
      <c r="J2232" t="s">
        <v>22</v>
      </c>
      <c r="K2232" t="s">
        <v>1905</v>
      </c>
      <c r="L2232" t="s">
        <v>1906</v>
      </c>
      <c r="M2232" t="s">
        <v>13</v>
      </c>
      <c r="N2232">
        <v>2</v>
      </c>
      <c r="O2232" t="s">
        <v>142</v>
      </c>
      <c r="P2232" t="s">
        <v>41</v>
      </c>
      <c r="Q2232" t="s">
        <v>30</v>
      </c>
      <c r="R2232" t="str">
        <f>VLOOKUP($O2232,'Mapa Oficinas'!$A$7:$C$46,2,FALSE)</f>
        <v>Zona Norte (GBA)</v>
      </c>
      <c r="S2232" t="str">
        <f>VLOOKUP($O2232,'Mapa Oficinas'!$A$7:$C$46,3,FALSE)</f>
        <v>Nordelta</v>
      </c>
    </row>
    <row r="2233" spans="1:19" x14ac:dyDescent="0.2">
      <c r="A2233" s="1">
        <v>46036</v>
      </c>
      <c r="B2233" t="s">
        <v>1928</v>
      </c>
      <c r="D2233" t="s">
        <v>1929</v>
      </c>
      <c r="E2233" t="s">
        <v>16</v>
      </c>
      <c r="F2233" t="s">
        <v>184</v>
      </c>
      <c r="G2233" s="14">
        <v>100000</v>
      </c>
      <c r="H2233" s="14">
        <v>100000</v>
      </c>
      <c r="I2233" t="s">
        <v>22</v>
      </c>
      <c r="J2233" t="s">
        <v>22</v>
      </c>
      <c r="K2233" t="s">
        <v>1930</v>
      </c>
      <c r="L2233" t="s">
        <v>1931</v>
      </c>
      <c r="M2233" t="s">
        <v>19</v>
      </c>
      <c r="N2233">
        <v>2</v>
      </c>
      <c r="O2233" t="s">
        <v>98</v>
      </c>
      <c r="P2233" t="s">
        <v>41</v>
      </c>
      <c r="Q2233" t="s">
        <v>30</v>
      </c>
      <c r="R2233" t="str">
        <f>VLOOKUP($O2233,'Mapa Oficinas'!$A$7:$C$46,2,FALSE)</f>
        <v>Interior - Neuquén</v>
      </c>
      <c r="S2233" t="str">
        <f>VLOOKUP($O2233,'Mapa Oficinas'!$A$7:$C$46,3,FALSE)</f>
        <v>Villa La Angostura</v>
      </c>
    </row>
    <row r="2234" spans="1:19" x14ac:dyDescent="0.2">
      <c r="A2234" s="1">
        <v>46036</v>
      </c>
      <c r="B2234" t="s">
        <v>1924</v>
      </c>
      <c r="D2234" t="s">
        <v>1925</v>
      </c>
      <c r="E2234" t="s">
        <v>16</v>
      </c>
      <c r="F2234" t="s">
        <v>896</v>
      </c>
      <c r="G2234" s="14">
        <v>94000</v>
      </c>
      <c r="H2234" s="14">
        <v>100000</v>
      </c>
      <c r="I2234" t="s">
        <v>22</v>
      </c>
      <c r="J2234" t="s">
        <v>22</v>
      </c>
      <c r="K2234" t="s">
        <v>1926</v>
      </c>
      <c r="L2234" t="s">
        <v>1927</v>
      </c>
      <c r="M2234" t="s">
        <v>19</v>
      </c>
      <c r="N2234">
        <v>2</v>
      </c>
      <c r="O2234" t="s">
        <v>98</v>
      </c>
      <c r="P2234" t="s">
        <v>21</v>
      </c>
      <c r="Q2234" t="s">
        <v>30</v>
      </c>
      <c r="R2234" t="str">
        <f>VLOOKUP($O2234,'Mapa Oficinas'!$A$7:$C$46,2,FALSE)</f>
        <v>Interior - Neuquén</v>
      </c>
      <c r="S2234" t="str">
        <f>VLOOKUP($O2234,'Mapa Oficinas'!$A$7:$C$46,3,FALSE)</f>
        <v>Villa La Angostura</v>
      </c>
    </row>
    <row r="2235" spans="1:19" x14ac:dyDescent="0.2">
      <c r="A2235" s="1">
        <v>46036</v>
      </c>
      <c r="B2235" t="s">
        <v>1893</v>
      </c>
      <c r="D2235" t="s">
        <v>1894</v>
      </c>
      <c r="E2235" t="s">
        <v>16</v>
      </c>
      <c r="F2235" t="s">
        <v>184</v>
      </c>
      <c r="G2235" s="14">
        <v>106830</v>
      </c>
      <c r="H2235" s="14">
        <v>101925</v>
      </c>
      <c r="I2235" t="s">
        <v>22</v>
      </c>
      <c r="J2235" t="s">
        <v>22</v>
      </c>
      <c r="K2235" t="s">
        <v>1477</v>
      </c>
      <c r="L2235" t="s">
        <v>1895</v>
      </c>
      <c r="M2235" t="s">
        <v>19</v>
      </c>
      <c r="N2235">
        <v>2</v>
      </c>
      <c r="O2235" t="s">
        <v>130</v>
      </c>
      <c r="P2235" t="s">
        <v>21</v>
      </c>
      <c r="Q2235" t="s">
        <v>30</v>
      </c>
      <c r="R2235" t="str">
        <f>VLOOKUP($O2235,'Mapa Oficinas'!$A$7:$C$46,2,FALSE)</f>
        <v>Interior - Río Negro</v>
      </c>
      <c r="S2235" t="str">
        <f>VLOOKUP($O2235,'Mapa Oficinas'!$A$7:$C$46,3,FALSE)</f>
        <v>Bariloche</v>
      </c>
    </row>
    <row r="2236" spans="1:19" x14ac:dyDescent="0.2">
      <c r="A2236" s="1">
        <v>46036</v>
      </c>
      <c r="B2236" t="s">
        <v>1913</v>
      </c>
      <c r="D2236" t="s">
        <v>1914</v>
      </c>
      <c r="E2236" t="s">
        <v>16</v>
      </c>
      <c r="F2236" t="s">
        <v>17</v>
      </c>
      <c r="G2236" s="14">
        <v>106000</v>
      </c>
      <c r="H2236" s="14">
        <v>106000</v>
      </c>
      <c r="I2236" t="s">
        <v>22</v>
      </c>
      <c r="J2236" t="s">
        <v>22</v>
      </c>
      <c r="K2236" t="s">
        <v>1913</v>
      </c>
      <c r="L2236" t="s">
        <v>318</v>
      </c>
      <c r="M2236" t="s">
        <v>19</v>
      </c>
      <c r="N2236">
        <v>2</v>
      </c>
      <c r="O2236" t="s">
        <v>35</v>
      </c>
      <c r="P2236" t="s">
        <v>36</v>
      </c>
      <c r="Q2236" t="s">
        <v>30</v>
      </c>
      <c r="R2236" t="str">
        <f>VLOOKUP($O2236,'Mapa Oficinas'!$A$7:$C$46,2,FALSE)</f>
        <v>Zona Norte (GBA)</v>
      </c>
      <c r="S2236" t="str">
        <f>VLOOKUP($O2236,'Mapa Oficinas'!$A$7:$C$46,3,FALSE)</f>
        <v>Vicente López</v>
      </c>
    </row>
    <row r="2237" spans="1:19" x14ac:dyDescent="0.2">
      <c r="A2237" s="1">
        <v>46036</v>
      </c>
      <c r="B2237" t="s">
        <v>1915</v>
      </c>
      <c r="D2237" t="s">
        <v>1916</v>
      </c>
      <c r="E2237" t="s">
        <v>16</v>
      </c>
      <c r="F2237" t="s">
        <v>644</v>
      </c>
      <c r="G2237" s="14">
        <v>170000</v>
      </c>
      <c r="H2237" s="14">
        <v>120000</v>
      </c>
      <c r="I2237" t="s">
        <v>22</v>
      </c>
      <c r="J2237" t="s">
        <v>22</v>
      </c>
      <c r="K2237" t="s">
        <v>1917</v>
      </c>
      <c r="L2237" t="s">
        <v>1918</v>
      </c>
      <c r="M2237" t="s">
        <v>97</v>
      </c>
      <c r="N2237">
        <v>2</v>
      </c>
      <c r="O2237" t="s">
        <v>213</v>
      </c>
      <c r="P2237" t="s">
        <v>21</v>
      </c>
      <c r="Q2237" t="s">
        <v>30</v>
      </c>
      <c r="R2237" t="str">
        <f>VLOOKUP($O2237,'Mapa Oficinas'!$A$7:$C$46,2,FALSE)</f>
        <v>Interior - Mendoza</v>
      </c>
      <c r="S2237" t="str">
        <f>VLOOKUP($O2237,'Mapa Oficinas'!$A$7:$C$46,3,FALSE)</f>
        <v>San Rafael</v>
      </c>
    </row>
    <row r="2238" spans="1:19" x14ac:dyDescent="0.2">
      <c r="A2238" s="1">
        <v>46036</v>
      </c>
      <c r="B2238" t="s">
        <v>1896</v>
      </c>
      <c r="D2238" t="s">
        <v>1897</v>
      </c>
      <c r="E2238" t="s">
        <v>16</v>
      </c>
      <c r="F2238" t="s">
        <v>17</v>
      </c>
      <c r="G2238" s="14">
        <v>185000</v>
      </c>
      <c r="H2238" s="14">
        <v>177000</v>
      </c>
      <c r="I2238" t="s">
        <v>22</v>
      </c>
      <c r="J2238" t="s">
        <v>22</v>
      </c>
      <c r="K2238" t="s">
        <v>1897</v>
      </c>
      <c r="L2238" t="s">
        <v>1898</v>
      </c>
      <c r="M2238" t="s">
        <v>28</v>
      </c>
      <c r="N2238">
        <v>2</v>
      </c>
      <c r="O2238" t="s">
        <v>142</v>
      </c>
      <c r="P2238" t="s">
        <v>276</v>
      </c>
      <c r="Q2238" t="s">
        <v>30</v>
      </c>
      <c r="R2238" t="str">
        <f>VLOOKUP($O2238,'Mapa Oficinas'!$A$7:$C$46,2,FALSE)</f>
        <v>Zona Norte (GBA)</v>
      </c>
      <c r="S2238" t="str">
        <f>VLOOKUP($O2238,'Mapa Oficinas'!$A$7:$C$46,3,FALSE)</f>
        <v>Nordelta</v>
      </c>
    </row>
    <row r="2239" spans="1:19" x14ac:dyDescent="0.2">
      <c r="A2239" s="1">
        <v>46036</v>
      </c>
      <c r="B2239" t="s">
        <v>1899</v>
      </c>
      <c r="D2239" t="s">
        <v>1900</v>
      </c>
      <c r="E2239" t="s">
        <v>16</v>
      </c>
      <c r="F2239" t="s">
        <v>17</v>
      </c>
      <c r="G2239" s="14">
        <v>185000</v>
      </c>
      <c r="H2239" s="14">
        <v>180000</v>
      </c>
      <c r="I2239" t="s">
        <v>22</v>
      </c>
      <c r="J2239" t="s">
        <v>22</v>
      </c>
      <c r="K2239" t="s">
        <v>1901</v>
      </c>
      <c r="L2239" t="s">
        <v>1902</v>
      </c>
      <c r="M2239" t="s">
        <v>28</v>
      </c>
      <c r="N2239">
        <v>2</v>
      </c>
      <c r="O2239" t="s">
        <v>142</v>
      </c>
      <c r="P2239" t="s">
        <v>21</v>
      </c>
      <c r="Q2239" t="s">
        <v>30</v>
      </c>
      <c r="R2239" t="str">
        <f>VLOOKUP($O2239,'Mapa Oficinas'!$A$7:$C$46,2,FALSE)</f>
        <v>Zona Norte (GBA)</v>
      </c>
      <c r="S2239" t="str">
        <f>VLOOKUP($O2239,'Mapa Oficinas'!$A$7:$C$46,3,FALSE)</f>
        <v>Nordelta</v>
      </c>
    </row>
    <row r="2240" spans="1:19" x14ac:dyDescent="0.2">
      <c r="A2240" s="1">
        <v>46036</v>
      </c>
      <c r="B2240" t="s">
        <v>1932</v>
      </c>
      <c r="D2240" t="s">
        <v>1933</v>
      </c>
      <c r="E2240" t="s">
        <v>16</v>
      </c>
      <c r="F2240" t="s">
        <v>17</v>
      </c>
      <c r="G2240" s="14">
        <v>197000</v>
      </c>
      <c r="H2240" s="14">
        <v>195000</v>
      </c>
      <c r="I2240" t="s">
        <v>22</v>
      </c>
      <c r="J2240" t="s">
        <v>22</v>
      </c>
      <c r="K2240" t="s">
        <v>1934</v>
      </c>
      <c r="L2240" t="s">
        <v>191</v>
      </c>
      <c r="M2240" t="s">
        <v>19</v>
      </c>
      <c r="N2240">
        <v>2</v>
      </c>
      <c r="O2240" t="s">
        <v>103</v>
      </c>
      <c r="P2240" t="s">
        <v>276</v>
      </c>
      <c r="Q2240" t="s">
        <v>30</v>
      </c>
      <c r="R2240" t="str">
        <f>VLOOKUP($O2240,'Mapa Oficinas'!$A$7:$C$46,2,FALSE)</f>
        <v>CABA</v>
      </c>
      <c r="S2240" t="str">
        <f>VLOOKUP($O2240,'Mapa Oficinas'!$A$7:$C$46,3,FALSE)</f>
        <v>Barrio Parque</v>
      </c>
    </row>
    <row r="2241" spans="1:19" x14ac:dyDescent="0.2">
      <c r="A2241" s="1">
        <v>46036</v>
      </c>
      <c r="B2241" t="s">
        <v>1938</v>
      </c>
      <c r="D2241" t="s">
        <v>1939</v>
      </c>
      <c r="E2241" t="s">
        <v>16</v>
      </c>
      <c r="F2241" t="s">
        <v>17</v>
      </c>
      <c r="G2241" s="14">
        <v>235000</v>
      </c>
      <c r="H2241" s="14">
        <v>225000</v>
      </c>
      <c r="I2241" t="s">
        <v>22</v>
      </c>
      <c r="J2241" t="s">
        <v>22</v>
      </c>
      <c r="K2241" t="s">
        <v>1940</v>
      </c>
      <c r="L2241" t="s">
        <v>79</v>
      </c>
      <c r="M2241" t="s">
        <v>19</v>
      </c>
      <c r="N2241">
        <v>2</v>
      </c>
      <c r="O2241" t="s">
        <v>116</v>
      </c>
      <c r="P2241" t="s">
        <v>276</v>
      </c>
      <c r="Q2241" t="s">
        <v>30</v>
      </c>
      <c r="R2241" t="str">
        <f>VLOOKUP($O2241,'Mapa Oficinas'!$A$7:$C$46,2,FALSE)</f>
        <v>CABA</v>
      </c>
      <c r="S2241" t="str">
        <f>VLOOKUP($O2241,'Mapa Oficinas'!$A$7:$C$46,3,FALSE)</f>
        <v>Puerto Madero</v>
      </c>
    </row>
    <row r="2242" spans="1:19" x14ac:dyDescent="0.2">
      <c r="A2242" s="1">
        <v>46036</v>
      </c>
      <c r="B2242" t="s">
        <v>1910</v>
      </c>
      <c r="D2242" t="s">
        <v>1911</v>
      </c>
      <c r="E2242" t="s">
        <v>16</v>
      </c>
      <c r="F2242" t="s">
        <v>17</v>
      </c>
      <c r="G2242" s="14">
        <v>240000</v>
      </c>
      <c r="H2242" s="14">
        <v>225000</v>
      </c>
      <c r="I2242" t="s">
        <v>22</v>
      </c>
      <c r="J2242" t="s">
        <v>22</v>
      </c>
      <c r="K2242" t="s">
        <v>1912</v>
      </c>
      <c r="L2242" t="s">
        <v>679</v>
      </c>
      <c r="M2242" t="s">
        <v>28</v>
      </c>
      <c r="N2242">
        <v>2</v>
      </c>
      <c r="O2242" t="s">
        <v>151</v>
      </c>
      <c r="P2242" t="s">
        <v>41</v>
      </c>
      <c r="Q2242" t="s">
        <v>30</v>
      </c>
      <c r="R2242" t="str">
        <f>VLOOKUP($O2242,'Mapa Oficinas'!$A$7:$C$46,2,FALSE)</f>
        <v>Interior - Neuquén</v>
      </c>
      <c r="S2242" t="str">
        <f>VLOOKUP($O2242,'Mapa Oficinas'!$A$7:$C$46,3,FALSE)</f>
        <v>Capital Neuquén</v>
      </c>
    </row>
    <row r="2243" spans="1:19" x14ac:dyDescent="0.2">
      <c r="A2243" s="1">
        <v>46036</v>
      </c>
      <c r="B2243" t="s">
        <v>1935</v>
      </c>
      <c r="D2243" t="s">
        <v>1936</v>
      </c>
      <c r="E2243" t="s">
        <v>16</v>
      </c>
      <c r="F2243" t="s">
        <v>17</v>
      </c>
      <c r="G2243" s="14">
        <v>390000</v>
      </c>
      <c r="H2243" s="14">
        <v>390000</v>
      </c>
      <c r="I2243" t="s">
        <v>22</v>
      </c>
      <c r="J2243" t="s">
        <v>22</v>
      </c>
      <c r="K2243" t="s">
        <v>1937</v>
      </c>
      <c r="L2243" t="s">
        <v>277</v>
      </c>
      <c r="M2243" t="s">
        <v>19</v>
      </c>
      <c r="N2243">
        <v>2</v>
      </c>
      <c r="O2243" t="s">
        <v>20</v>
      </c>
      <c r="P2243" t="s">
        <v>21</v>
      </c>
      <c r="Q2243" t="s">
        <v>30</v>
      </c>
      <c r="R2243" t="str">
        <f>VLOOKUP($O2243,'Mapa Oficinas'!$A$7:$C$46,2,FALSE)</f>
        <v>CABA</v>
      </c>
      <c r="S2243" t="str">
        <f>VLOOKUP($O2243,'Mapa Oficinas'!$A$7:$C$46,3,FALSE)</f>
        <v>Palermo</v>
      </c>
    </row>
    <row r="2244" spans="1:19" x14ac:dyDescent="0.2">
      <c r="A2244" s="1">
        <v>46037</v>
      </c>
      <c r="B2244" t="s">
        <v>1880</v>
      </c>
      <c r="D2244" t="s">
        <v>1880</v>
      </c>
      <c r="E2244" t="s">
        <v>16</v>
      </c>
      <c r="F2244" t="s">
        <v>17</v>
      </c>
      <c r="G2244" s="14">
        <v>113000</v>
      </c>
      <c r="H2244" s="14">
        <v>113000</v>
      </c>
      <c r="I2244" t="s">
        <v>22</v>
      </c>
      <c r="J2244" t="s">
        <v>22</v>
      </c>
      <c r="K2244" t="s">
        <v>1880</v>
      </c>
      <c r="L2244" t="s">
        <v>237</v>
      </c>
      <c r="M2244" t="s">
        <v>19</v>
      </c>
      <c r="N2244">
        <v>1</v>
      </c>
      <c r="O2244" t="s">
        <v>35</v>
      </c>
      <c r="P2244" t="s">
        <v>66</v>
      </c>
      <c r="Q2244" t="s">
        <v>30</v>
      </c>
      <c r="R2244" t="str">
        <f>VLOOKUP($O2244,'Mapa Oficinas'!$A$7:$C$46,2,FALSE)</f>
        <v>Zona Norte (GBA)</v>
      </c>
      <c r="S2244" t="str">
        <f>VLOOKUP($O2244,'Mapa Oficinas'!$A$7:$C$46,3,FALSE)</f>
        <v>Vicente López</v>
      </c>
    </row>
    <row r="2245" spans="1:19" x14ac:dyDescent="0.2">
      <c r="A2245" s="1">
        <v>46037</v>
      </c>
      <c r="B2245" t="s">
        <v>1871</v>
      </c>
      <c r="D2245" t="s">
        <v>1872</v>
      </c>
      <c r="E2245" t="s">
        <v>16</v>
      </c>
      <c r="F2245" t="s">
        <v>17</v>
      </c>
      <c r="G2245" s="14">
        <v>170000</v>
      </c>
      <c r="H2245" s="14">
        <v>118500</v>
      </c>
      <c r="I2245" t="s">
        <v>22</v>
      </c>
      <c r="J2245" t="s">
        <v>22</v>
      </c>
      <c r="K2245" t="s">
        <v>1873</v>
      </c>
      <c r="L2245" t="s">
        <v>271</v>
      </c>
      <c r="M2245" t="s">
        <v>19</v>
      </c>
      <c r="N2245">
        <v>2</v>
      </c>
      <c r="O2245" t="s">
        <v>142</v>
      </c>
      <c r="P2245" t="s">
        <v>21</v>
      </c>
      <c r="Q2245" t="s">
        <v>30</v>
      </c>
      <c r="R2245" t="str">
        <f>VLOOKUP($O2245,'Mapa Oficinas'!$A$7:$C$46,2,FALSE)</f>
        <v>Zona Norte (GBA)</v>
      </c>
      <c r="S2245" t="str">
        <f>VLOOKUP($O2245,'Mapa Oficinas'!$A$7:$C$46,3,FALSE)</f>
        <v>Nordelta</v>
      </c>
    </row>
    <row r="2246" spans="1:19" x14ac:dyDescent="0.2">
      <c r="A2246" s="1">
        <v>46037</v>
      </c>
      <c r="B2246" t="s">
        <v>1887</v>
      </c>
      <c r="D2246" t="s">
        <v>1888</v>
      </c>
      <c r="E2246" t="s">
        <v>16</v>
      </c>
      <c r="F2246" t="s">
        <v>17</v>
      </c>
      <c r="G2246" s="14">
        <v>129500</v>
      </c>
      <c r="H2246" s="14">
        <v>128000</v>
      </c>
      <c r="I2246" t="s">
        <v>22</v>
      </c>
      <c r="J2246" t="s">
        <v>22</v>
      </c>
      <c r="K2246" t="s">
        <v>1889</v>
      </c>
      <c r="L2246" t="s">
        <v>482</v>
      </c>
      <c r="M2246" t="s">
        <v>19</v>
      </c>
      <c r="N2246">
        <v>2</v>
      </c>
      <c r="O2246" t="s">
        <v>103</v>
      </c>
      <c r="P2246" t="s">
        <v>21</v>
      </c>
      <c r="Q2246" t="s">
        <v>30</v>
      </c>
      <c r="R2246" t="str">
        <f>VLOOKUP($O2246,'Mapa Oficinas'!$A$7:$C$46,2,FALSE)</f>
        <v>CABA</v>
      </c>
      <c r="S2246" t="str">
        <f>VLOOKUP($O2246,'Mapa Oficinas'!$A$7:$C$46,3,FALSE)</f>
        <v>Barrio Parque</v>
      </c>
    </row>
    <row r="2247" spans="1:19" x14ac:dyDescent="0.2">
      <c r="A2247" s="1">
        <v>46037</v>
      </c>
      <c r="B2247" t="s">
        <v>1884</v>
      </c>
      <c r="D2247" t="s">
        <v>1885</v>
      </c>
      <c r="E2247" t="s">
        <v>16</v>
      </c>
      <c r="F2247" t="s">
        <v>17</v>
      </c>
      <c r="G2247" s="14">
        <v>1000</v>
      </c>
      <c r="H2247" s="14">
        <v>135000</v>
      </c>
      <c r="I2247" t="s">
        <v>22</v>
      </c>
      <c r="J2247" t="s">
        <v>22</v>
      </c>
      <c r="K2247" t="s">
        <v>1886</v>
      </c>
      <c r="L2247" t="s">
        <v>1030</v>
      </c>
      <c r="M2247" t="s">
        <v>28</v>
      </c>
      <c r="N2247">
        <v>2</v>
      </c>
      <c r="O2247" t="s">
        <v>389</v>
      </c>
      <c r="P2247" t="s">
        <v>21</v>
      </c>
      <c r="Q2247" t="s">
        <v>30</v>
      </c>
      <c r="R2247" t="str">
        <f>VLOOKUP($O2247,'Mapa Oficinas'!$A$7:$C$46,2,FALSE)</f>
        <v>Zona Norte (GBA)</v>
      </c>
      <c r="S2247" t="str">
        <f>VLOOKUP($O2247,'Mapa Oficinas'!$A$7:$C$46,3,FALSE)</f>
        <v>Escobar</v>
      </c>
    </row>
    <row r="2248" spans="1:19" x14ac:dyDescent="0.2">
      <c r="A2248" s="1">
        <v>46037</v>
      </c>
      <c r="B2248" t="s">
        <v>1865</v>
      </c>
      <c r="D2248" t="s">
        <v>1865</v>
      </c>
      <c r="E2248" t="s">
        <v>16</v>
      </c>
      <c r="F2248" t="s">
        <v>17</v>
      </c>
      <c r="G2248" s="14">
        <v>160000</v>
      </c>
      <c r="H2248" s="14">
        <v>160000</v>
      </c>
      <c r="I2248" t="s">
        <v>22</v>
      </c>
      <c r="J2248" t="s">
        <v>22</v>
      </c>
      <c r="L2248" t="s">
        <v>1866</v>
      </c>
      <c r="M2248" t="s">
        <v>28</v>
      </c>
      <c r="N2248">
        <v>2</v>
      </c>
      <c r="O2248" t="s">
        <v>142</v>
      </c>
      <c r="P2248" t="s">
        <v>41</v>
      </c>
      <c r="Q2248" t="s">
        <v>30</v>
      </c>
      <c r="R2248" t="str">
        <f>VLOOKUP($O2248,'Mapa Oficinas'!$A$7:$C$46,2,FALSE)</f>
        <v>Zona Norte (GBA)</v>
      </c>
      <c r="S2248" t="str">
        <f>VLOOKUP($O2248,'Mapa Oficinas'!$A$7:$C$46,3,FALSE)</f>
        <v>Nordelta</v>
      </c>
    </row>
    <row r="2249" spans="1:19" x14ac:dyDescent="0.2">
      <c r="A2249" s="1">
        <v>46037</v>
      </c>
      <c r="B2249" t="s">
        <v>1881</v>
      </c>
      <c r="D2249" t="s">
        <v>1882</v>
      </c>
      <c r="E2249" t="s">
        <v>16</v>
      </c>
      <c r="F2249" t="s">
        <v>47</v>
      </c>
      <c r="G2249" s="14">
        <v>198000</v>
      </c>
      <c r="H2249" s="14">
        <v>195000</v>
      </c>
      <c r="I2249" t="s">
        <v>22</v>
      </c>
      <c r="J2249" t="s">
        <v>22</v>
      </c>
      <c r="K2249" t="s">
        <v>723</v>
      </c>
      <c r="L2249" t="s">
        <v>1883</v>
      </c>
      <c r="M2249" t="s">
        <v>28</v>
      </c>
      <c r="N2249">
        <v>2</v>
      </c>
      <c r="O2249" t="s">
        <v>40</v>
      </c>
      <c r="P2249" t="s">
        <v>21</v>
      </c>
      <c r="Q2249" t="s">
        <v>30</v>
      </c>
      <c r="R2249" t="str">
        <f>VLOOKUP($O2249,'Mapa Oficinas'!$A$7:$C$46,2,FALSE)</f>
        <v>Zona Norte (GBA)</v>
      </c>
      <c r="S2249" t="str">
        <f>VLOOKUP($O2249,'Mapa Oficinas'!$A$7:$C$46,3,FALSE)</f>
        <v>Pilar</v>
      </c>
    </row>
    <row r="2250" spans="1:19" x14ac:dyDescent="0.2">
      <c r="A2250" s="1">
        <v>46037</v>
      </c>
      <c r="D2250" t="s">
        <v>1878</v>
      </c>
      <c r="E2250" t="s">
        <v>16</v>
      </c>
      <c r="F2250" t="s">
        <v>17</v>
      </c>
      <c r="G2250" s="14">
        <v>230000</v>
      </c>
      <c r="H2250" s="14">
        <v>230000</v>
      </c>
      <c r="I2250" t="s">
        <v>22</v>
      </c>
      <c r="J2250" t="s">
        <v>22</v>
      </c>
      <c r="K2250" t="s">
        <v>1879</v>
      </c>
      <c r="L2250" t="s">
        <v>79</v>
      </c>
      <c r="M2250" t="s">
        <v>19</v>
      </c>
      <c r="N2250">
        <v>1</v>
      </c>
      <c r="O2250" t="s">
        <v>201</v>
      </c>
      <c r="P2250" t="s">
        <v>146</v>
      </c>
      <c r="Q2250" t="s">
        <v>30</v>
      </c>
      <c r="R2250" t="str">
        <f>VLOOKUP($O2250,'Mapa Oficinas'!$A$7:$C$46,2,FALSE)</f>
        <v>CABA</v>
      </c>
      <c r="S2250" t="str">
        <f>VLOOKUP($O2250,'Mapa Oficinas'!$A$7:$C$46,3,FALSE)</f>
        <v>Recoleta</v>
      </c>
    </row>
    <row r="2251" spans="1:19" x14ac:dyDescent="0.2">
      <c r="A2251" s="1">
        <v>46037</v>
      </c>
      <c r="B2251" t="s">
        <v>1867</v>
      </c>
      <c r="D2251" t="s">
        <v>1868</v>
      </c>
      <c r="E2251" t="s">
        <v>16</v>
      </c>
      <c r="F2251" t="s">
        <v>17</v>
      </c>
      <c r="G2251" s="14">
        <v>285000</v>
      </c>
      <c r="H2251" s="14">
        <v>278000</v>
      </c>
      <c r="I2251" t="s">
        <v>22</v>
      </c>
      <c r="J2251" t="s">
        <v>22</v>
      </c>
      <c r="K2251" t="s">
        <v>1869</v>
      </c>
      <c r="L2251" t="s">
        <v>1870</v>
      </c>
      <c r="M2251" t="s">
        <v>28</v>
      </c>
      <c r="N2251">
        <v>2</v>
      </c>
      <c r="O2251" t="s">
        <v>142</v>
      </c>
      <c r="P2251" t="s">
        <v>21</v>
      </c>
      <c r="Q2251" t="s">
        <v>30</v>
      </c>
      <c r="R2251" t="str">
        <f>VLOOKUP($O2251,'Mapa Oficinas'!$A$7:$C$46,2,FALSE)</f>
        <v>Zona Norte (GBA)</v>
      </c>
      <c r="S2251" t="str">
        <f>VLOOKUP($O2251,'Mapa Oficinas'!$A$7:$C$46,3,FALSE)</f>
        <v>Nordelta</v>
      </c>
    </row>
    <row r="2252" spans="1:19" x14ac:dyDescent="0.2">
      <c r="A2252" s="1">
        <v>46037</v>
      </c>
      <c r="B2252" t="s">
        <v>1874</v>
      </c>
      <c r="D2252" t="s">
        <v>1875</v>
      </c>
      <c r="E2252" t="s">
        <v>16</v>
      </c>
      <c r="F2252" t="s">
        <v>17</v>
      </c>
      <c r="G2252" s="14">
        <v>350000</v>
      </c>
      <c r="H2252" s="14">
        <v>295000</v>
      </c>
      <c r="I2252" t="s">
        <v>22</v>
      </c>
      <c r="J2252" t="s">
        <v>22</v>
      </c>
      <c r="K2252" t="s">
        <v>1876</v>
      </c>
      <c r="L2252" t="s">
        <v>71</v>
      </c>
      <c r="M2252" t="s">
        <v>97</v>
      </c>
      <c r="N2252">
        <v>2</v>
      </c>
      <c r="O2252" t="s">
        <v>201</v>
      </c>
      <c r="P2252" t="s">
        <v>41</v>
      </c>
      <c r="Q2252" t="s">
        <v>30</v>
      </c>
      <c r="R2252" t="str">
        <f>VLOOKUP($O2252,'Mapa Oficinas'!$A$7:$C$46,2,FALSE)</f>
        <v>CABA</v>
      </c>
      <c r="S2252" t="str">
        <f>VLOOKUP($O2252,'Mapa Oficinas'!$A$7:$C$46,3,FALSE)</f>
        <v>Recoleta</v>
      </c>
    </row>
    <row r="2253" spans="1:19" x14ac:dyDescent="0.2">
      <c r="A2253" s="1">
        <v>46038</v>
      </c>
      <c r="D2253" t="s">
        <v>1856</v>
      </c>
      <c r="E2253" t="s">
        <v>16</v>
      </c>
      <c r="F2253" t="s">
        <v>17</v>
      </c>
      <c r="G2253" s="14">
        <v>38000</v>
      </c>
      <c r="H2253" s="14">
        <v>38000</v>
      </c>
      <c r="I2253" t="s">
        <v>22</v>
      </c>
      <c r="J2253" t="s">
        <v>22</v>
      </c>
      <c r="K2253" t="s">
        <v>1857</v>
      </c>
      <c r="L2253" t="s">
        <v>915</v>
      </c>
      <c r="M2253" t="s">
        <v>97</v>
      </c>
      <c r="N2253">
        <v>2</v>
      </c>
      <c r="O2253" t="s">
        <v>98</v>
      </c>
      <c r="P2253" t="s">
        <v>41</v>
      </c>
      <c r="Q2253" t="s">
        <v>30</v>
      </c>
      <c r="R2253" t="str">
        <f>VLOOKUP($O2253,'Mapa Oficinas'!$A$7:$C$46,2,FALSE)</f>
        <v>Interior - Neuquén</v>
      </c>
      <c r="S2253" t="str">
        <f>VLOOKUP($O2253,'Mapa Oficinas'!$A$7:$C$46,3,FALSE)</f>
        <v>Villa La Angostura</v>
      </c>
    </row>
    <row r="2254" spans="1:19" x14ac:dyDescent="0.2">
      <c r="A2254" s="1">
        <v>46038</v>
      </c>
      <c r="B2254" t="s">
        <v>1858</v>
      </c>
      <c r="D2254" t="s">
        <v>1859</v>
      </c>
      <c r="E2254" t="s">
        <v>16</v>
      </c>
      <c r="F2254" t="s">
        <v>127</v>
      </c>
      <c r="G2254" s="14">
        <v>68000</v>
      </c>
      <c r="H2254" s="14">
        <v>68000</v>
      </c>
      <c r="I2254" t="s">
        <v>22</v>
      </c>
      <c r="J2254" t="s">
        <v>22</v>
      </c>
      <c r="K2254" t="s">
        <v>1860</v>
      </c>
      <c r="L2254" t="s">
        <v>1011</v>
      </c>
      <c r="M2254" t="s">
        <v>28</v>
      </c>
      <c r="N2254">
        <v>2</v>
      </c>
      <c r="O2254" t="s">
        <v>367</v>
      </c>
      <c r="P2254" t="s">
        <v>21</v>
      </c>
      <c r="Q2254" t="s">
        <v>30</v>
      </c>
      <c r="R2254" t="str">
        <f>VLOOKUP($O2254,'Mapa Oficinas'!$A$7:$C$46,2,FALSE)</f>
        <v>Interior - Neuquén</v>
      </c>
      <c r="S2254" t="str">
        <f>VLOOKUP($O2254,'Mapa Oficinas'!$A$7:$C$46,3,FALSE)</f>
        <v>San Martín de los Andes</v>
      </c>
    </row>
    <row r="2255" spans="1:19" x14ac:dyDescent="0.2">
      <c r="A2255" s="1">
        <v>46038</v>
      </c>
      <c r="B2255" t="s">
        <v>1835</v>
      </c>
      <c r="D2255" t="s">
        <v>1836</v>
      </c>
      <c r="E2255" t="s">
        <v>16</v>
      </c>
      <c r="F2255" t="s">
        <v>82</v>
      </c>
      <c r="G2255" s="14">
        <v>85000</v>
      </c>
      <c r="H2255" s="14">
        <v>70000</v>
      </c>
      <c r="I2255" t="s">
        <v>22</v>
      </c>
      <c r="J2255" t="s">
        <v>22</v>
      </c>
      <c r="K2255" t="s">
        <v>1837</v>
      </c>
      <c r="L2255" t="s">
        <v>1838</v>
      </c>
      <c r="M2255" t="s">
        <v>97</v>
      </c>
      <c r="N2255">
        <v>2</v>
      </c>
      <c r="O2255" t="s">
        <v>85</v>
      </c>
      <c r="P2255" t="s">
        <v>41</v>
      </c>
      <c r="Q2255" t="s">
        <v>30</v>
      </c>
      <c r="R2255" t="str">
        <f>VLOOKUP($O2255,'Mapa Oficinas'!$A$7:$C$46,2,FALSE)</f>
        <v>Interior - Jujuy</v>
      </c>
      <c r="S2255" t="str">
        <f>VLOOKUP($O2255,'Mapa Oficinas'!$A$7:$C$46,3,FALSE)</f>
        <v>Capital Jujuy</v>
      </c>
    </row>
    <row r="2256" spans="1:19" x14ac:dyDescent="0.2">
      <c r="A2256" s="1">
        <v>46038</v>
      </c>
      <c r="B2256" t="s">
        <v>1846</v>
      </c>
      <c r="D2256" t="s">
        <v>1847</v>
      </c>
      <c r="E2256" t="s">
        <v>16</v>
      </c>
      <c r="F2256" t="s">
        <v>53</v>
      </c>
      <c r="G2256" s="14">
        <v>85000</v>
      </c>
      <c r="H2256" s="14">
        <v>72500</v>
      </c>
      <c r="I2256" t="s">
        <v>22</v>
      </c>
      <c r="J2256" t="s">
        <v>22</v>
      </c>
      <c r="K2256" t="s">
        <v>1848</v>
      </c>
      <c r="L2256" t="s">
        <v>1849</v>
      </c>
      <c r="M2256" t="s">
        <v>28</v>
      </c>
      <c r="N2256">
        <v>2</v>
      </c>
      <c r="O2256" t="s">
        <v>227</v>
      </c>
      <c r="P2256" t="s">
        <v>21</v>
      </c>
      <c r="Q2256" t="s">
        <v>30</v>
      </c>
      <c r="R2256" t="str">
        <f>VLOOKUP($O2256,'Mapa Oficinas'!$A$7:$C$46,2,FALSE)</f>
        <v>Zona Oeste (GBA)</v>
      </c>
      <c r="S2256" t="str">
        <f>VLOOKUP($O2256,'Mapa Oficinas'!$A$7:$C$46,3,FALSE)</f>
        <v>Parque Leloir</v>
      </c>
    </row>
    <row r="2257" spans="1:19" x14ac:dyDescent="0.2">
      <c r="A2257" s="1">
        <v>46038</v>
      </c>
      <c r="B2257" t="s">
        <v>1861</v>
      </c>
      <c r="D2257" t="s">
        <v>1862</v>
      </c>
      <c r="E2257" t="s">
        <v>16</v>
      </c>
      <c r="F2257" t="s">
        <v>17</v>
      </c>
      <c r="G2257" s="14">
        <v>116000</v>
      </c>
      <c r="H2257" s="14">
        <v>104000</v>
      </c>
      <c r="I2257" t="s">
        <v>22</v>
      </c>
      <c r="J2257" t="s">
        <v>22</v>
      </c>
      <c r="K2257" t="s">
        <v>1863</v>
      </c>
      <c r="L2257" t="s">
        <v>1864</v>
      </c>
      <c r="M2257" t="s">
        <v>19</v>
      </c>
      <c r="N2257">
        <v>2</v>
      </c>
      <c r="O2257" t="s">
        <v>116</v>
      </c>
      <c r="P2257" t="s">
        <v>41</v>
      </c>
      <c r="Q2257" t="s">
        <v>30</v>
      </c>
      <c r="R2257" t="str">
        <f>VLOOKUP($O2257,'Mapa Oficinas'!$A$7:$C$46,2,FALSE)</f>
        <v>CABA</v>
      </c>
      <c r="S2257" t="str">
        <f>VLOOKUP($O2257,'Mapa Oficinas'!$A$7:$C$46,3,FALSE)</f>
        <v>Puerto Madero</v>
      </c>
    </row>
    <row r="2258" spans="1:19" x14ac:dyDescent="0.2">
      <c r="A2258" s="1">
        <v>46038</v>
      </c>
      <c r="B2258" t="s">
        <v>1839</v>
      </c>
      <c r="D2258" t="s">
        <v>1840</v>
      </c>
      <c r="E2258" t="s">
        <v>16</v>
      </c>
      <c r="F2258" t="s">
        <v>17</v>
      </c>
      <c r="G2258" s="14">
        <v>115000</v>
      </c>
      <c r="H2258" s="14">
        <v>110000</v>
      </c>
      <c r="I2258" t="s">
        <v>22</v>
      </c>
      <c r="J2258" t="s">
        <v>22</v>
      </c>
      <c r="K2258" t="s">
        <v>1841</v>
      </c>
      <c r="L2258" t="s">
        <v>1228</v>
      </c>
      <c r="M2258" t="s">
        <v>28</v>
      </c>
      <c r="N2258">
        <v>2</v>
      </c>
      <c r="O2258" t="s">
        <v>142</v>
      </c>
      <c r="P2258" t="s">
        <v>41</v>
      </c>
      <c r="Q2258" t="s">
        <v>30</v>
      </c>
      <c r="R2258" t="str">
        <f>VLOOKUP($O2258,'Mapa Oficinas'!$A$7:$C$46,2,FALSE)</f>
        <v>Zona Norte (GBA)</v>
      </c>
      <c r="S2258" t="str">
        <f>VLOOKUP($O2258,'Mapa Oficinas'!$A$7:$C$46,3,FALSE)</f>
        <v>Nordelta</v>
      </c>
    </row>
    <row r="2259" spans="1:19" x14ac:dyDescent="0.2">
      <c r="A2259" s="1">
        <v>46038</v>
      </c>
      <c r="B2259" t="s">
        <v>1832</v>
      </c>
      <c r="D2259" t="s">
        <v>1833</v>
      </c>
      <c r="E2259" t="s">
        <v>16</v>
      </c>
      <c r="F2259" t="s">
        <v>17</v>
      </c>
      <c r="G2259" s="14">
        <v>195000</v>
      </c>
      <c r="H2259" s="14">
        <v>190000</v>
      </c>
      <c r="I2259" t="s">
        <v>22</v>
      </c>
      <c r="J2259" t="s">
        <v>22</v>
      </c>
      <c r="K2259" t="s">
        <v>1834</v>
      </c>
      <c r="L2259" t="s">
        <v>1676</v>
      </c>
      <c r="M2259" t="s">
        <v>28</v>
      </c>
      <c r="N2259">
        <v>2</v>
      </c>
      <c r="O2259" t="s">
        <v>223</v>
      </c>
      <c r="P2259" t="s">
        <v>21</v>
      </c>
      <c r="Q2259" t="s">
        <v>30</v>
      </c>
      <c r="R2259" t="str">
        <f>VLOOKUP($O2259,'Mapa Oficinas'!$A$7:$C$46,2,FALSE)</f>
        <v>Zona Norte (GBA)</v>
      </c>
      <c r="S2259" t="str">
        <f>VLOOKUP($O2259,'Mapa Oficinas'!$A$7:$C$46,3,FALSE)</f>
        <v>San Isidro</v>
      </c>
    </row>
    <row r="2260" spans="1:19" x14ac:dyDescent="0.2">
      <c r="A2260" s="1">
        <v>46038</v>
      </c>
      <c r="B2260" t="s">
        <v>1850</v>
      </c>
      <c r="D2260" t="s">
        <v>1851</v>
      </c>
      <c r="E2260" t="s">
        <v>16</v>
      </c>
      <c r="F2260" t="s">
        <v>17</v>
      </c>
      <c r="G2260" s="14">
        <v>240000</v>
      </c>
      <c r="H2260" s="14">
        <v>220000</v>
      </c>
      <c r="I2260" t="s">
        <v>22</v>
      </c>
      <c r="J2260" t="s">
        <v>22</v>
      </c>
      <c r="K2260" t="s">
        <v>1851</v>
      </c>
      <c r="L2260" t="s">
        <v>1852</v>
      </c>
      <c r="M2260" t="s">
        <v>28</v>
      </c>
      <c r="N2260">
        <v>2</v>
      </c>
      <c r="O2260" t="s">
        <v>359</v>
      </c>
      <c r="P2260" t="s">
        <v>276</v>
      </c>
      <c r="Q2260" t="s">
        <v>30</v>
      </c>
      <c r="R2260" t="str">
        <f>VLOOKUP($O2260,'Mapa Oficinas'!$A$7:$C$46,2,FALSE)</f>
        <v>CABA</v>
      </c>
      <c r="S2260" t="str">
        <f>VLOOKUP($O2260,'Mapa Oficinas'!$A$7:$C$46,3,FALSE)</f>
        <v>Palermo</v>
      </c>
    </row>
    <row r="2261" spans="1:19" x14ac:dyDescent="0.2">
      <c r="A2261" s="1">
        <v>46038</v>
      </c>
      <c r="B2261" t="s">
        <v>1853</v>
      </c>
      <c r="D2261" t="s">
        <v>1854</v>
      </c>
      <c r="E2261" t="s">
        <v>16</v>
      </c>
      <c r="F2261" t="s">
        <v>47</v>
      </c>
      <c r="G2261" s="14">
        <v>419900</v>
      </c>
      <c r="H2261" s="14">
        <v>296250</v>
      </c>
      <c r="I2261" t="s">
        <v>22</v>
      </c>
      <c r="J2261" t="s">
        <v>22</v>
      </c>
      <c r="K2261" t="s">
        <v>1855</v>
      </c>
      <c r="L2261" t="s">
        <v>318</v>
      </c>
      <c r="M2261" t="s">
        <v>19</v>
      </c>
      <c r="N2261">
        <v>2</v>
      </c>
      <c r="O2261" t="s">
        <v>50</v>
      </c>
      <c r="P2261" t="s">
        <v>21</v>
      </c>
      <c r="Q2261" t="s">
        <v>30</v>
      </c>
      <c r="R2261" t="str">
        <f>VLOOKUP($O2261,'Mapa Oficinas'!$A$7:$C$46,2,FALSE)</f>
        <v>CABA</v>
      </c>
      <c r="S2261" t="str">
        <f>VLOOKUP($O2261,'Mapa Oficinas'!$A$7:$C$46,3,FALSE)</f>
        <v>Villa Urquiza</v>
      </c>
    </row>
    <row r="2262" spans="1:19" x14ac:dyDescent="0.2">
      <c r="A2262" s="1">
        <v>46038</v>
      </c>
      <c r="B2262" t="s">
        <v>1842</v>
      </c>
      <c r="D2262" t="s">
        <v>1843</v>
      </c>
      <c r="E2262" t="s">
        <v>16</v>
      </c>
      <c r="F2262" t="s">
        <v>17</v>
      </c>
      <c r="G2262" s="14">
        <v>500000</v>
      </c>
      <c r="H2262" s="14">
        <v>449000</v>
      </c>
      <c r="I2262" t="s">
        <v>22</v>
      </c>
      <c r="J2262" t="s">
        <v>22</v>
      </c>
      <c r="K2262" t="s">
        <v>1844</v>
      </c>
      <c r="L2262" t="s">
        <v>1845</v>
      </c>
      <c r="M2262" t="s">
        <v>28</v>
      </c>
      <c r="N2262">
        <v>1</v>
      </c>
      <c r="O2262" t="s">
        <v>142</v>
      </c>
      <c r="P2262" t="s">
        <v>146</v>
      </c>
      <c r="Q2262" t="s">
        <v>30</v>
      </c>
      <c r="R2262" t="str">
        <f>VLOOKUP($O2262,'Mapa Oficinas'!$A$7:$C$46,2,FALSE)</f>
        <v>Zona Norte (GBA)</v>
      </c>
      <c r="S2262" t="str">
        <f>VLOOKUP($O2262,'Mapa Oficinas'!$A$7:$C$46,3,FALSE)</f>
        <v>Nordelta</v>
      </c>
    </row>
    <row r="2263" spans="1:19" x14ac:dyDescent="0.2">
      <c r="A2263" s="1">
        <v>46041</v>
      </c>
      <c r="B2263" t="s">
        <v>1820</v>
      </c>
      <c r="D2263" t="s">
        <v>1821</v>
      </c>
      <c r="E2263" t="s">
        <v>16</v>
      </c>
      <c r="F2263" t="s">
        <v>17</v>
      </c>
      <c r="G2263" s="14">
        <v>63000</v>
      </c>
      <c r="H2263" s="14">
        <v>57000</v>
      </c>
      <c r="I2263" t="s">
        <v>22</v>
      </c>
      <c r="J2263" t="s">
        <v>22</v>
      </c>
      <c r="K2263" t="s">
        <v>1822</v>
      </c>
      <c r="L2263" t="s">
        <v>867</v>
      </c>
      <c r="M2263" t="s">
        <v>19</v>
      </c>
      <c r="N2263">
        <v>2</v>
      </c>
      <c r="O2263" t="s">
        <v>201</v>
      </c>
      <c r="P2263" t="s">
        <v>21</v>
      </c>
      <c r="Q2263" t="s">
        <v>30</v>
      </c>
      <c r="R2263" t="str">
        <f>VLOOKUP($O2263,'Mapa Oficinas'!$A$7:$C$46,2,FALSE)</f>
        <v>CABA</v>
      </c>
      <c r="S2263" t="str">
        <f>VLOOKUP($O2263,'Mapa Oficinas'!$A$7:$C$46,3,FALSE)</f>
        <v>Recoleta</v>
      </c>
    </row>
    <row r="2264" spans="1:19" x14ac:dyDescent="0.2">
      <c r="A2264" s="1">
        <v>46041</v>
      </c>
      <c r="B2264" t="s">
        <v>1823</v>
      </c>
      <c r="D2264" t="s">
        <v>1824</v>
      </c>
      <c r="E2264" t="s">
        <v>16</v>
      </c>
      <c r="F2264" t="s">
        <v>17</v>
      </c>
      <c r="G2264" s="14">
        <v>69000</v>
      </c>
      <c r="H2264" s="14">
        <v>65000</v>
      </c>
      <c r="I2264" t="s">
        <v>22</v>
      </c>
      <c r="J2264" t="s">
        <v>22</v>
      </c>
      <c r="K2264" t="s">
        <v>1825</v>
      </c>
      <c r="L2264" t="s">
        <v>419</v>
      </c>
      <c r="M2264" t="s">
        <v>19</v>
      </c>
      <c r="N2264">
        <v>2</v>
      </c>
      <c r="O2264" t="s">
        <v>65</v>
      </c>
      <c r="P2264" t="s">
        <v>21</v>
      </c>
      <c r="Q2264" t="s">
        <v>30</v>
      </c>
      <c r="R2264" t="str">
        <f>VLOOKUP($O2264,'Mapa Oficinas'!$A$7:$C$46,2,FALSE)</f>
        <v>Interior - Mendoza</v>
      </c>
      <c r="S2264" t="str">
        <f>VLOOKUP($O2264,'Mapa Oficinas'!$A$7:$C$46,3,FALSE)</f>
        <v>Capital Mendoza</v>
      </c>
    </row>
    <row r="2265" spans="1:19" x14ac:dyDescent="0.2">
      <c r="A2265" s="1">
        <v>46041</v>
      </c>
      <c r="B2265" t="s">
        <v>1828</v>
      </c>
      <c r="D2265" t="s">
        <v>1829</v>
      </c>
      <c r="E2265" t="s">
        <v>16</v>
      </c>
      <c r="F2265" t="s">
        <v>17</v>
      </c>
      <c r="G2265" s="14">
        <v>99000</v>
      </c>
      <c r="H2265" s="14">
        <v>90000</v>
      </c>
      <c r="I2265" t="s">
        <v>22</v>
      </c>
      <c r="J2265" t="s">
        <v>22</v>
      </c>
      <c r="K2265" t="s">
        <v>1830</v>
      </c>
      <c r="L2265" t="s">
        <v>1831</v>
      </c>
      <c r="M2265" t="s">
        <v>97</v>
      </c>
      <c r="N2265">
        <v>2</v>
      </c>
      <c r="O2265" t="s">
        <v>20</v>
      </c>
      <c r="P2265" t="s">
        <v>21</v>
      </c>
      <c r="Q2265" t="s">
        <v>30</v>
      </c>
      <c r="R2265" t="str">
        <f>VLOOKUP($O2265,'Mapa Oficinas'!$A$7:$C$46,2,FALSE)</f>
        <v>CABA</v>
      </c>
      <c r="S2265" t="str">
        <f>VLOOKUP($O2265,'Mapa Oficinas'!$A$7:$C$46,3,FALSE)</f>
        <v>Palermo</v>
      </c>
    </row>
    <row r="2266" spans="1:19" x14ac:dyDescent="0.2">
      <c r="A2266" s="1">
        <v>46041</v>
      </c>
      <c r="B2266" t="s">
        <v>1826</v>
      </c>
      <c r="D2266" t="s">
        <v>1826</v>
      </c>
      <c r="E2266" t="s">
        <v>16</v>
      </c>
      <c r="F2266" t="s">
        <v>17</v>
      </c>
      <c r="G2266" s="14">
        <v>235000</v>
      </c>
      <c r="H2266" s="14">
        <v>235000</v>
      </c>
      <c r="I2266" t="s">
        <v>22</v>
      </c>
      <c r="J2266" t="s">
        <v>22</v>
      </c>
      <c r="L2266" t="s">
        <v>1827</v>
      </c>
      <c r="M2266" t="s">
        <v>28</v>
      </c>
      <c r="N2266">
        <v>1</v>
      </c>
      <c r="O2266" t="s">
        <v>151</v>
      </c>
      <c r="P2266" t="s">
        <v>131</v>
      </c>
      <c r="Q2266" t="s">
        <v>30</v>
      </c>
      <c r="R2266" t="str">
        <f>VLOOKUP($O2266,'Mapa Oficinas'!$A$7:$C$46,2,FALSE)</f>
        <v>Interior - Neuquén</v>
      </c>
      <c r="S2266" t="str">
        <f>VLOOKUP($O2266,'Mapa Oficinas'!$A$7:$C$46,3,FALSE)</f>
        <v>Capital Neuquén</v>
      </c>
    </row>
    <row r="2267" spans="1:19" x14ac:dyDescent="0.2">
      <c r="A2267" s="1">
        <v>46042</v>
      </c>
      <c r="B2267" t="s">
        <v>1801</v>
      </c>
      <c r="D2267" t="s">
        <v>1802</v>
      </c>
      <c r="E2267" t="s">
        <v>16</v>
      </c>
      <c r="F2267" t="s">
        <v>17</v>
      </c>
      <c r="G2267" s="14">
        <v>42000</v>
      </c>
      <c r="H2267" s="14">
        <v>40000</v>
      </c>
      <c r="I2267" t="s">
        <v>22</v>
      </c>
      <c r="J2267" t="s">
        <v>22</v>
      </c>
      <c r="K2267" t="s">
        <v>1803</v>
      </c>
      <c r="L2267" t="s">
        <v>1198</v>
      </c>
      <c r="M2267" t="s">
        <v>72</v>
      </c>
      <c r="N2267">
        <v>2</v>
      </c>
      <c r="O2267" t="s">
        <v>227</v>
      </c>
      <c r="P2267" t="s">
        <v>21</v>
      </c>
      <c r="Q2267" t="s">
        <v>30</v>
      </c>
      <c r="R2267" t="str">
        <f>VLOOKUP($O2267,'Mapa Oficinas'!$A$7:$C$46,2,FALSE)</f>
        <v>Zona Oeste (GBA)</v>
      </c>
      <c r="S2267" t="str">
        <f>VLOOKUP($O2267,'Mapa Oficinas'!$A$7:$C$46,3,FALSE)</f>
        <v>Parque Leloir</v>
      </c>
    </row>
    <row r="2268" spans="1:19" x14ac:dyDescent="0.2">
      <c r="A2268" s="1">
        <v>46042</v>
      </c>
      <c r="B2268" t="s">
        <v>1797</v>
      </c>
      <c r="D2268" t="s">
        <v>1798</v>
      </c>
      <c r="E2268" t="s">
        <v>16</v>
      </c>
      <c r="F2268" t="s">
        <v>17</v>
      </c>
      <c r="G2268" s="14">
        <v>105000</v>
      </c>
      <c r="H2268" s="14">
        <v>80000</v>
      </c>
      <c r="I2268" t="s">
        <v>22</v>
      </c>
      <c r="J2268" t="s">
        <v>22</v>
      </c>
      <c r="K2268" t="s">
        <v>1799</v>
      </c>
      <c r="L2268" t="s">
        <v>1800</v>
      </c>
      <c r="M2268" t="s">
        <v>97</v>
      </c>
      <c r="N2268">
        <v>2</v>
      </c>
      <c r="O2268" t="s">
        <v>142</v>
      </c>
      <c r="P2268" t="s">
        <v>21</v>
      </c>
      <c r="Q2268" t="s">
        <v>30</v>
      </c>
      <c r="R2268" t="str">
        <f>VLOOKUP($O2268,'Mapa Oficinas'!$A$7:$C$46,2,FALSE)</f>
        <v>Zona Norte (GBA)</v>
      </c>
      <c r="S2268" t="str">
        <f>VLOOKUP($O2268,'Mapa Oficinas'!$A$7:$C$46,3,FALSE)</f>
        <v>Nordelta</v>
      </c>
    </row>
    <row r="2269" spans="1:19" x14ac:dyDescent="0.2">
      <c r="A2269" s="1">
        <v>46042</v>
      </c>
      <c r="B2269" t="s">
        <v>1794</v>
      </c>
      <c r="D2269" t="s">
        <v>1795</v>
      </c>
      <c r="E2269" t="s">
        <v>16</v>
      </c>
      <c r="F2269" t="s">
        <v>38</v>
      </c>
      <c r="G2269" s="14">
        <v>60000</v>
      </c>
      <c r="H2269" s="14">
        <v>81500</v>
      </c>
      <c r="I2269" t="s">
        <v>22</v>
      </c>
      <c r="J2269" t="s">
        <v>22</v>
      </c>
      <c r="K2269" t="s">
        <v>1796</v>
      </c>
      <c r="L2269" t="s">
        <v>545</v>
      </c>
      <c r="M2269" t="s">
        <v>19</v>
      </c>
      <c r="N2269">
        <v>2</v>
      </c>
      <c r="O2269" t="s">
        <v>261</v>
      </c>
      <c r="P2269" t="s">
        <v>21</v>
      </c>
      <c r="Q2269" t="s">
        <v>30</v>
      </c>
      <c r="R2269" t="str">
        <f>VLOOKUP($O2269,'Mapa Oficinas'!$A$7:$C$46,2,FALSE)</f>
        <v>CABA</v>
      </c>
      <c r="S2269" t="str">
        <f>VLOOKUP($O2269,'Mapa Oficinas'!$A$7:$C$46,3,FALSE)</f>
        <v>Núñez</v>
      </c>
    </row>
    <row r="2270" spans="1:19" x14ac:dyDescent="0.2">
      <c r="A2270" s="1">
        <v>46042</v>
      </c>
      <c r="B2270" t="s">
        <v>1816</v>
      </c>
      <c r="D2270" t="s">
        <v>1817</v>
      </c>
      <c r="E2270" t="s">
        <v>16</v>
      </c>
      <c r="F2270" t="s">
        <v>53</v>
      </c>
      <c r="G2270" s="14">
        <v>86900</v>
      </c>
      <c r="H2270" s="14">
        <v>84000</v>
      </c>
      <c r="I2270" t="s">
        <v>22</v>
      </c>
      <c r="J2270" t="s">
        <v>22</v>
      </c>
      <c r="K2270" t="s">
        <v>1818</v>
      </c>
      <c r="L2270" t="s">
        <v>124</v>
      </c>
      <c r="M2270" t="s">
        <v>19</v>
      </c>
      <c r="N2270">
        <v>1</v>
      </c>
      <c r="O2270" t="s">
        <v>55</v>
      </c>
      <c r="P2270" t="s">
        <v>66</v>
      </c>
      <c r="Q2270" t="s">
        <v>30</v>
      </c>
      <c r="R2270" t="str">
        <f>VLOOKUP($O2270,'Mapa Oficinas'!$A$7:$C$46,2,FALSE)</f>
        <v>Interior - Santa Fe</v>
      </c>
      <c r="S2270" t="str">
        <f>VLOOKUP($O2270,'Mapa Oficinas'!$A$7:$C$46,3,FALSE)</f>
        <v>Capital Santa Fe</v>
      </c>
    </row>
    <row r="2271" spans="1:19" x14ac:dyDescent="0.2">
      <c r="A2271" s="1">
        <v>46042</v>
      </c>
      <c r="B2271" t="s">
        <v>1804</v>
      </c>
      <c r="D2271" t="s">
        <v>1805</v>
      </c>
      <c r="E2271" t="s">
        <v>16</v>
      </c>
      <c r="F2271" t="s">
        <v>38</v>
      </c>
      <c r="G2271" s="14">
        <v>145000</v>
      </c>
      <c r="H2271" s="14">
        <v>141000</v>
      </c>
      <c r="I2271" t="s">
        <v>22</v>
      </c>
      <c r="J2271" t="s">
        <v>22</v>
      </c>
      <c r="K2271" t="s">
        <v>1806</v>
      </c>
      <c r="L2271" t="s">
        <v>1807</v>
      </c>
      <c r="M2271" t="s">
        <v>97</v>
      </c>
      <c r="N2271">
        <v>2</v>
      </c>
      <c r="O2271" t="s">
        <v>40</v>
      </c>
      <c r="P2271" t="s">
        <v>44</v>
      </c>
      <c r="Q2271" t="s">
        <v>30</v>
      </c>
      <c r="R2271" t="str">
        <f>VLOOKUP($O2271,'Mapa Oficinas'!$A$7:$C$46,2,FALSE)</f>
        <v>Zona Norte (GBA)</v>
      </c>
      <c r="S2271" t="str">
        <f>VLOOKUP($O2271,'Mapa Oficinas'!$A$7:$C$46,3,FALSE)</f>
        <v>Pilar</v>
      </c>
    </row>
    <row r="2272" spans="1:19" x14ac:dyDescent="0.2">
      <c r="A2272" s="1">
        <v>46042</v>
      </c>
      <c r="B2272" t="s">
        <v>1808</v>
      </c>
      <c r="D2272" t="s">
        <v>1809</v>
      </c>
      <c r="E2272" t="s">
        <v>16</v>
      </c>
      <c r="F2272" t="s">
        <v>82</v>
      </c>
      <c r="G2272" s="14">
        <v>195000</v>
      </c>
      <c r="H2272" s="14">
        <v>175000</v>
      </c>
      <c r="I2272" t="s">
        <v>22</v>
      </c>
      <c r="J2272" t="s">
        <v>22</v>
      </c>
      <c r="K2272" t="s">
        <v>1810</v>
      </c>
      <c r="L2272" t="s">
        <v>313</v>
      </c>
      <c r="M2272" t="s">
        <v>28</v>
      </c>
      <c r="N2272">
        <v>2</v>
      </c>
      <c r="O2272" t="s">
        <v>213</v>
      </c>
      <c r="P2272" t="s">
        <v>41</v>
      </c>
      <c r="Q2272" t="s">
        <v>30</v>
      </c>
      <c r="R2272" t="str">
        <f>VLOOKUP($O2272,'Mapa Oficinas'!$A$7:$C$46,2,FALSE)</f>
        <v>Interior - Mendoza</v>
      </c>
      <c r="S2272" t="str">
        <f>VLOOKUP($O2272,'Mapa Oficinas'!$A$7:$C$46,3,FALSE)</f>
        <v>San Rafael</v>
      </c>
    </row>
    <row r="2273" spans="1:19" x14ac:dyDescent="0.2">
      <c r="A2273" s="1">
        <v>46042</v>
      </c>
      <c r="B2273" t="s">
        <v>1788</v>
      </c>
      <c r="D2273" t="s">
        <v>1789</v>
      </c>
      <c r="E2273" t="s">
        <v>16</v>
      </c>
      <c r="F2273" t="s">
        <v>47</v>
      </c>
      <c r="G2273" s="14">
        <v>205000</v>
      </c>
      <c r="H2273" s="14">
        <v>200000</v>
      </c>
      <c r="I2273" t="s">
        <v>22</v>
      </c>
      <c r="J2273" t="s">
        <v>22</v>
      </c>
      <c r="K2273" t="s">
        <v>1790</v>
      </c>
      <c r="L2273" t="s">
        <v>237</v>
      </c>
      <c r="M2273" t="s">
        <v>19</v>
      </c>
      <c r="N2273">
        <v>2</v>
      </c>
      <c r="O2273" t="s">
        <v>50</v>
      </c>
      <c r="P2273" t="s">
        <v>21</v>
      </c>
      <c r="Q2273" t="s">
        <v>30</v>
      </c>
      <c r="R2273" t="str">
        <f>VLOOKUP($O2273,'Mapa Oficinas'!$A$7:$C$46,2,FALSE)</f>
        <v>CABA</v>
      </c>
      <c r="S2273" t="str">
        <f>VLOOKUP($O2273,'Mapa Oficinas'!$A$7:$C$46,3,FALSE)</f>
        <v>Villa Urquiza</v>
      </c>
    </row>
    <row r="2274" spans="1:19" x14ac:dyDescent="0.2">
      <c r="A2274" s="1">
        <v>46042</v>
      </c>
      <c r="B2274" t="s">
        <v>1812</v>
      </c>
      <c r="D2274" t="s">
        <v>1813</v>
      </c>
      <c r="E2274" t="s">
        <v>16</v>
      </c>
      <c r="F2274" t="s">
        <v>896</v>
      </c>
      <c r="G2274" s="14">
        <v>245000</v>
      </c>
      <c r="H2274" s="14">
        <v>225000</v>
      </c>
      <c r="I2274" t="s">
        <v>22</v>
      </c>
      <c r="J2274" t="s">
        <v>22</v>
      </c>
      <c r="K2274" t="s">
        <v>1814</v>
      </c>
      <c r="L2274" t="s">
        <v>1815</v>
      </c>
      <c r="M2274" t="s">
        <v>19</v>
      </c>
      <c r="N2274">
        <v>2</v>
      </c>
      <c r="O2274" t="s">
        <v>98</v>
      </c>
      <c r="P2274" t="s">
        <v>36</v>
      </c>
      <c r="Q2274" t="s">
        <v>30</v>
      </c>
      <c r="R2274" t="str">
        <f>VLOOKUP($O2274,'Mapa Oficinas'!$A$7:$C$46,2,FALSE)</f>
        <v>Interior - Neuquén</v>
      </c>
      <c r="S2274" t="str">
        <f>VLOOKUP($O2274,'Mapa Oficinas'!$A$7:$C$46,3,FALSE)</f>
        <v>Villa La Angostura</v>
      </c>
    </row>
    <row r="2275" spans="1:19" x14ac:dyDescent="0.2">
      <c r="A2275" s="1">
        <v>46042</v>
      </c>
      <c r="B2275" t="s">
        <v>1812</v>
      </c>
      <c r="D2275" t="s">
        <v>1813</v>
      </c>
      <c r="E2275" t="s">
        <v>16</v>
      </c>
      <c r="F2275" t="s">
        <v>896</v>
      </c>
      <c r="G2275" s="14">
        <v>245000</v>
      </c>
      <c r="H2275" s="14">
        <v>225000</v>
      </c>
      <c r="I2275" t="s">
        <v>22</v>
      </c>
      <c r="J2275" t="s">
        <v>22</v>
      </c>
      <c r="K2275" t="s">
        <v>1814</v>
      </c>
      <c r="L2275" t="s">
        <v>1815</v>
      </c>
      <c r="M2275" t="s">
        <v>19</v>
      </c>
      <c r="N2275">
        <v>2</v>
      </c>
      <c r="O2275" t="s">
        <v>367</v>
      </c>
      <c r="P2275" t="s">
        <v>36</v>
      </c>
      <c r="Q2275" t="s">
        <v>30</v>
      </c>
      <c r="R2275" t="str">
        <f>VLOOKUP($O2275,'Mapa Oficinas'!$A$7:$C$46,2,FALSE)</f>
        <v>Interior - Neuquén</v>
      </c>
      <c r="S2275" t="str">
        <f>VLOOKUP($O2275,'Mapa Oficinas'!$A$7:$C$46,3,FALSE)</f>
        <v>San Martín de los Andes</v>
      </c>
    </row>
    <row r="2276" spans="1:19" x14ac:dyDescent="0.2">
      <c r="A2276" s="1">
        <v>46042</v>
      </c>
      <c r="B2276" t="s">
        <v>1791</v>
      </c>
      <c r="D2276" t="s">
        <v>1792</v>
      </c>
      <c r="E2276" t="s">
        <v>16</v>
      </c>
      <c r="F2276" t="s">
        <v>17</v>
      </c>
      <c r="G2276" s="14">
        <v>299000</v>
      </c>
      <c r="H2276" s="14">
        <v>280000</v>
      </c>
      <c r="I2276" t="s">
        <v>22</v>
      </c>
      <c r="J2276" t="s">
        <v>22</v>
      </c>
      <c r="K2276" t="s">
        <v>1793</v>
      </c>
      <c r="L2276" t="s">
        <v>277</v>
      </c>
      <c r="M2276" t="s">
        <v>19</v>
      </c>
      <c r="N2276">
        <v>2</v>
      </c>
      <c r="O2276" t="s">
        <v>50</v>
      </c>
      <c r="P2276" t="s">
        <v>21</v>
      </c>
      <c r="Q2276" t="s">
        <v>30</v>
      </c>
      <c r="R2276" t="str">
        <f>VLOOKUP($O2276,'Mapa Oficinas'!$A$7:$C$46,2,FALSE)</f>
        <v>CABA</v>
      </c>
      <c r="S2276" t="str">
        <f>VLOOKUP($O2276,'Mapa Oficinas'!$A$7:$C$46,3,FALSE)</f>
        <v>Villa Urquiza</v>
      </c>
    </row>
    <row r="2277" spans="1:19" x14ac:dyDescent="0.2">
      <c r="A2277" s="1">
        <v>46043</v>
      </c>
      <c r="B2277" t="s">
        <v>1772</v>
      </c>
      <c r="D2277" t="s">
        <v>1773</v>
      </c>
      <c r="E2277" t="s">
        <v>16</v>
      </c>
      <c r="F2277" t="s">
        <v>134</v>
      </c>
      <c r="G2277" s="14">
        <v>78000</v>
      </c>
      <c r="H2277" s="14">
        <v>78000</v>
      </c>
      <c r="I2277" t="s">
        <v>22</v>
      </c>
      <c r="J2277" t="s">
        <v>22</v>
      </c>
      <c r="K2277" t="s">
        <v>1774</v>
      </c>
      <c r="L2277" t="s">
        <v>1775</v>
      </c>
      <c r="M2277" t="s">
        <v>19</v>
      </c>
      <c r="N2277">
        <v>2</v>
      </c>
      <c r="O2277" t="s">
        <v>130</v>
      </c>
      <c r="P2277" t="s">
        <v>21</v>
      </c>
      <c r="Q2277" t="s">
        <v>30</v>
      </c>
      <c r="R2277" t="str">
        <f>VLOOKUP($O2277,'Mapa Oficinas'!$A$7:$C$46,2,FALSE)</f>
        <v>Interior - Río Negro</v>
      </c>
      <c r="S2277" t="str">
        <f>VLOOKUP($O2277,'Mapa Oficinas'!$A$7:$C$46,3,FALSE)</f>
        <v>Bariloche</v>
      </c>
    </row>
    <row r="2278" spans="1:19" x14ac:dyDescent="0.2">
      <c r="A2278" s="1">
        <v>46043</v>
      </c>
      <c r="B2278" t="s">
        <v>1779</v>
      </c>
      <c r="D2278" t="s">
        <v>1780</v>
      </c>
      <c r="E2278" t="s">
        <v>16</v>
      </c>
      <c r="F2278" t="s">
        <v>17</v>
      </c>
      <c r="G2278" s="14">
        <v>146000</v>
      </c>
      <c r="H2278" s="14">
        <v>134000</v>
      </c>
      <c r="I2278" t="s">
        <v>22</v>
      </c>
      <c r="J2278" t="s">
        <v>22</v>
      </c>
      <c r="K2278" t="s">
        <v>1781</v>
      </c>
      <c r="L2278" t="s">
        <v>1782</v>
      </c>
      <c r="M2278" t="s">
        <v>19</v>
      </c>
      <c r="N2278">
        <v>2</v>
      </c>
      <c r="O2278" t="s">
        <v>87</v>
      </c>
      <c r="P2278" t="s">
        <v>21</v>
      </c>
      <c r="Q2278" t="s">
        <v>30</v>
      </c>
      <c r="R2278" t="str">
        <f>VLOOKUP($O2278,'Mapa Oficinas'!$A$7:$C$46,2,FALSE)</f>
        <v>Zona Norte (GBA)</v>
      </c>
      <c r="S2278" t="str">
        <f>VLOOKUP($O2278,'Mapa Oficinas'!$A$7:$C$46,3,FALSE)</f>
        <v>Tigre</v>
      </c>
    </row>
    <row r="2279" spans="1:19" x14ac:dyDescent="0.2">
      <c r="A2279" s="1">
        <v>46043</v>
      </c>
      <c r="B2279" t="s">
        <v>1140</v>
      </c>
      <c r="D2279" t="s">
        <v>1141</v>
      </c>
      <c r="E2279" t="s">
        <v>16</v>
      </c>
      <c r="F2279" t="s">
        <v>17</v>
      </c>
      <c r="G2279" s="14">
        <v>148000</v>
      </c>
      <c r="H2279" s="14">
        <v>141000</v>
      </c>
      <c r="I2279" t="s">
        <v>22</v>
      </c>
      <c r="J2279" t="s">
        <v>22</v>
      </c>
      <c r="K2279" t="s">
        <v>1142</v>
      </c>
      <c r="L2279" t="s">
        <v>282</v>
      </c>
      <c r="M2279" t="s">
        <v>19</v>
      </c>
      <c r="N2279">
        <v>2</v>
      </c>
      <c r="O2279" t="s">
        <v>142</v>
      </c>
      <c r="P2279" t="s">
        <v>41</v>
      </c>
      <c r="Q2279" t="s">
        <v>30</v>
      </c>
      <c r="R2279" t="str">
        <f>VLOOKUP($O2279,'Mapa Oficinas'!$A$7:$C$46,2,FALSE)</f>
        <v>Zona Norte (GBA)</v>
      </c>
      <c r="S2279" t="str">
        <f>VLOOKUP($O2279,'Mapa Oficinas'!$A$7:$C$46,3,FALSE)</f>
        <v>Nordelta</v>
      </c>
    </row>
    <row r="2280" spans="1:19" x14ac:dyDescent="0.2">
      <c r="A2280" s="1">
        <v>46043</v>
      </c>
      <c r="B2280" t="s">
        <v>1776</v>
      </c>
      <c r="D2280" t="s">
        <v>1777</v>
      </c>
      <c r="E2280" t="s">
        <v>16</v>
      </c>
      <c r="F2280" t="s">
        <v>17</v>
      </c>
      <c r="G2280" s="14">
        <v>149000</v>
      </c>
      <c r="H2280" s="14">
        <v>142000</v>
      </c>
      <c r="I2280" t="s">
        <v>22</v>
      </c>
      <c r="J2280" t="s">
        <v>22</v>
      </c>
      <c r="K2280" t="s">
        <v>1778</v>
      </c>
      <c r="L2280" t="s">
        <v>1679</v>
      </c>
      <c r="M2280" t="s">
        <v>28</v>
      </c>
      <c r="N2280">
        <v>1</v>
      </c>
      <c r="O2280" t="s">
        <v>35</v>
      </c>
      <c r="P2280" t="s">
        <v>131</v>
      </c>
      <c r="Q2280" t="s">
        <v>30</v>
      </c>
      <c r="R2280" t="str">
        <f>VLOOKUP($O2280,'Mapa Oficinas'!$A$7:$C$46,2,FALSE)</f>
        <v>Zona Norte (GBA)</v>
      </c>
      <c r="S2280" t="str">
        <f>VLOOKUP($O2280,'Mapa Oficinas'!$A$7:$C$46,3,FALSE)</f>
        <v>Vicente López</v>
      </c>
    </row>
    <row r="2281" spans="1:19" x14ac:dyDescent="0.2">
      <c r="A2281" s="1">
        <v>46043</v>
      </c>
      <c r="B2281" t="s">
        <v>1784</v>
      </c>
      <c r="D2281" t="s">
        <v>1785</v>
      </c>
      <c r="E2281" t="s">
        <v>16</v>
      </c>
      <c r="F2281" t="s">
        <v>17</v>
      </c>
      <c r="G2281" s="14">
        <v>189900</v>
      </c>
      <c r="H2281" s="14">
        <v>150000</v>
      </c>
      <c r="I2281" t="s">
        <v>22</v>
      </c>
      <c r="J2281" t="s">
        <v>22</v>
      </c>
      <c r="K2281" t="s">
        <v>1786</v>
      </c>
      <c r="L2281" t="s">
        <v>226</v>
      </c>
      <c r="M2281" t="s">
        <v>19</v>
      </c>
      <c r="N2281">
        <v>2</v>
      </c>
      <c r="O2281" t="s">
        <v>103</v>
      </c>
      <c r="P2281" t="s">
        <v>21</v>
      </c>
      <c r="Q2281" t="s">
        <v>30</v>
      </c>
      <c r="R2281" t="str">
        <f>VLOOKUP($O2281,'Mapa Oficinas'!$A$7:$C$46,2,FALSE)</f>
        <v>CABA</v>
      </c>
      <c r="S2281" t="str">
        <f>VLOOKUP($O2281,'Mapa Oficinas'!$A$7:$C$46,3,FALSE)</f>
        <v>Barrio Parque</v>
      </c>
    </row>
    <row r="2282" spans="1:19" x14ac:dyDescent="0.2">
      <c r="A2282" s="1">
        <v>46043</v>
      </c>
      <c r="B2282">
        <v>10658</v>
      </c>
      <c r="D2282" t="s">
        <v>1787</v>
      </c>
      <c r="E2282" t="s">
        <v>16</v>
      </c>
      <c r="F2282" t="s">
        <v>17</v>
      </c>
      <c r="G2282" s="14">
        <v>175000</v>
      </c>
      <c r="H2282" s="14">
        <v>175000</v>
      </c>
      <c r="I2282" t="s">
        <v>22</v>
      </c>
      <c r="J2282" t="s">
        <v>22</v>
      </c>
      <c r="K2282" t="s">
        <v>1787</v>
      </c>
      <c r="L2282" t="s">
        <v>1246</v>
      </c>
      <c r="M2282" t="s">
        <v>19</v>
      </c>
      <c r="N2282">
        <v>1</v>
      </c>
      <c r="O2282" t="s">
        <v>103</v>
      </c>
      <c r="P2282" t="s">
        <v>146</v>
      </c>
      <c r="Q2282" t="s">
        <v>30</v>
      </c>
      <c r="R2282" t="str">
        <f>VLOOKUP($O2282,'Mapa Oficinas'!$A$7:$C$46,2,FALSE)</f>
        <v>CABA</v>
      </c>
      <c r="S2282" t="str">
        <f>VLOOKUP($O2282,'Mapa Oficinas'!$A$7:$C$46,3,FALSE)</f>
        <v>Barrio Parque</v>
      </c>
    </row>
    <row r="2283" spans="1:19" x14ac:dyDescent="0.2">
      <c r="A2283" s="1">
        <v>46043</v>
      </c>
      <c r="B2283" t="s">
        <v>1769</v>
      </c>
      <c r="D2283" t="s">
        <v>1770</v>
      </c>
      <c r="E2283" t="s">
        <v>16</v>
      </c>
      <c r="F2283" t="s">
        <v>47</v>
      </c>
      <c r="G2283" s="14">
        <v>1500</v>
      </c>
      <c r="H2283" s="14">
        <v>185000</v>
      </c>
      <c r="I2283" t="s">
        <v>22</v>
      </c>
      <c r="J2283" t="s">
        <v>22</v>
      </c>
      <c r="K2283" t="s">
        <v>1771</v>
      </c>
      <c r="L2283" t="s">
        <v>258</v>
      </c>
      <c r="M2283" t="s">
        <v>28</v>
      </c>
      <c r="N2283">
        <v>2</v>
      </c>
      <c r="O2283" t="s">
        <v>40</v>
      </c>
      <c r="P2283" t="s">
        <v>21</v>
      </c>
      <c r="Q2283" t="s">
        <v>30</v>
      </c>
      <c r="R2283" t="str">
        <f>VLOOKUP($O2283,'Mapa Oficinas'!$A$7:$C$46,2,FALSE)</f>
        <v>Zona Norte (GBA)</v>
      </c>
      <c r="S2283" t="str">
        <f>VLOOKUP($O2283,'Mapa Oficinas'!$A$7:$C$46,3,FALSE)</f>
        <v>Pilar</v>
      </c>
    </row>
    <row r="2284" spans="1:19" x14ac:dyDescent="0.2">
      <c r="A2284" s="1">
        <v>46043</v>
      </c>
      <c r="B2284" t="s">
        <v>1766</v>
      </c>
      <c r="D2284" t="s">
        <v>1767</v>
      </c>
      <c r="E2284" t="s">
        <v>16</v>
      </c>
      <c r="F2284" t="s">
        <v>17</v>
      </c>
      <c r="G2284" s="14">
        <v>250000</v>
      </c>
      <c r="H2284" s="14">
        <v>250000</v>
      </c>
      <c r="I2284" t="s">
        <v>22</v>
      </c>
      <c r="J2284" t="s">
        <v>22</v>
      </c>
      <c r="K2284" t="s">
        <v>1768</v>
      </c>
      <c r="L2284" t="s">
        <v>79</v>
      </c>
      <c r="M2284" t="s">
        <v>19</v>
      </c>
      <c r="N2284">
        <v>2</v>
      </c>
      <c r="O2284" t="s">
        <v>261</v>
      </c>
      <c r="P2284" t="s">
        <v>21</v>
      </c>
      <c r="Q2284" t="s">
        <v>30</v>
      </c>
      <c r="R2284" t="str">
        <f>VLOOKUP($O2284,'Mapa Oficinas'!$A$7:$C$46,2,FALSE)</f>
        <v>CABA</v>
      </c>
      <c r="S2284" t="str">
        <f>VLOOKUP($O2284,'Mapa Oficinas'!$A$7:$C$46,3,FALSE)</f>
        <v>Núñez</v>
      </c>
    </row>
    <row r="2285" spans="1:19" x14ac:dyDescent="0.2">
      <c r="A2285" s="1">
        <v>46044</v>
      </c>
      <c r="B2285" t="s">
        <v>1754</v>
      </c>
      <c r="D2285" t="s">
        <v>1755</v>
      </c>
      <c r="E2285" t="s">
        <v>16</v>
      </c>
      <c r="F2285" t="s">
        <v>17</v>
      </c>
      <c r="G2285" s="14">
        <v>79000</v>
      </c>
      <c r="H2285" s="14">
        <v>75000</v>
      </c>
      <c r="I2285" t="s">
        <v>22</v>
      </c>
      <c r="J2285" t="s">
        <v>22</v>
      </c>
      <c r="K2285" t="s">
        <v>1756</v>
      </c>
      <c r="L2285" t="s">
        <v>71</v>
      </c>
      <c r="M2285" t="s">
        <v>19</v>
      </c>
      <c r="N2285">
        <v>2</v>
      </c>
      <c r="O2285" t="s">
        <v>50</v>
      </c>
      <c r="P2285" t="s">
        <v>41</v>
      </c>
      <c r="Q2285" t="s">
        <v>30</v>
      </c>
      <c r="R2285" t="str">
        <f>VLOOKUP($O2285,'Mapa Oficinas'!$A$7:$C$46,2,FALSE)</f>
        <v>CABA</v>
      </c>
      <c r="S2285" t="str">
        <f>VLOOKUP($O2285,'Mapa Oficinas'!$A$7:$C$46,3,FALSE)</f>
        <v>Villa Urquiza</v>
      </c>
    </row>
    <row r="2286" spans="1:19" x14ac:dyDescent="0.2">
      <c r="A2286" s="1">
        <v>46044</v>
      </c>
      <c r="B2286" t="s">
        <v>1748</v>
      </c>
      <c r="D2286" t="s">
        <v>1749</v>
      </c>
      <c r="E2286" t="s">
        <v>16</v>
      </c>
      <c r="F2286" t="s">
        <v>82</v>
      </c>
      <c r="G2286" s="14">
        <v>78000</v>
      </c>
      <c r="H2286" s="14">
        <v>76000</v>
      </c>
      <c r="I2286" t="s">
        <v>22</v>
      </c>
      <c r="J2286" t="s">
        <v>22</v>
      </c>
      <c r="K2286" t="s">
        <v>1750</v>
      </c>
      <c r="L2286" t="s">
        <v>217</v>
      </c>
      <c r="M2286" t="s">
        <v>19</v>
      </c>
      <c r="N2286">
        <v>2</v>
      </c>
      <c r="O2286" t="s">
        <v>261</v>
      </c>
      <c r="P2286" t="s">
        <v>21</v>
      </c>
      <c r="Q2286" t="s">
        <v>30</v>
      </c>
      <c r="R2286" t="str">
        <f>VLOOKUP($O2286,'Mapa Oficinas'!$A$7:$C$46,2,FALSE)</f>
        <v>CABA</v>
      </c>
      <c r="S2286" t="str">
        <f>VLOOKUP($O2286,'Mapa Oficinas'!$A$7:$C$46,3,FALSE)</f>
        <v>Núñez</v>
      </c>
    </row>
    <row r="2287" spans="1:19" x14ac:dyDescent="0.2">
      <c r="A2287" s="1">
        <v>46044</v>
      </c>
      <c r="B2287" t="s">
        <v>1762</v>
      </c>
      <c r="D2287" t="s">
        <v>1763</v>
      </c>
      <c r="E2287" t="s">
        <v>16</v>
      </c>
      <c r="F2287" t="s">
        <v>17</v>
      </c>
      <c r="G2287" s="14">
        <v>129999</v>
      </c>
      <c r="H2287" s="14">
        <v>120000</v>
      </c>
      <c r="I2287" t="s">
        <v>22</v>
      </c>
      <c r="J2287" t="s">
        <v>22</v>
      </c>
      <c r="K2287" t="s">
        <v>1764</v>
      </c>
      <c r="L2287" t="s">
        <v>277</v>
      </c>
      <c r="M2287" t="s">
        <v>19</v>
      </c>
      <c r="N2287">
        <v>2</v>
      </c>
      <c r="O2287" t="s">
        <v>35</v>
      </c>
      <c r="P2287" t="s">
        <v>41</v>
      </c>
      <c r="Q2287" t="s">
        <v>30</v>
      </c>
      <c r="R2287" t="str">
        <f>VLOOKUP($O2287,'Mapa Oficinas'!$A$7:$C$46,2,FALSE)</f>
        <v>Zona Norte (GBA)</v>
      </c>
      <c r="S2287" t="str">
        <f>VLOOKUP($O2287,'Mapa Oficinas'!$A$7:$C$46,3,FALSE)</f>
        <v>Vicente López</v>
      </c>
    </row>
    <row r="2288" spans="1:19" x14ac:dyDescent="0.2">
      <c r="A2288" s="1">
        <v>46044</v>
      </c>
      <c r="B2288" t="s">
        <v>1757</v>
      </c>
      <c r="D2288" t="s">
        <v>1758</v>
      </c>
      <c r="E2288" t="s">
        <v>16</v>
      </c>
      <c r="F2288" t="s">
        <v>17</v>
      </c>
      <c r="G2288" s="14">
        <v>153000</v>
      </c>
      <c r="H2288" s="14">
        <v>149000</v>
      </c>
      <c r="I2288" t="s">
        <v>22</v>
      </c>
      <c r="J2288" t="s">
        <v>22</v>
      </c>
      <c r="K2288" t="s">
        <v>1759</v>
      </c>
      <c r="L2288" t="s">
        <v>282</v>
      </c>
      <c r="M2288" t="s">
        <v>19</v>
      </c>
      <c r="N2288">
        <v>2</v>
      </c>
      <c r="O2288" t="s">
        <v>35</v>
      </c>
      <c r="P2288" t="s">
        <v>41</v>
      </c>
      <c r="Q2288" t="s">
        <v>30</v>
      </c>
      <c r="R2288" t="str">
        <f>VLOOKUP($O2288,'Mapa Oficinas'!$A$7:$C$46,2,FALSE)</f>
        <v>Zona Norte (GBA)</v>
      </c>
      <c r="S2288" t="str">
        <f>VLOOKUP($O2288,'Mapa Oficinas'!$A$7:$C$46,3,FALSE)</f>
        <v>Vicente López</v>
      </c>
    </row>
    <row r="2289" spans="1:19" x14ac:dyDescent="0.2">
      <c r="A2289" s="1">
        <v>46044</v>
      </c>
      <c r="B2289" t="s">
        <v>1751</v>
      </c>
      <c r="D2289" t="s">
        <v>1752</v>
      </c>
      <c r="E2289" t="s">
        <v>16</v>
      </c>
      <c r="F2289" t="s">
        <v>17</v>
      </c>
      <c r="G2289" s="14">
        <v>198000</v>
      </c>
      <c r="H2289" s="14">
        <v>195000</v>
      </c>
      <c r="I2289" t="s">
        <v>22</v>
      </c>
      <c r="J2289" t="s">
        <v>22</v>
      </c>
      <c r="K2289" t="s">
        <v>1753</v>
      </c>
      <c r="L2289" t="s">
        <v>79</v>
      </c>
      <c r="M2289" t="s">
        <v>72</v>
      </c>
      <c r="N2289">
        <v>2</v>
      </c>
      <c r="O2289" t="s">
        <v>201</v>
      </c>
      <c r="P2289" t="s">
        <v>276</v>
      </c>
      <c r="Q2289" t="s">
        <v>30</v>
      </c>
      <c r="R2289" t="str">
        <f>VLOOKUP($O2289,'Mapa Oficinas'!$A$7:$C$46,2,FALSE)</f>
        <v>CABA</v>
      </c>
      <c r="S2289" t="str">
        <f>VLOOKUP($O2289,'Mapa Oficinas'!$A$7:$C$46,3,FALSE)</f>
        <v>Recoleta</v>
      </c>
    </row>
    <row r="2290" spans="1:19" x14ac:dyDescent="0.2">
      <c r="A2290" s="1">
        <v>46045</v>
      </c>
      <c r="B2290" t="s">
        <v>1743</v>
      </c>
      <c r="D2290" t="s">
        <v>917</v>
      </c>
      <c r="E2290" t="s">
        <v>16</v>
      </c>
      <c r="F2290" t="s">
        <v>38</v>
      </c>
      <c r="G2290" s="14">
        <v>42735</v>
      </c>
      <c r="H2290" s="14">
        <v>38000</v>
      </c>
      <c r="I2290" t="s">
        <v>22</v>
      </c>
      <c r="J2290" t="s">
        <v>22</v>
      </c>
      <c r="K2290" t="s">
        <v>918</v>
      </c>
      <c r="L2290" t="s">
        <v>915</v>
      </c>
      <c r="M2290" t="s">
        <v>97</v>
      </c>
      <c r="N2290">
        <v>2</v>
      </c>
      <c r="O2290" t="s">
        <v>98</v>
      </c>
      <c r="P2290" t="s">
        <v>21</v>
      </c>
      <c r="Q2290" t="s">
        <v>30</v>
      </c>
      <c r="R2290" t="str">
        <f>VLOOKUP($O2290,'Mapa Oficinas'!$A$7:$C$46,2,FALSE)</f>
        <v>Interior - Neuquén</v>
      </c>
      <c r="S2290" t="str">
        <f>VLOOKUP($O2290,'Mapa Oficinas'!$A$7:$C$46,3,FALSE)</f>
        <v>Villa La Angostura</v>
      </c>
    </row>
    <row r="2291" spans="1:19" x14ac:dyDescent="0.2">
      <c r="A2291" s="1">
        <v>46045</v>
      </c>
      <c r="B2291" t="s">
        <v>1739</v>
      </c>
      <c r="D2291" t="s">
        <v>1740</v>
      </c>
      <c r="E2291" t="s">
        <v>16</v>
      </c>
      <c r="F2291" t="s">
        <v>17</v>
      </c>
      <c r="G2291" s="14">
        <v>45000</v>
      </c>
      <c r="H2291" s="14">
        <v>45000</v>
      </c>
      <c r="I2291" t="s">
        <v>22</v>
      </c>
      <c r="J2291" t="s">
        <v>22</v>
      </c>
      <c r="K2291" t="s">
        <v>1741</v>
      </c>
      <c r="L2291" t="s">
        <v>560</v>
      </c>
      <c r="M2291" t="s">
        <v>19</v>
      </c>
      <c r="N2291">
        <v>2</v>
      </c>
      <c r="O2291" t="s">
        <v>1081</v>
      </c>
      <c r="P2291" t="s">
        <v>36</v>
      </c>
      <c r="Q2291" t="s">
        <v>30</v>
      </c>
      <c r="R2291" t="str">
        <f>VLOOKUP($O2291,'Mapa Oficinas'!$A$7:$C$46,2,FALSE)</f>
        <v>Zona Sur (GBA)</v>
      </c>
      <c r="S2291" t="str">
        <f>VLOOKUP($O2291,'Mapa Oficinas'!$A$7:$C$46,3,FALSE)</f>
        <v>Canning</v>
      </c>
    </row>
    <row r="2292" spans="1:19" x14ac:dyDescent="0.2">
      <c r="A2292" s="1">
        <v>46045</v>
      </c>
      <c r="B2292" t="s">
        <v>1727</v>
      </c>
      <c r="D2292" t="s">
        <v>1728</v>
      </c>
      <c r="E2292" t="s">
        <v>16</v>
      </c>
      <c r="F2292" t="s">
        <v>17</v>
      </c>
      <c r="G2292" s="14">
        <v>55000</v>
      </c>
      <c r="H2292" s="14">
        <v>55000</v>
      </c>
      <c r="I2292" t="s">
        <v>22</v>
      </c>
      <c r="J2292" t="s">
        <v>22</v>
      </c>
      <c r="K2292" t="s">
        <v>1729</v>
      </c>
      <c r="L2292" t="s">
        <v>164</v>
      </c>
      <c r="M2292" t="s">
        <v>19</v>
      </c>
      <c r="N2292">
        <v>2</v>
      </c>
      <c r="O2292" t="s">
        <v>261</v>
      </c>
      <c r="P2292" t="s">
        <v>21</v>
      </c>
      <c r="Q2292" t="s">
        <v>30</v>
      </c>
      <c r="R2292" t="str">
        <f>VLOOKUP($O2292,'Mapa Oficinas'!$A$7:$C$46,2,FALSE)</f>
        <v>CABA</v>
      </c>
      <c r="S2292" t="str">
        <f>VLOOKUP($O2292,'Mapa Oficinas'!$A$7:$C$46,3,FALSE)</f>
        <v>Núñez</v>
      </c>
    </row>
    <row r="2293" spans="1:19" x14ac:dyDescent="0.2">
      <c r="A2293" s="1">
        <v>46045</v>
      </c>
      <c r="B2293" t="s">
        <v>1730</v>
      </c>
      <c r="D2293" t="s">
        <v>1731</v>
      </c>
      <c r="E2293" t="s">
        <v>16</v>
      </c>
      <c r="F2293" t="s">
        <v>17</v>
      </c>
      <c r="G2293" s="14">
        <v>115000</v>
      </c>
      <c r="H2293" s="14">
        <v>107000</v>
      </c>
      <c r="I2293" t="s">
        <v>22</v>
      </c>
      <c r="J2293" t="s">
        <v>22</v>
      </c>
      <c r="K2293" t="s">
        <v>1732</v>
      </c>
      <c r="L2293" t="s">
        <v>200</v>
      </c>
      <c r="M2293" t="s">
        <v>72</v>
      </c>
      <c r="N2293">
        <v>2</v>
      </c>
      <c r="O2293" t="s">
        <v>103</v>
      </c>
      <c r="P2293" t="s">
        <v>21</v>
      </c>
      <c r="Q2293" t="s">
        <v>30</v>
      </c>
      <c r="R2293" t="str">
        <f>VLOOKUP($O2293,'Mapa Oficinas'!$A$7:$C$46,2,FALSE)</f>
        <v>CABA</v>
      </c>
      <c r="S2293" t="str">
        <f>VLOOKUP($O2293,'Mapa Oficinas'!$A$7:$C$46,3,FALSE)</f>
        <v>Barrio Parque</v>
      </c>
    </row>
    <row r="2294" spans="1:19" x14ac:dyDescent="0.2">
      <c r="A2294" s="1">
        <v>46045</v>
      </c>
      <c r="B2294" t="s">
        <v>1736</v>
      </c>
      <c r="D2294" t="s">
        <v>1737</v>
      </c>
      <c r="E2294" t="s">
        <v>16</v>
      </c>
      <c r="F2294" t="s">
        <v>17</v>
      </c>
      <c r="G2294" s="14">
        <v>140000</v>
      </c>
      <c r="H2294" s="14">
        <v>136000</v>
      </c>
      <c r="I2294" t="s">
        <v>22</v>
      </c>
      <c r="J2294" t="s">
        <v>22</v>
      </c>
      <c r="K2294" t="s">
        <v>1738</v>
      </c>
      <c r="L2294" t="s">
        <v>1228</v>
      </c>
      <c r="M2294" t="s">
        <v>28</v>
      </c>
      <c r="N2294">
        <v>2</v>
      </c>
      <c r="O2294" t="s">
        <v>142</v>
      </c>
      <c r="P2294" t="s">
        <v>41</v>
      </c>
      <c r="Q2294" t="s">
        <v>30</v>
      </c>
      <c r="R2294" t="str">
        <f>VLOOKUP($O2294,'Mapa Oficinas'!$A$7:$C$46,2,FALSE)</f>
        <v>Zona Norte (GBA)</v>
      </c>
      <c r="S2294" t="str">
        <f>VLOOKUP($O2294,'Mapa Oficinas'!$A$7:$C$46,3,FALSE)</f>
        <v>Nordelta</v>
      </c>
    </row>
    <row r="2295" spans="1:19" x14ac:dyDescent="0.2">
      <c r="A2295" s="1">
        <v>46045</v>
      </c>
      <c r="B2295" t="s">
        <v>1733</v>
      </c>
      <c r="D2295" t="s">
        <v>1734</v>
      </c>
      <c r="E2295" t="s">
        <v>16</v>
      </c>
      <c r="F2295" t="s">
        <v>17</v>
      </c>
      <c r="G2295" s="14">
        <v>245000</v>
      </c>
      <c r="H2295" s="14">
        <v>215000</v>
      </c>
      <c r="I2295" t="s">
        <v>22</v>
      </c>
      <c r="J2295" t="s">
        <v>22</v>
      </c>
      <c r="K2295" t="s">
        <v>1735</v>
      </c>
      <c r="L2295" t="s">
        <v>564</v>
      </c>
      <c r="M2295" t="s">
        <v>19</v>
      </c>
      <c r="N2295">
        <v>2</v>
      </c>
      <c r="O2295" t="s">
        <v>142</v>
      </c>
      <c r="P2295" t="s">
        <v>41</v>
      </c>
      <c r="Q2295" t="s">
        <v>30</v>
      </c>
      <c r="R2295" t="str">
        <f>VLOOKUP($O2295,'Mapa Oficinas'!$A$7:$C$46,2,FALSE)</f>
        <v>Zona Norte (GBA)</v>
      </c>
      <c r="S2295" t="str">
        <f>VLOOKUP($O2295,'Mapa Oficinas'!$A$7:$C$46,3,FALSE)</f>
        <v>Nordelta</v>
      </c>
    </row>
    <row r="2296" spans="1:19" x14ac:dyDescent="0.2">
      <c r="A2296" s="1">
        <v>46046</v>
      </c>
      <c r="D2296" t="s">
        <v>1726</v>
      </c>
      <c r="E2296" t="s">
        <v>16</v>
      </c>
      <c r="F2296" t="s">
        <v>82</v>
      </c>
      <c r="G2296" s="14">
        <v>51000</v>
      </c>
      <c r="H2296" s="14">
        <v>51000</v>
      </c>
      <c r="I2296" t="s">
        <v>22</v>
      </c>
      <c r="J2296" t="s">
        <v>22</v>
      </c>
      <c r="K2296" t="s">
        <v>1193</v>
      </c>
      <c r="L2296" t="s">
        <v>915</v>
      </c>
      <c r="M2296" t="s">
        <v>97</v>
      </c>
      <c r="N2296">
        <v>2</v>
      </c>
      <c r="O2296" t="s">
        <v>98</v>
      </c>
      <c r="P2296" t="s">
        <v>21</v>
      </c>
      <c r="Q2296" t="s">
        <v>30</v>
      </c>
      <c r="R2296" t="str">
        <f>VLOOKUP($O2296,'Mapa Oficinas'!$A$7:$C$46,2,FALSE)</f>
        <v>Interior - Neuquén</v>
      </c>
      <c r="S2296" t="str">
        <f>VLOOKUP($O2296,'Mapa Oficinas'!$A$7:$C$46,3,FALSE)</f>
        <v>Villa La Angostura</v>
      </c>
    </row>
    <row r="2297" spans="1:19" x14ac:dyDescent="0.2">
      <c r="A2297" s="1">
        <v>46048</v>
      </c>
      <c r="B2297" t="s">
        <v>1718</v>
      </c>
      <c r="D2297" t="s">
        <v>1718</v>
      </c>
      <c r="E2297" t="s">
        <v>16</v>
      </c>
      <c r="F2297" t="s">
        <v>17</v>
      </c>
      <c r="G2297" s="14">
        <v>45000</v>
      </c>
      <c r="H2297" s="14">
        <v>45000</v>
      </c>
      <c r="I2297" t="s">
        <v>22</v>
      </c>
      <c r="J2297" t="s">
        <v>22</v>
      </c>
      <c r="K2297" t="s">
        <v>1718</v>
      </c>
      <c r="L2297" t="s">
        <v>1719</v>
      </c>
      <c r="M2297" t="s">
        <v>19</v>
      </c>
      <c r="N2297">
        <v>2</v>
      </c>
      <c r="O2297" t="s">
        <v>35</v>
      </c>
      <c r="P2297" t="s">
        <v>36</v>
      </c>
      <c r="Q2297" t="s">
        <v>30</v>
      </c>
      <c r="R2297" t="str">
        <f>VLOOKUP($O2297,'Mapa Oficinas'!$A$7:$C$46,2,FALSE)</f>
        <v>Zona Norte (GBA)</v>
      </c>
      <c r="S2297" t="str">
        <f>VLOOKUP($O2297,'Mapa Oficinas'!$A$7:$C$46,3,FALSE)</f>
        <v>Vicente López</v>
      </c>
    </row>
    <row r="2298" spans="1:19" x14ac:dyDescent="0.2">
      <c r="A2298" s="1">
        <v>46048</v>
      </c>
      <c r="B2298" t="s">
        <v>1723</v>
      </c>
      <c r="D2298" t="s">
        <v>1724</v>
      </c>
      <c r="E2298" t="s">
        <v>16</v>
      </c>
      <c r="F2298" t="s">
        <v>17</v>
      </c>
      <c r="G2298" s="14">
        <v>54900</v>
      </c>
      <c r="H2298" s="14">
        <v>51500</v>
      </c>
      <c r="I2298" t="s">
        <v>22</v>
      </c>
      <c r="J2298" t="s">
        <v>22</v>
      </c>
      <c r="K2298" t="s">
        <v>1725</v>
      </c>
      <c r="L2298" t="s">
        <v>217</v>
      </c>
      <c r="M2298" t="s">
        <v>19</v>
      </c>
      <c r="N2298">
        <v>2</v>
      </c>
      <c r="O2298" t="s">
        <v>116</v>
      </c>
      <c r="P2298" t="s">
        <v>21</v>
      </c>
      <c r="Q2298" t="s">
        <v>30</v>
      </c>
      <c r="R2298" t="str">
        <f>VLOOKUP($O2298,'Mapa Oficinas'!$A$7:$C$46,2,FALSE)</f>
        <v>CABA</v>
      </c>
      <c r="S2298" t="str">
        <f>VLOOKUP($O2298,'Mapa Oficinas'!$A$7:$C$46,3,FALSE)</f>
        <v>Puerto Madero</v>
      </c>
    </row>
    <row r="2299" spans="1:19" x14ac:dyDescent="0.2">
      <c r="A2299" s="1">
        <v>46048</v>
      </c>
      <c r="B2299" t="s">
        <v>1710</v>
      </c>
      <c r="D2299" t="s">
        <v>1711</v>
      </c>
      <c r="E2299" t="s">
        <v>16</v>
      </c>
      <c r="F2299" t="s">
        <v>17</v>
      </c>
      <c r="G2299" s="14">
        <v>70000</v>
      </c>
      <c r="H2299" s="14">
        <v>67000</v>
      </c>
      <c r="I2299" t="s">
        <v>22</v>
      </c>
      <c r="J2299" t="s">
        <v>22</v>
      </c>
      <c r="K2299" t="s">
        <v>1712</v>
      </c>
      <c r="L2299" t="s">
        <v>1713</v>
      </c>
      <c r="M2299" t="s">
        <v>19</v>
      </c>
      <c r="N2299">
        <v>1</v>
      </c>
      <c r="O2299" t="s">
        <v>65</v>
      </c>
      <c r="P2299" t="s">
        <v>66</v>
      </c>
      <c r="Q2299" t="s">
        <v>30</v>
      </c>
      <c r="R2299" t="str">
        <f>VLOOKUP($O2299,'Mapa Oficinas'!$A$7:$C$46,2,FALSE)</f>
        <v>Interior - Mendoza</v>
      </c>
      <c r="S2299" t="str">
        <f>VLOOKUP($O2299,'Mapa Oficinas'!$A$7:$C$46,3,FALSE)</f>
        <v>Capital Mendoza</v>
      </c>
    </row>
    <row r="2300" spans="1:19" x14ac:dyDescent="0.2">
      <c r="A2300" s="1">
        <v>46048</v>
      </c>
      <c r="B2300" t="s">
        <v>1720</v>
      </c>
      <c r="D2300" t="s">
        <v>1721</v>
      </c>
      <c r="E2300" t="s">
        <v>16</v>
      </c>
      <c r="F2300" t="s">
        <v>82</v>
      </c>
      <c r="G2300" s="14">
        <v>100000</v>
      </c>
      <c r="H2300" s="14">
        <v>95000</v>
      </c>
      <c r="I2300" t="s">
        <v>22</v>
      </c>
      <c r="J2300" t="s">
        <v>22</v>
      </c>
      <c r="K2300" t="s">
        <v>1722</v>
      </c>
      <c r="L2300" t="s">
        <v>286</v>
      </c>
      <c r="M2300" t="s">
        <v>19</v>
      </c>
      <c r="N2300">
        <v>2</v>
      </c>
      <c r="O2300" t="s">
        <v>55</v>
      </c>
      <c r="P2300" t="s">
        <v>41</v>
      </c>
      <c r="Q2300" t="s">
        <v>30</v>
      </c>
      <c r="R2300" t="str">
        <f>VLOOKUP($O2300,'Mapa Oficinas'!$A$7:$C$46,2,FALSE)</f>
        <v>Interior - Santa Fe</v>
      </c>
      <c r="S2300" t="str">
        <f>VLOOKUP($O2300,'Mapa Oficinas'!$A$7:$C$46,3,FALSE)</f>
        <v>Capital Santa Fe</v>
      </c>
    </row>
    <row r="2301" spans="1:19" x14ac:dyDescent="0.2">
      <c r="A2301" s="1">
        <v>46049</v>
      </c>
      <c r="B2301" t="s">
        <v>1699</v>
      </c>
      <c r="D2301" t="s">
        <v>917</v>
      </c>
      <c r="E2301" t="s">
        <v>16</v>
      </c>
      <c r="F2301" t="s">
        <v>134</v>
      </c>
      <c r="G2301" s="14">
        <v>40700</v>
      </c>
      <c r="H2301" s="14">
        <v>38000</v>
      </c>
      <c r="I2301" t="s">
        <v>22</v>
      </c>
      <c r="J2301" t="s">
        <v>22</v>
      </c>
      <c r="K2301" t="s">
        <v>918</v>
      </c>
      <c r="L2301" t="s">
        <v>915</v>
      </c>
      <c r="M2301" t="s">
        <v>97</v>
      </c>
      <c r="N2301">
        <v>2</v>
      </c>
      <c r="O2301" t="s">
        <v>98</v>
      </c>
      <c r="P2301" t="s">
        <v>21</v>
      </c>
      <c r="Q2301" t="s">
        <v>30</v>
      </c>
      <c r="R2301" t="str">
        <f>VLOOKUP($O2301,'Mapa Oficinas'!$A$7:$C$46,2,FALSE)</f>
        <v>Interior - Neuquén</v>
      </c>
      <c r="S2301" t="str">
        <f>VLOOKUP($O2301,'Mapa Oficinas'!$A$7:$C$46,3,FALSE)</f>
        <v>Villa La Angostura</v>
      </c>
    </row>
    <row r="2302" spans="1:19" x14ac:dyDescent="0.2">
      <c r="A2302" s="1">
        <v>46049</v>
      </c>
      <c r="B2302" t="s">
        <v>1687</v>
      </c>
      <c r="D2302" t="s">
        <v>1688</v>
      </c>
      <c r="E2302" t="s">
        <v>16</v>
      </c>
      <c r="F2302" t="s">
        <v>17</v>
      </c>
      <c r="G2302" s="14">
        <v>85000</v>
      </c>
      <c r="H2302" s="14">
        <v>81000</v>
      </c>
      <c r="I2302" t="s">
        <v>22</v>
      </c>
      <c r="J2302" t="s">
        <v>22</v>
      </c>
      <c r="K2302" t="s">
        <v>1689</v>
      </c>
      <c r="L2302" t="s">
        <v>79</v>
      </c>
      <c r="M2302" t="s">
        <v>19</v>
      </c>
      <c r="N2302">
        <v>2</v>
      </c>
      <c r="O2302" t="s">
        <v>73</v>
      </c>
      <c r="P2302" t="s">
        <v>276</v>
      </c>
      <c r="Q2302" t="s">
        <v>30</v>
      </c>
      <c r="R2302" t="str">
        <f>VLOOKUP($O2302,'Mapa Oficinas'!$A$7:$C$46,2,FALSE)</f>
        <v>CABA</v>
      </c>
      <c r="S2302" t="str">
        <f>VLOOKUP($O2302,'Mapa Oficinas'!$A$7:$C$46,3,FALSE)</f>
        <v>Recoleta</v>
      </c>
    </row>
    <row r="2303" spans="1:19" x14ac:dyDescent="0.2">
      <c r="A2303" s="1">
        <v>46049</v>
      </c>
      <c r="B2303" t="s">
        <v>1690</v>
      </c>
      <c r="D2303" t="s">
        <v>1691</v>
      </c>
      <c r="E2303" t="s">
        <v>16</v>
      </c>
      <c r="F2303" t="s">
        <v>184</v>
      </c>
      <c r="G2303" s="14">
        <v>106500</v>
      </c>
      <c r="H2303" s="14">
        <v>107200</v>
      </c>
      <c r="I2303" t="s">
        <v>22</v>
      </c>
      <c r="J2303" t="s">
        <v>22</v>
      </c>
      <c r="K2303" t="s">
        <v>1692</v>
      </c>
      <c r="L2303" t="s">
        <v>995</v>
      </c>
      <c r="M2303" t="s">
        <v>19</v>
      </c>
      <c r="N2303">
        <v>2</v>
      </c>
      <c r="O2303" t="s">
        <v>130</v>
      </c>
      <c r="P2303" t="s">
        <v>21</v>
      </c>
      <c r="Q2303" t="s">
        <v>30</v>
      </c>
      <c r="R2303" t="str">
        <f>VLOOKUP($O2303,'Mapa Oficinas'!$A$7:$C$46,2,FALSE)</f>
        <v>Interior - Río Negro</v>
      </c>
      <c r="S2303" t="str">
        <f>VLOOKUP($O2303,'Mapa Oficinas'!$A$7:$C$46,3,FALSE)</f>
        <v>Bariloche</v>
      </c>
    </row>
    <row r="2304" spans="1:19" x14ac:dyDescent="0.2">
      <c r="A2304" s="1">
        <v>46049</v>
      </c>
      <c r="B2304" t="s">
        <v>1683</v>
      </c>
      <c r="D2304" t="s">
        <v>1684</v>
      </c>
      <c r="E2304" t="s">
        <v>16</v>
      </c>
      <c r="F2304" t="s">
        <v>82</v>
      </c>
      <c r="G2304" s="14">
        <v>130000</v>
      </c>
      <c r="H2304" s="14">
        <v>114000</v>
      </c>
      <c r="I2304" t="s">
        <v>22</v>
      </c>
      <c r="J2304" t="s">
        <v>22</v>
      </c>
      <c r="K2304" t="s">
        <v>1685</v>
      </c>
      <c r="L2304" t="s">
        <v>1686</v>
      </c>
      <c r="M2304" t="s">
        <v>19</v>
      </c>
      <c r="N2304">
        <v>1</v>
      </c>
      <c r="O2304" t="s">
        <v>55</v>
      </c>
      <c r="P2304" t="s">
        <v>66</v>
      </c>
      <c r="Q2304" t="s">
        <v>30</v>
      </c>
      <c r="R2304" t="str">
        <f>VLOOKUP($O2304,'Mapa Oficinas'!$A$7:$C$46,2,FALSE)</f>
        <v>Interior - Santa Fe</v>
      </c>
      <c r="S2304" t="str">
        <f>VLOOKUP($O2304,'Mapa Oficinas'!$A$7:$C$46,3,FALSE)</f>
        <v>Capital Santa Fe</v>
      </c>
    </row>
    <row r="2305" spans="1:19" x14ac:dyDescent="0.2">
      <c r="A2305" s="1">
        <v>46049</v>
      </c>
      <c r="D2305" t="s">
        <v>1693</v>
      </c>
      <c r="E2305" t="s">
        <v>16</v>
      </c>
      <c r="F2305" t="s">
        <v>17</v>
      </c>
      <c r="G2305" s="14">
        <v>137500</v>
      </c>
      <c r="H2305" s="14">
        <v>137500</v>
      </c>
      <c r="I2305" t="s">
        <v>22</v>
      </c>
      <c r="J2305" t="s">
        <v>22</v>
      </c>
      <c r="K2305" t="s">
        <v>1694</v>
      </c>
      <c r="L2305" t="s">
        <v>1695</v>
      </c>
      <c r="M2305" t="s">
        <v>19</v>
      </c>
      <c r="N2305">
        <v>1</v>
      </c>
      <c r="O2305" t="s">
        <v>201</v>
      </c>
      <c r="P2305" t="s">
        <v>146</v>
      </c>
      <c r="Q2305" t="s">
        <v>30</v>
      </c>
      <c r="R2305" t="str">
        <f>VLOOKUP($O2305,'Mapa Oficinas'!$A$7:$C$46,2,FALSE)</f>
        <v>CABA</v>
      </c>
      <c r="S2305" t="str">
        <f>VLOOKUP($O2305,'Mapa Oficinas'!$A$7:$C$46,3,FALSE)</f>
        <v>Recoleta</v>
      </c>
    </row>
    <row r="2306" spans="1:19" x14ac:dyDescent="0.2">
      <c r="A2306" s="1">
        <v>46049</v>
      </c>
      <c r="B2306" t="s">
        <v>1703</v>
      </c>
      <c r="D2306" t="s">
        <v>1704</v>
      </c>
      <c r="E2306" t="s">
        <v>16</v>
      </c>
      <c r="F2306" t="s">
        <v>17</v>
      </c>
      <c r="G2306" s="14">
        <v>235000</v>
      </c>
      <c r="H2306" s="14">
        <v>225000</v>
      </c>
      <c r="I2306" t="s">
        <v>22</v>
      </c>
      <c r="J2306" t="s">
        <v>22</v>
      </c>
      <c r="K2306" t="s">
        <v>1705</v>
      </c>
      <c r="L2306" t="s">
        <v>277</v>
      </c>
      <c r="M2306" t="s">
        <v>19</v>
      </c>
      <c r="N2306">
        <v>2</v>
      </c>
      <c r="O2306" t="s">
        <v>103</v>
      </c>
      <c r="P2306" t="s">
        <v>44</v>
      </c>
      <c r="Q2306" t="s">
        <v>30</v>
      </c>
      <c r="R2306" t="str">
        <f>VLOOKUP($O2306,'Mapa Oficinas'!$A$7:$C$46,2,FALSE)</f>
        <v>CABA</v>
      </c>
      <c r="S2306" t="str">
        <f>VLOOKUP($O2306,'Mapa Oficinas'!$A$7:$C$46,3,FALSE)</f>
        <v>Barrio Parque</v>
      </c>
    </row>
    <row r="2307" spans="1:19" x14ac:dyDescent="0.2">
      <c r="A2307" s="1">
        <v>46049</v>
      </c>
      <c r="B2307" t="s">
        <v>1706</v>
      </c>
      <c r="D2307" t="s">
        <v>1707</v>
      </c>
      <c r="E2307" t="s">
        <v>16</v>
      </c>
      <c r="F2307" t="s">
        <v>1708</v>
      </c>
      <c r="G2307" s="14">
        <v>230000</v>
      </c>
      <c r="H2307" s="14">
        <v>230000</v>
      </c>
      <c r="I2307" t="s">
        <v>22</v>
      </c>
      <c r="J2307" t="s">
        <v>22</v>
      </c>
      <c r="K2307" t="s">
        <v>1709</v>
      </c>
      <c r="L2307" t="s">
        <v>449</v>
      </c>
      <c r="M2307" t="s">
        <v>28</v>
      </c>
      <c r="N2307">
        <v>2</v>
      </c>
      <c r="O2307" t="s">
        <v>367</v>
      </c>
      <c r="P2307" t="s">
        <v>41</v>
      </c>
      <c r="Q2307" t="s">
        <v>30</v>
      </c>
      <c r="R2307" t="str">
        <f>VLOOKUP($O2307,'Mapa Oficinas'!$A$7:$C$46,2,FALSE)</f>
        <v>Interior - Neuquén</v>
      </c>
      <c r="S2307" t="str">
        <f>VLOOKUP($O2307,'Mapa Oficinas'!$A$7:$C$46,3,FALSE)</f>
        <v>San Martín de los Andes</v>
      </c>
    </row>
    <row r="2308" spans="1:19" x14ac:dyDescent="0.2">
      <c r="A2308" s="1">
        <v>46049</v>
      </c>
      <c r="B2308" t="s">
        <v>1680</v>
      </c>
      <c r="D2308" t="s">
        <v>1681</v>
      </c>
      <c r="E2308" t="s">
        <v>16</v>
      </c>
      <c r="F2308" t="s">
        <v>17</v>
      </c>
      <c r="G2308" s="14">
        <v>400000</v>
      </c>
      <c r="H2308" s="14">
        <v>400000</v>
      </c>
      <c r="I2308" t="s">
        <v>22</v>
      </c>
      <c r="J2308" t="s">
        <v>22</v>
      </c>
      <c r="K2308" t="s">
        <v>1682</v>
      </c>
      <c r="L2308" t="s">
        <v>79</v>
      </c>
      <c r="M2308" t="s">
        <v>19</v>
      </c>
      <c r="N2308">
        <v>1</v>
      </c>
      <c r="O2308" t="s">
        <v>73</v>
      </c>
      <c r="P2308" t="s">
        <v>146</v>
      </c>
      <c r="Q2308" t="s">
        <v>30</v>
      </c>
      <c r="R2308" t="str">
        <f>VLOOKUP($O2308,'Mapa Oficinas'!$A$7:$C$46,2,FALSE)</f>
        <v>CABA</v>
      </c>
      <c r="S2308" t="str">
        <f>VLOOKUP($O2308,'Mapa Oficinas'!$A$7:$C$46,3,FALSE)</f>
        <v>Recoleta</v>
      </c>
    </row>
    <row r="2309" spans="1:19" x14ac:dyDescent="0.2">
      <c r="A2309" s="1">
        <v>46050</v>
      </c>
      <c r="B2309" t="s">
        <v>1659</v>
      </c>
      <c r="D2309" t="s">
        <v>1660</v>
      </c>
      <c r="E2309" t="s">
        <v>16</v>
      </c>
      <c r="F2309" t="s">
        <v>82</v>
      </c>
      <c r="G2309" s="14">
        <v>56000</v>
      </c>
      <c r="H2309" s="14">
        <v>50000</v>
      </c>
      <c r="I2309" t="s">
        <v>22</v>
      </c>
      <c r="J2309" t="s">
        <v>22</v>
      </c>
      <c r="K2309" t="s">
        <v>1661</v>
      </c>
      <c r="L2309" t="s">
        <v>1662</v>
      </c>
      <c r="M2309" t="s">
        <v>28</v>
      </c>
      <c r="N2309">
        <v>2</v>
      </c>
      <c r="O2309" t="s">
        <v>85</v>
      </c>
      <c r="P2309" t="s">
        <v>41</v>
      </c>
      <c r="Q2309" t="s">
        <v>30</v>
      </c>
      <c r="R2309" t="str">
        <f>VLOOKUP($O2309,'Mapa Oficinas'!$A$7:$C$46,2,FALSE)</f>
        <v>Interior - Jujuy</v>
      </c>
      <c r="S2309" t="str">
        <f>VLOOKUP($O2309,'Mapa Oficinas'!$A$7:$C$46,3,FALSE)</f>
        <v>Capital Jujuy</v>
      </c>
    </row>
    <row r="2310" spans="1:19" x14ac:dyDescent="0.2">
      <c r="A2310" s="1">
        <v>46050</v>
      </c>
      <c r="B2310" t="s">
        <v>1656</v>
      </c>
      <c r="D2310" t="s">
        <v>1657</v>
      </c>
      <c r="E2310" t="s">
        <v>16</v>
      </c>
      <c r="F2310" t="s">
        <v>644</v>
      </c>
      <c r="G2310" s="14">
        <v>120000</v>
      </c>
      <c r="H2310" s="14">
        <v>80000</v>
      </c>
      <c r="I2310" t="s">
        <v>22</v>
      </c>
      <c r="J2310" t="s">
        <v>22</v>
      </c>
      <c r="K2310" t="s">
        <v>1658</v>
      </c>
      <c r="L2310" t="s">
        <v>1260</v>
      </c>
      <c r="M2310" t="s">
        <v>28</v>
      </c>
      <c r="N2310">
        <v>2</v>
      </c>
      <c r="O2310" t="s">
        <v>213</v>
      </c>
      <c r="P2310" t="s">
        <v>21</v>
      </c>
      <c r="Q2310" t="s">
        <v>30</v>
      </c>
      <c r="R2310" t="str">
        <f>VLOOKUP($O2310,'Mapa Oficinas'!$A$7:$C$46,2,FALSE)</f>
        <v>Interior - Mendoza</v>
      </c>
      <c r="S2310" t="str">
        <f>VLOOKUP($O2310,'Mapa Oficinas'!$A$7:$C$46,3,FALSE)</f>
        <v>San Rafael</v>
      </c>
    </row>
    <row r="2311" spans="1:19" x14ac:dyDescent="0.2">
      <c r="A2311" s="1">
        <v>46050</v>
      </c>
      <c r="B2311" t="s">
        <v>1673</v>
      </c>
      <c r="D2311" t="s">
        <v>1674</v>
      </c>
      <c r="E2311" t="s">
        <v>16</v>
      </c>
      <c r="F2311" t="s">
        <v>17</v>
      </c>
      <c r="G2311" s="14">
        <v>31000</v>
      </c>
      <c r="H2311" s="14">
        <v>83000</v>
      </c>
      <c r="I2311" t="s">
        <v>22</v>
      </c>
      <c r="J2311" t="s">
        <v>22</v>
      </c>
      <c r="K2311" t="s">
        <v>1675</v>
      </c>
      <c r="L2311" t="s">
        <v>1676</v>
      </c>
      <c r="M2311" t="s">
        <v>19</v>
      </c>
      <c r="N2311">
        <v>2</v>
      </c>
      <c r="O2311" t="s">
        <v>103</v>
      </c>
      <c r="P2311" t="s">
        <v>21</v>
      </c>
      <c r="Q2311" t="s">
        <v>30</v>
      </c>
      <c r="R2311" t="str">
        <f>VLOOKUP($O2311,'Mapa Oficinas'!$A$7:$C$46,2,FALSE)</f>
        <v>CABA</v>
      </c>
      <c r="S2311" t="str">
        <f>VLOOKUP($O2311,'Mapa Oficinas'!$A$7:$C$46,3,FALSE)</f>
        <v>Barrio Parque</v>
      </c>
    </row>
    <row r="2312" spans="1:19" x14ac:dyDescent="0.2">
      <c r="A2312" s="1">
        <v>46050</v>
      </c>
      <c r="D2312" t="s">
        <v>1670</v>
      </c>
      <c r="E2312" t="s">
        <v>16</v>
      </c>
      <c r="F2312" t="s">
        <v>58</v>
      </c>
      <c r="G2312" s="14">
        <v>90000</v>
      </c>
      <c r="H2312" s="14">
        <v>90000</v>
      </c>
      <c r="I2312" t="s">
        <v>22</v>
      </c>
      <c r="J2312" t="s">
        <v>22</v>
      </c>
      <c r="L2312" t="s">
        <v>1671</v>
      </c>
      <c r="M2312" t="s">
        <v>97</v>
      </c>
      <c r="N2312">
        <v>1</v>
      </c>
      <c r="O2312" t="s">
        <v>367</v>
      </c>
      <c r="P2312" t="s">
        <v>131</v>
      </c>
      <c r="Q2312" t="s">
        <v>30</v>
      </c>
      <c r="R2312" t="str">
        <f>VLOOKUP($O2312,'Mapa Oficinas'!$A$7:$C$46,2,FALSE)</f>
        <v>Interior - Neuquén</v>
      </c>
      <c r="S2312" t="str">
        <f>VLOOKUP($O2312,'Mapa Oficinas'!$A$7:$C$46,3,FALSE)</f>
        <v>San Martín de los Andes</v>
      </c>
    </row>
    <row r="2313" spans="1:19" x14ac:dyDescent="0.2">
      <c r="A2313" s="1">
        <v>46050</v>
      </c>
      <c r="B2313" t="s">
        <v>1667</v>
      </c>
      <c r="D2313" t="s">
        <v>1668</v>
      </c>
      <c r="E2313" t="s">
        <v>16</v>
      </c>
      <c r="F2313" t="s">
        <v>38</v>
      </c>
      <c r="G2313" s="14">
        <v>110000</v>
      </c>
      <c r="H2313" s="14">
        <v>100000</v>
      </c>
      <c r="I2313" t="s">
        <v>22</v>
      </c>
      <c r="J2313" t="s">
        <v>22</v>
      </c>
      <c r="K2313" t="s">
        <v>1669</v>
      </c>
      <c r="L2313" t="s">
        <v>245</v>
      </c>
      <c r="M2313" t="s">
        <v>19</v>
      </c>
      <c r="N2313">
        <v>1</v>
      </c>
      <c r="O2313" t="s">
        <v>246</v>
      </c>
      <c r="P2313" t="s">
        <v>66</v>
      </c>
      <c r="Q2313" t="s">
        <v>30</v>
      </c>
      <c r="R2313" t="str">
        <f>VLOOKUP($O2313,'Mapa Oficinas'!$A$7:$C$46,2,FALSE)</f>
        <v>Interior - Salta</v>
      </c>
      <c r="S2313" t="str">
        <f>VLOOKUP($O2313,'Mapa Oficinas'!$A$7:$C$46,3,FALSE)</f>
        <v>San Lorenzo Chico</v>
      </c>
    </row>
    <row r="2314" spans="1:19" x14ac:dyDescent="0.2">
      <c r="A2314" s="1">
        <v>46050</v>
      </c>
      <c r="B2314" t="s">
        <v>1645</v>
      </c>
      <c r="D2314" t="s">
        <v>1646</v>
      </c>
      <c r="E2314" t="s">
        <v>16</v>
      </c>
      <c r="F2314" t="s">
        <v>17</v>
      </c>
      <c r="G2314" s="14">
        <v>145000</v>
      </c>
      <c r="H2314" s="14">
        <v>125000</v>
      </c>
      <c r="I2314" t="s">
        <v>22</v>
      </c>
      <c r="J2314" t="s">
        <v>22</v>
      </c>
      <c r="K2314" t="s">
        <v>1647</v>
      </c>
      <c r="L2314" t="s">
        <v>141</v>
      </c>
      <c r="M2314" t="s">
        <v>19</v>
      </c>
      <c r="N2314">
        <v>2</v>
      </c>
      <c r="O2314" t="s">
        <v>201</v>
      </c>
      <c r="P2314" t="s">
        <v>21</v>
      </c>
      <c r="Q2314" t="s">
        <v>30</v>
      </c>
      <c r="R2314" t="str">
        <f>VLOOKUP($O2314,'Mapa Oficinas'!$A$7:$C$46,2,FALSE)</f>
        <v>CABA</v>
      </c>
      <c r="S2314" t="str">
        <f>VLOOKUP($O2314,'Mapa Oficinas'!$A$7:$C$46,3,FALSE)</f>
        <v>Recoleta</v>
      </c>
    </row>
    <row r="2315" spans="1:19" x14ac:dyDescent="0.2">
      <c r="A2315" s="1">
        <v>46050</v>
      </c>
      <c r="B2315">
        <v>10544</v>
      </c>
      <c r="D2315" t="s">
        <v>1677</v>
      </c>
      <c r="E2315" t="s">
        <v>16</v>
      </c>
      <c r="F2315" t="s">
        <v>17</v>
      </c>
      <c r="G2315" s="14">
        <v>135000</v>
      </c>
      <c r="H2315" s="14">
        <v>135000</v>
      </c>
      <c r="I2315" t="s">
        <v>22</v>
      </c>
      <c r="J2315" t="s">
        <v>22</v>
      </c>
      <c r="K2315" t="s">
        <v>1677</v>
      </c>
      <c r="L2315" t="s">
        <v>277</v>
      </c>
      <c r="M2315" t="s">
        <v>97</v>
      </c>
      <c r="N2315">
        <v>1</v>
      </c>
      <c r="O2315" t="s">
        <v>103</v>
      </c>
      <c r="P2315" t="s">
        <v>146</v>
      </c>
      <c r="Q2315" t="s">
        <v>30</v>
      </c>
      <c r="R2315" t="str">
        <f>VLOOKUP($O2315,'Mapa Oficinas'!$A$7:$C$46,2,FALSE)</f>
        <v>CABA</v>
      </c>
      <c r="S2315" t="str">
        <f>VLOOKUP($O2315,'Mapa Oficinas'!$A$7:$C$46,3,FALSE)</f>
        <v>Barrio Parque</v>
      </c>
    </row>
    <row r="2316" spans="1:19" x14ac:dyDescent="0.2">
      <c r="A2316" s="1">
        <v>46050</v>
      </c>
      <c r="B2316" t="s">
        <v>1652</v>
      </c>
      <c r="D2316" t="s">
        <v>1653</v>
      </c>
      <c r="E2316" t="s">
        <v>16</v>
      </c>
      <c r="F2316" t="s">
        <v>38</v>
      </c>
      <c r="G2316" s="14">
        <v>210000</v>
      </c>
      <c r="H2316" s="14">
        <v>207500</v>
      </c>
      <c r="I2316" t="s">
        <v>22</v>
      </c>
      <c r="J2316" t="s">
        <v>22</v>
      </c>
      <c r="K2316" t="s">
        <v>1654</v>
      </c>
      <c r="L2316" t="s">
        <v>1655</v>
      </c>
      <c r="M2316" t="s">
        <v>97</v>
      </c>
      <c r="N2316">
        <v>2</v>
      </c>
      <c r="O2316" t="s">
        <v>40</v>
      </c>
      <c r="P2316" t="s">
        <v>44</v>
      </c>
      <c r="Q2316" t="s">
        <v>30</v>
      </c>
      <c r="R2316" t="str">
        <f>VLOOKUP($O2316,'Mapa Oficinas'!$A$7:$C$46,2,FALSE)</f>
        <v>Zona Norte (GBA)</v>
      </c>
      <c r="S2316" t="str">
        <f>VLOOKUP($O2316,'Mapa Oficinas'!$A$7:$C$46,3,FALSE)</f>
        <v>Pilar</v>
      </c>
    </row>
    <row r="2317" spans="1:19" x14ac:dyDescent="0.2">
      <c r="A2317" s="1">
        <v>46051</v>
      </c>
      <c r="B2317" t="s">
        <v>1635</v>
      </c>
      <c r="D2317" t="s">
        <v>1636</v>
      </c>
      <c r="E2317" t="s">
        <v>16</v>
      </c>
      <c r="F2317" t="s">
        <v>82</v>
      </c>
      <c r="G2317" s="14">
        <v>79000</v>
      </c>
      <c r="H2317" s="14">
        <v>68000</v>
      </c>
      <c r="I2317" t="s">
        <v>22</v>
      </c>
      <c r="J2317" t="s">
        <v>22</v>
      </c>
      <c r="K2317" t="s">
        <v>1637</v>
      </c>
      <c r="L2317" t="s">
        <v>1638</v>
      </c>
      <c r="M2317" t="s">
        <v>28</v>
      </c>
      <c r="N2317">
        <v>1</v>
      </c>
      <c r="O2317" t="s">
        <v>55</v>
      </c>
      <c r="P2317" t="s">
        <v>66</v>
      </c>
      <c r="Q2317" t="s">
        <v>30</v>
      </c>
      <c r="R2317" t="str">
        <f>VLOOKUP($O2317,'Mapa Oficinas'!$A$7:$C$46,2,FALSE)</f>
        <v>Interior - Santa Fe</v>
      </c>
      <c r="S2317" t="str">
        <f>VLOOKUP($O2317,'Mapa Oficinas'!$A$7:$C$46,3,FALSE)</f>
        <v>Capital Santa Fe</v>
      </c>
    </row>
    <row r="2318" spans="1:19" x14ac:dyDescent="0.2">
      <c r="A2318" s="1">
        <v>46051</v>
      </c>
      <c r="B2318">
        <v>20</v>
      </c>
      <c r="D2318" t="s">
        <v>1629</v>
      </c>
      <c r="E2318" t="s">
        <v>16</v>
      </c>
      <c r="F2318" t="s">
        <v>47</v>
      </c>
      <c r="G2318" s="14">
        <v>0</v>
      </c>
      <c r="H2318" s="14">
        <v>72000</v>
      </c>
      <c r="I2318" t="s">
        <v>22</v>
      </c>
      <c r="J2318" t="s">
        <v>22</v>
      </c>
      <c r="K2318" t="s">
        <v>1630</v>
      </c>
      <c r="L2318" t="s">
        <v>191</v>
      </c>
      <c r="M2318" t="s">
        <v>19</v>
      </c>
      <c r="N2318">
        <v>1</v>
      </c>
      <c r="O2318" t="s">
        <v>198</v>
      </c>
      <c r="P2318" t="s">
        <v>146</v>
      </c>
      <c r="Q2318" t="s">
        <v>30</v>
      </c>
      <c r="R2318" t="str">
        <f>VLOOKUP($O2318,'Mapa Oficinas'!$A$7:$C$46,2,FALSE)</f>
        <v>CABA</v>
      </c>
      <c r="S2318" t="str">
        <f>VLOOKUP($O2318,'Mapa Oficinas'!$A$7:$C$46,3,FALSE)</f>
        <v>Caballito</v>
      </c>
    </row>
    <row r="2319" spans="1:19" x14ac:dyDescent="0.2">
      <c r="A2319" s="1">
        <v>46051</v>
      </c>
      <c r="B2319" t="s">
        <v>1626</v>
      </c>
      <c r="D2319" t="s">
        <v>1627</v>
      </c>
      <c r="E2319" t="s">
        <v>16</v>
      </c>
      <c r="F2319" t="s">
        <v>17</v>
      </c>
      <c r="G2319" s="14">
        <v>98000</v>
      </c>
      <c r="H2319" s="14">
        <v>95000</v>
      </c>
      <c r="I2319" t="s">
        <v>22</v>
      </c>
      <c r="J2319" t="s">
        <v>22</v>
      </c>
      <c r="K2319" t="s">
        <v>1628</v>
      </c>
      <c r="L2319" t="s">
        <v>366</v>
      </c>
      <c r="M2319" t="s">
        <v>19</v>
      </c>
      <c r="N2319">
        <v>2</v>
      </c>
      <c r="O2319" t="s">
        <v>151</v>
      </c>
      <c r="P2319" t="s">
        <v>21</v>
      </c>
      <c r="Q2319" t="s">
        <v>30</v>
      </c>
      <c r="R2319" t="str">
        <f>VLOOKUP($O2319,'Mapa Oficinas'!$A$7:$C$46,2,FALSE)</f>
        <v>Interior - Neuquén</v>
      </c>
      <c r="S2319" t="str">
        <f>VLOOKUP($O2319,'Mapa Oficinas'!$A$7:$C$46,3,FALSE)</f>
        <v>Capital Neuquén</v>
      </c>
    </row>
    <row r="2320" spans="1:19" x14ac:dyDescent="0.2">
      <c r="A2320" s="1">
        <v>46051</v>
      </c>
      <c r="B2320" t="s">
        <v>1620</v>
      </c>
      <c r="D2320" t="s">
        <v>1621</v>
      </c>
      <c r="E2320" t="s">
        <v>16</v>
      </c>
      <c r="F2320" t="s">
        <v>17</v>
      </c>
      <c r="G2320" s="14">
        <v>125000</v>
      </c>
      <c r="H2320" s="14">
        <v>125000</v>
      </c>
      <c r="I2320" t="s">
        <v>22</v>
      </c>
      <c r="J2320" t="s">
        <v>22</v>
      </c>
      <c r="L2320" t="s">
        <v>1622</v>
      </c>
      <c r="M2320" t="s">
        <v>19</v>
      </c>
      <c r="N2320">
        <v>2</v>
      </c>
      <c r="O2320" t="s">
        <v>20</v>
      </c>
      <c r="P2320" t="s">
        <v>21</v>
      </c>
      <c r="Q2320" t="s">
        <v>30</v>
      </c>
      <c r="R2320" t="str">
        <f>VLOOKUP($O2320,'Mapa Oficinas'!$A$7:$C$46,2,FALSE)</f>
        <v>CABA</v>
      </c>
      <c r="S2320" t="str">
        <f>VLOOKUP($O2320,'Mapa Oficinas'!$A$7:$C$46,3,FALSE)</f>
        <v>Palermo</v>
      </c>
    </row>
    <row r="2321" spans="1:19" x14ac:dyDescent="0.2">
      <c r="A2321" s="1">
        <v>46051</v>
      </c>
      <c r="B2321" t="s">
        <v>1639</v>
      </c>
      <c r="D2321" t="s">
        <v>1640</v>
      </c>
      <c r="E2321" t="s">
        <v>16</v>
      </c>
      <c r="F2321" t="s">
        <v>17</v>
      </c>
      <c r="G2321" s="14">
        <v>198000</v>
      </c>
      <c r="H2321" s="14">
        <v>205000</v>
      </c>
      <c r="I2321" t="s">
        <v>22</v>
      </c>
      <c r="J2321" t="s">
        <v>22</v>
      </c>
      <c r="K2321" t="s">
        <v>1641</v>
      </c>
      <c r="L2321" t="s">
        <v>1077</v>
      </c>
      <c r="M2321" t="s">
        <v>19</v>
      </c>
      <c r="N2321">
        <v>2</v>
      </c>
      <c r="O2321" t="s">
        <v>103</v>
      </c>
      <c r="P2321" t="s">
        <v>21</v>
      </c>
      <c r="Q2321" t="s">
        <v>30</v>
      </c>
      <c r="R2321" t="str">
        <f>VLOOKUP($O2321,'Mapa Oficinas'!$A$7:$C$46,2,FALSE)</f>
        <v>CABA</v>
      </c>
      <c r="S2321" t="str">
        <f>VLOOKUP($O2321,'Mapa Oficinas'!$A$7:$C$46,3,FALSE)</f>
        <v>Barrio Parque</v>
      </c>
    </row>
    <row r="2322" spans="1:19" x14ac:dyDescent="0.2">
      <c r="A2322" s="1">
        <v>46052</v>
      </c>
      <c r="B2322" t="s">
        <v>1594</v>
      </c>
      <c r="D2322" t="s">
        <v>1595</v>
      </c>
      <c r="E2322" t="s">
        <v>16</v>
      </c>
      <c r="F2322" t="s">
        <v>82</v>
      </c>
      <c r="G2322" s="14">
        <v>40000</v>
      </c>
      <c r="H2322" s="14">
        <v>37000</v>
      </c>
      <c r="I2322" t="s">
        <v>22</v>
      </c>
      <c r="J2322" t="s">
        <v>22</v>
      </c>
      <c r="K2322" t="s">
        <v>1596</v>
      </c>
      <c r="L2322" t="s">
        <v>1597</v>
      </c>
      <c r="M2322" t="s">
        <v>19</v>
      </c>
      <c r="N2322">
        <v>2</v>
      </c>
      <c r="O2322" t="s">
        <v>55</v>
      </c>
      <c r="P2322" t="s">
        <v>21</v>
      </c>
      <c r="Q2322" t="s">
        <v>30</v>
      </c>
      <c r="R2322" t="str">
        <f>VLOOKUP($O2322,'Mapa Oficinas'!$A$7:$C$46,2,FALSE)</f>
        <v>Interior - Santa Fe</v>
      </c>
      <c r="S2322" t="str">
        <f>VLOOKUP($O2322,'Mapa Oficinas'!$A$7:$C$46,3,FALSE)</f>
        <v>Capital Santa Fe</v>
      </c>
    </row>
    <row r="2323" spans="1:19" x14ac:dyDescent="0.2">
      <c r="A2323" s="1">
        <v>46052</v>
      </c>
      <c r="B2323" t="s">
        <v>1609</v>
      </c>
      <c r="D2323" t="s">
        <v>1610</v>
      </c>
      <c r="E2323" t="s">
        <v>16</v>
      </c>
      <c r="F2323" t="s">
        <v>243</v>
      </c>
      <c r="G2323" s="14">
        <v>48000</v>
      </c>
      <c r="H2323" s="14">
        <v>47000</v>
      </c>
      <c r="I2323" t="s">
        <v>22</v>
      </c>
      <c r="J2323" t="s">
        <v>22</v>
      </c>
      <c r="K2323" t="s">
        <v>1611</v>
      </c>
      <c r="L2323" t="s">
        <v>1612</v>
      </c>
      <c r="M2323" t="s">
        <v>19</v>
      </c>
      <c r="N2323">
        <v>2</v>
      </c>
      <c r="O2323" t="s">
        <v>246</v>
      </c>
      <c r="P2323" t="s">
        <v>21</v>
      </c>
      <c r="Q2323" t="s">
        <v>30</v>
      </c>
      <c r="R2323" t="str">
        <f>VLOOKUP($O2323,'Mapa Oficinas'!$A$7:$C$46,2,FALSE)</f>
        <v>Interior - Salta</v>
      </c>
      <c r="S2323" t="str">
        <f>VLOOKUP($O2323,'Mapa Oficinas'!$A$7:$C$46,3,FALSE)</f>
        <v>San Lorenzo Chico</v>
      </c>
    </row>
    <row r="2324" spans="1:19" x14ac:dyDescent="0.2">
      <c r="A2324" s="1">
        <v>46052</v>
      </c>
      <c r="B2324" t="s">
        <v>1588</v>
      </c>
      <c r="D2324" t="s">
        <v>1589</v>
      </c>
      <c r="E2324" t="s">
        <v>16</v>
      </c>
      <c r="F2324" t="s">
        <v>47</v>
      </c>
      <c r="G2324" s="14">
        <v>52900</v>
      </c>
      <c r="H2324" s="14">
        <v>49900</v>
      </c>
      <c r="I2324" t="s">
        <v>22</v>
      </c>
      <c r="J2324" t="s">
        <v>22</v>
      </c>
      <c r="K2324" t="s">
        <v>1590</v>
      </c>
      <c r="L2324" t="s">
        <v>141</v>
      </c>
      <c r="M2324" t="s">
        <v>19</v>
      </c>
      <c r="N2324">
        <v>2</v>
      </c>
      <c r="O2324" t="s">
        <v>686</v>
      </c>
      <c r="P2324" t="s">
        <v>44</v>
      </c>
      <c r="Q2324" t="s">
        <v>30</v>
      </c>
      <c r="R2324" t="str">
        <f>VLOOKUP($O2324,'Mapa Oficinas'!$A$7:$C$46,2,FALSE)</f>
        <v>CABA</v>
      </c>
      <c r="S2324" t="str">
        <f>VLOOKUP($O2324,'Mapa Oficinas'!$A$7:$C$46,3,FALSE)</f>
        <v>Retiro</v>
      </c>
    </row>
    <row r="2325" spans="1:19" x14ac:dyDescent="0.2">
      <c r="A2325" s="1">
        <v>46052</v>
      </c>
      <c r="B2325" t="s">
        <v>1602</v>
      </c>
      <c r="D2325" t="s">
        <v>1603</v>
      </c>
      <c r="E2325" t="s">
        <v>16</v>
      </c>
      <c r="F2325" t="s">
        <v>17</v>
      </c>
      <c r="G2325" s="14">
        <v>83000</v>
      </c>
      <c r="H2325" s="14">
        <v>82500</v>
      </c>
      <c r="I2325" t="s">
        <v>22</v>
      </c>
      <c r="J2325" t="s">
        <v>22</v>
      </c>
      <c r="K2325" t="s">
        <v>1604</v>
      </c>
      <c r="L2325" t="s">
        <v>330</v>
      </c>
      <c r="M2325" t="s">
        <v>19</v>
      </c>
      <c r="N2325">
        <v>2</v>
      </c>
      <c r="O2325" t="s">
        <v>252</v>
      </c>
      <c r="P2325" t="s">
        <v>21</v>
      </c>
      <c r="Q2325" t="s">
        <v>30</v>
      </c>
      <c r="R2325" t="str">
        <f>VLOOKUP($O2325,'Mapa Oficinas'!$A$7:$C$46,2,FALSE)</f>
        <v>CABA</v>
      </c>
      <c r="S2325" t="str">
        <f>VLOOKUP($O2325,'Mapa Oficinas'!$A$7:$C$46,3,FALSE)</f>
        <v>Belgrano</v>
      </c>
    </row>
    <row r="2326" spans="1:19" x14ac:dyDescent="0.2">
      <c r="A2326" s="1">
        <v>46052</v>
      </c>
      <c r="B2326" t="s">
        <v>1613</v>
      </c>
      <c r="D2326" t="s">
        <v>1614</v>
      </c>
      <c r="E2326" t="s">
        <v>16</v>
      </c>
      <c r="F2326" t="s">
        <v>17</v>
      </c>
      <c r="G2326" s="14">
        <v>100000</v>
      </c>
      <c r="H2326" s="14">
        <v>85000</v>
      </c>
      <c r="I2326" t="s">
        <v>22</v>
      </c>
      <c r="J2326" t="s">
        <v>22</v>
      </c>
      <c r="K2326" t="s">
        <v>1615</v>
      </c>
      <c r="L2326" t="s">
        <v>1616</v>
      </c>
      <c r="M2326" t="s">
        <v>97</v>
      </c>
      <c r="N2326">
        <v>2</v>
      </c>
      <c r="O2326" t="s">
        <v>98</v>
      </c>
      <c r="P2326" t="s">
        <v>21</v>
      </c>
      <c r="Q2326" t="s">
        <v>30</v>
      </c>
      <c r="R2326" t="str">
        <f>VLOOKUP($O2326,'Mapa Oficinas'!$A$7:$C$46,2,FALSE)</f>
        <v>Interior - Neuquén</v>
      </c>
      <c r="S2326" t="str">
        <f>VLOOKUP($O2326,'Mapa Oficinas'!$A$7:$C$46,3,FALSE)</f>
        <v>Villa La Angostura</v>
      </c>
    </row>
    <row r="2327" spans="1:19" x14ac:dyDescent="0.2">
      <c r="A2327" s="1">
        <v>46052</v>
      </c>
      <c r="B2327" t="s">
        <v>1605</v>
      </c>
      <c r="D2327" t="s">
        <v>1606</v>
      </c>
      <c r="E2327" t="s">
        <v>16</v>
      </c>
      <c r="F2327" t="s">
        <v>17</v>
      </c>
      <c r="G2327" s="14">
        <v>149000</v>
      </c>
      <c r="H2327" s="14">
        <v>135000</v>
      </c>
      <c r="I2327" t="s">
        <v>22</v>
      </c>
      <c r="J2327" t="s">
        <v>22</v>
      </c>
      <c r="K2327" t="s">
        <v>1607</v>
      </c>
      <c r="L2327" t="s">
        <v>1608</v>
      </c>
      <c r="M2327" t="s">
        <v>28</v>
      </c>
      <c r="N2327">
        <v>2</v>
      </c>
      <c r="O2327" t="s">
        <v>29</v>
      </c>
      <c r="P2327" t="s">
        <v>276</v>
      </c>
      <c r="Q2327" t="s">
        <v>30</v>
      </c>
      <c r="R2327" t="str">
        <f>VLOOKUP($O2327,'Mapa Oficinas'!$A$7:$C$46,2,FALSE)</f>
        <v>CABA</v>
      </c>
      <c r="S2327" t="str">
        <f>VLOOKUP($O2327,'Mapa Oficinas'!$A$7:$C$46,3,FALSE)</f>
        <v>Núñez</v>
      </c>
    </row>
    <row r="2328" spans="1:19" x14ac:dyDescent="0.2">
      <c r="A2328" s="1">
        <v>46052</v>
      </c>
      <c r="B2328" t="s">
        <v>1599</v>
      </c>
      <c r="D2328" t="s">
        <v>1600</v>
      </c>
      <c r="E2328" t="s">
        <v>16</v>
      </c>
      <c r="F2328" t="s">
        <v>53</v>
      </c>
      <c r="G2328" s="14">
        <v>150000</v>
      </c>
      <c r="H2328" s="14">
        <v>138500</v>
      </c>
      <c r="I2328" t="s">
        <v>22</v>
      </c>
      <c r="J2328" t="s">
        <v>22</v>
      </c>
      <c r="K2328" t="s">
        <v>1601</v>
      </c>
      <c r="L2328" t="s">
        <v>946</v>
      </c>
      <c r="M2328" t="s">
        <v>28</v>
      </c>
      <c r="N2328">
        <v>2</v>
      </c>
      <c r="O2328" t="s">
        <v>65</v>
      </c>
      <c r="P2328" t="s">
        <v>21</v>
      </c>
      <c r="Q2328" t="s">
        <v>30</v>
      </c>
      <c r="R2328" t="str">
        <f>VLOOKUP($O2328,'Mapa Oficinas'!$A$7:$C$46,2,FALSE)</f>
        <v>Interior - Mendoza</v>
      </c>
      <c r="S2328" t="str">
        <f>VLOOKUP($O2328,'Mapa Oficinas'!$A$7:$C$46,3,FALSE)</f>
        <v>Capital Mendoza</v>
      </c>
    </row>
    <row r="2329" spans="1:19" x14ac:dyDescent="0.2">
      <c r="A2329" s="1">
        <v>46052</v>
      </c>
      <c r="B2329" t="s">
        <v>1617</v>
      </c>
      <c r="D2329" t="s">
        <v>1618</v>
      </c>
      <c r="E2329" t="s">
        <v>16</v>
      </c>
      <c r="F2329" t="s">
        <v>17</v>
      </c>
      <c r="G2329" s="14">
        <v>240000</v>
      </c>
      <c r="H2329" s="14">
        <v>217000</v>
      </c>
      <c r="I2329" t="s">
        <v>22</v>
      </c>
      <c r="J2329" t="s">
        <v>22</v>
      </c>
      <c r="K2329" t="s">
        <v>1619</v>
      </c>
      <c r="L2329" t="s">
        <v>237</v>
      </c>
      <c r="M2329" t="s">
        <v>28</v>
      </c>
      <c r="N2329">
        <v>2</v>
      </c>
      <c r="O2329" t="s">
        <v>20</v>
      </c>
      <c r="P2329" t="s">
        <v>21</v>
      </c>
      <c r="Q2329" t="s">
        <v>30</v>
      </c>
      <c r="R2329" t="str">
        <f>VLOOKUP($O2329,'Mapa Oficinas'!$A$7:$C$46,2,FALSE)</f>
        <v>CABA</v>
      </c>
      <c r="S2329" t="str">
        <f>VLOOKUP($O2329,'Mapa Oficinas'!$A$7:$C$46,3,FALSE)</f>
        <v>Palermo</v>
      </c>
    </row>
    <row r="2330" spans="1:19" x14ac:dyDescent="0.2">
      <c r="A2330" s="1">
        <v>46052</v>
      </c>
      <c r="B2330" t="s">
        <v>930</v>
      </c>
      <c r="D2330" t="s">
        <v>931</v>
      </c>
      <c r="E2330" t="s">
        <v>16</v>
      </c>
      <c r="F2330" t="s">
        <v>17</v>
      </c>
      <c r="G2330" s="14">
        <v>230000</v>
      </c>
      <c r="H2330" s="14">
        <v>225000</v>
      </c>
      <c r="I2330" t="s">
        <v>22</v>
      </c>
      <c r="J2330" t="s">
        <v>22</v>
      </c>
      <c r="K2330" t="s">
        <v>932</v>
      </c>
      <c r="L2330" t="s">
        <v>933</v>
      </c>
      <c r="M2330" t="s">
        <v>19</v>
      </c>
      <c r="N2330">
        <v>2</v>
      </c>
      <c r="O2330" t="s">
        <v>35</v>
      </c>
      <c r="P2330" t="s">
        <v>21</v>
      </c>
      <c r="Q2330" t="s">
        <v>30</v>
      </c>
      <c r="R2330" t="str">
        <f>VLOOKUP($O2330,'Mapa Oficinas'!$A$7:$C$46,2,FALSE)</f>
        <v>Zona Norte (GBA)</v>
      </c>
      <c r="S2330" t="str">
        <f>VLOOKUP($O2330,'Mapa Oficinas'!$A$7:$C$46,3,FALSE)</f>
        <v>Vicente López</v>
      </c>
    </row>
    <row r="2331" spans="1:19" x14ac:dyDescent="0.2">
      <c r="A2331" s="1">
        <v>46052</v>
      </c>
      <c r="B2331" t="s">
        <v>1591</v>
      </c>
      <c r="D2331" t="s">
        <v>1592</v>
      </c>
      <c r="E2331" t="s">
        <v>16</v>
      </c>
      <c r="F2331" t="s">
        <v>17</v>
      </c>
      <c r="G2331" s="14">
        <v>750000</v>
      </c>
      <c r="H2331" s="14">
        <v>640000</v>
      </c>
      <c r="I2331" t="s">
        <v>22</v>
      </c>
      <c r="J2331" t="s">
        <v>22</v>
      </c>
      <c r="K2331" t="s">
        <v>1593</v>
      </c>
      <c r="L2331" t="s">
        <v>205</v>
      </c>
      <c r="M2331" t="s">
        <v>28</v>
      </c>
      <c r="N2331">
        <v>2</v>
      </c>
      <c r="O2331" t="s">
        <v>201</v>
      </c>
      <c r="P2331" t="s">
        <v>21</v>
      </c>
      <c r="Q2331" t="s">
        <v>30</v>
      </c>
      <c r="R2331" t="str">
        <f>VLOOKUP($O2331,'Mapa Oficinas'!$A$7:$C$46,2,FALSE)</f>
        <v>CABA</v>
      </c>
      <c r="S2331" t="str">
        <f>VLOOKUP($O2331,'Mapa Oficinas'!$A$7:$C$46,3,FALSE)</f>
        <v>Recoleta</v>
      </c>
    </row>
    <row r="2332" spans="1:19" x14ac:dyDescent="0.2">
      <c r="A2332" s="1">
        <v>46053</v>
      </c>
      <c r="B2332" t="s">
        <v>1582</v>
      </c>
      <c r="D2332" t="s">
        <v>1583</v>
      </c>
      <c r="E2332" t="s">
        <v>16</v>
      </c>
      <c r="F2332" t="s">
        <v>38</v>
      </c>
      <c r="G2332" s="14">
        <v>70000</v>
      </c>
      <c r="H2332" s="14">
        <v>60000</v>
      </c>
      <c r="I2332" t="s">
        <v>22</v>
      </c>
      <c r="J2332" t="s">
        <v>22</v>
      </c>
      <c r="K2332" t="s">
        <v>1584</v>
      </c>
      <c r="L2332" t="s">
        <v>1585</v>
      </c>
      <c r="M2332" t="s">
        <v>28</v>
      </c>
      <c r="N2332">
        <v>2</v>
      </c>
      <c r="O2332" t="s">
        <v>367</v>
      </c>
      <c r="P2332" t="s">
        <v>21</v>
      </c>
      <c r="Q2332" t="s">
        <v>30</v>
      </c>
      <c r="R2332" t="str">
        <f>VLOOKUP($O2332,'Mapa Oficinas'!$A$7:$C$46,2,FALSE)</f>
        <v>Interior - Neuquén</v>
      </c>
      <c r="S2332" t="str">
        <f>VLOOKUP($O2332,'Mapa Oficinas'!$A$7:$C$46,3,FALSE)</f>
        <v>San Martín de los Andes</v>
      </c>
    </row>
    <row r="2333" spans="1:19" x14ac:dyDescent="0.2">
      <c r="A2333" s="1">
        <v>46053</v>
      </c>
      <c r="B2333" t="s">
        <v>1579</v>
      </c>
      <c r="D2333" t="s">
        <v>1580</v>
      </c>
      <c r="E2333" t="s">
        <v>16</v>
      </c>
      <c r="F2333" t="s">
        <v>82</v>
      </c>
      <c r="G2333" s="14">
        <v>75000</v>
      </c>
      <c r="H2333" s="14">
        <v>75000</v>
      </c>
      <c r="I2333" t="s">
        <v>22</v>
      </c>
      <c r="J2333" t="s">
        <v>22</v>
      </c>
      <c r="K2333" t="s">
        <v>437</v>
      </c>
      <c r="L2333" t="s">
        <v>199</v>
      </c>
      <c r="M2333" t="s">
        <v>19</v>
      </c>
      <c r="N2333">
        <v>2</v>
      </c>
      <c r="O2333" t="s">
        <v>156</v>
      </c>
      <c r="P2333" t="s">
        <v>21</v>
      </c>
      <c r="Q2333" t="s">
        <v>30</v>
      </c>
      <c r="R2333" t="str">
        <f>VLOOKUP($O2333,'Mapa Oficinas'!$A$7:$C$46,2,FALSE)</f>
        <v>Zona Norte (GBA)</v>
      </c>
      <c r="S2333" t="str">
        <f>VLOOKUP($O2333,'Mapa Oficinas'!$A$7:$C$46,3,FALSE)</f>
        <v>Pilar</v>
      </c>
    </row>
    <row r="2334" spans="1:19" x14ac:dyDescent="0.2">
      <c r="A2334" s="1">
        <v>46055</v>
      </c>
      <c r="D2334" t="s">
        <v>1572</v>
      </c>
      <c r="E2334" t="s">
        <v>16</v>
      </c>
      <c r="F2334" t="s">
        <v>38</v>
      </c>
      <c r="G2334" s="14">
        <v>94000</v>
      </c>
      <c r="H2334" s="14">
        <v>94000</v>
      </c>
      <c r="I2334" t="s">
        <v>22</v>
      </c>
      <c r="J2334" t="s">
        <v>22</v>
      </c>
      <c r="K2334" t="s">
        <v>1573</v>
      </c>
      <c r="L2334" t="s">
        <v>1574</v>
      </c>
      <c r="M2334" t="s">
        <v>28</v>
      </c>
      <c r="N2334">
        <v>1</v>
      </c>
      <c r="O2334" t="s">
        <v>367</v>
      </c>
      <c r="P2334" t="s">
        <v>131</v>
      </c>
      <c r="Q2334" t="s">
        <v>30</v>
      </c>
      <c r="R2334" t="str">
        <f>VLOOKUP($O2334,'Mapa Oficinas'!$A$7:$C$46,2,FALSE)</f>
        <v>Interior - Neuquén</v>
      </c>
      <c r="S2334" t="str">
        <f>VLOOKUP($O2334,'Mapa Oficinas'!$A$7:$C$46,3,FALSE)</f>
        <v>San Martín de los Andes</v>
      </c>
    </row>
    <row r="2335" spans="1:19" x14ac:dyDescent="0.2">
      <c r="A2335" s="1">
        <v>46055</v>
      </c>
      <c r="B2335" t="s">
        <v>1568</v>
      </c>
      <c r="D2335" t="s">
        <v>1569</v>
      </c>
      <c r="E2335" t="s">
        <v>16</v>
      </c>
      <c r="F2335" t="s">
        <v>243</v>
      </c>
      <c r="G2335" s="14">
        <v>120000</v>
      </c>
      <c r="H2335" s="14">
        <v>120000</v>
      </c>
      <c r="I2335" t="s">
        <v>22</v>
      </c>
      <c r="J2335" t="s">
        <v>22</v>
      </c>
      <c r="K2335" t="s">
        <v>1570</v>
      </c>
      <c r="L2335" t="s">
        <v>905</v>
      </c>
      <c r="M2335" t="s">
        <v>28</v>
      </c>
      <c r="N2335">
        <v>2</v>
      </c>
      <c r="O2335" t="s">
        <v>246</v>
      </c>
      <c r="P2335" t="s">
        <v>21</v>
      </c>
      <c r="Q2335" t="s">
        <v>30</v>
      </c>
      <c r="R2335" t="str">
        <f>VLOOKUP($O2335,'Mapa Oficinas'!$A$7:$C$46,2,FALSE)</f>
        <v>Interior - Salta</v>
      </c>
      <c r="S2335" t="str">
        <f>VLOOKUP($O2335,'Mapa Oficinas'!$A$7:$C$46,3,FALSE)</f>
        <v>San Lorenzo Chico</v>
      </c>
    </row>
    <row r="2336" spans="1:19" x14ac:dyDescent="0.2">
      <c r="A2336" s="1">
        <v>46055</v>
      </c>
      <c r="B2336" t="s">
        <v>1565</v>
      </c>
      <c r="D2336" t="s">
        <v>1566</v>
      </c>
      <c r="E2336" t="s">
        <v>16</v>
      </c>
      <c r="F2336" t="s">
        <v>17</v>
      </c>
      <c r="G2336" s="14">
        <v>128000</v>
      </c>
      <c r="H2336" s="14">
        <v>126000</v>
      </c>
      <c r="I2336" t="s">
        <v>22</v>
      </c>
      <c r="J2336" t="s">
        <v>22</v>
      </c>
      <c r="K2336" t="s">
        <v>1567</v>
      </c>
      <c r="L2336" t="s">
        <v>205</v>
      </c>
      <c r="M2336" t="s">
        <v>19</v>
      </c>
      <c r="N2336">
        <v>2</v>
      </c>
      <c r="O2336" t="s">
        <v>547</v>
      </c>
      <c r="P2336" t="s">
        <v>21</v>
      </c>
      <c r="Q2336" t="s">
        <v>30</v>
      </c>
      <c r="R2336" t="str">
        <f>VLOOKUP($O2336,'Mapa Oficinas'!$A$7:$C$46,2,FALSE)</f>
        <v>CABA</v>
      </c>
      <c r="S2336" t="str">
        <f>VLOOKUP($O2336,'Mapa Oficinas'!$A$7:$C$46,3,FALSE)</f>
        <v>Núñez</v>
      </c>
    </row>
    <row r="2337" spans="1:19" x14ac:dyDescent="0.2">
      <c r="A2337" s="1">
        <v>46056</v>
      </c>
      <c r="B2337" t="s">
        <v>1544</v>
      </c>
      <c r="D2337" t="s">
        <v>1545</v>
      </c>
      <c r="E2337" t="s">
        <v>16</v>
      </c>
      <c r="F2337" t="s">
        <v>82</v>
      </c>
      <c r="G2337" s="14">
        <v>60000</v>
      </c>
      <c r="H2337" s="14">
        <v>51500</v>
      </c>
      <c r="I2337" t="s">
        <v>22</v>
      </c>
      <c r="J2337" t="s">
        <v>22</v>
      </c>
      <c r="K2337" t="s">
        <v>1546</v>
      </c>
      <c r="L2337" t="s">
        <v>205</v>
      </c>
      <c r="M2337" t="s">
        <v>19</v>
      </c>
      <c r="N2337">
        <v>2</v>
      </c>
      <c r="O2337" t="s">
        <v>618</v>
      </c>
      <c r="P2337" t="s">
        <v>21</v>
      </c>
      <c r="Q2337" t="s">
        <v>30</v>
      </c>
      <c r="R2337" t="str">
        <f>VLOOKUP($O2337,'Mapa Oficinas'!$A$7:$C$46,2,FALSE)</f>
        <v>CABA</v>
      </c>
      <c r="S2337" t="str">
        <f>VLOOKUP($O2337,'Mapa Oficinas'!$A$7:$C$46,3,FALSE)</f>
        <v>Caballito</v>
      </c>
    </row>
    <row r="2338" spans="1:19" x14ac:dyDescent="0.2">
      <c r="A2338" s="1">
        <v>46056</v>
      </c>
      <c r="B2338" t="s">
        <v>1550</v>
      </c>
      <c r="D2338" t="s">
        <v>1551</v>
      </c>
      <c r="E2338" t="s">
        <v>16</v>
      </c>
      <c r="F2338" t="s">
        <v>17</v>
      </c>
      <c r="G2338" s="14">
        <v>55000</v>
      </c>
      <c r="H2338" s="14">
        <v>53000</v>
      </c>
      <c r="I2338" t="s">
        <v>22</v>
      </c>
      <c r="J2338" t="s">
        <v>22</v>
      </c>
      <c r="K2338" t="s">
        <v>1552</v>
      </c>
      <c r="L2338" t="s">
        <v>191</v>
      </c>
      <c r="M2338" t="s">
        <v>19</v>
      </c>
      <c r="N2338">
        <v>2</v>
      </c>
      <c r="O2338" t="s">
        <v>201</v>
      </c>
      <c r="P2338" t="s">
        <v>21</v>
      </c>
      <c r="Q2338" t="s">
        <v>30</v>
      </c>
      <c r="R2338" t="str">
        <f>VLOOKUP($O2338,'Mapa Oficinas'!$A$7:$C$46,2,FALSE)</f>
        <v>CABA</v>
      </c>
      <c r="S2338" t="str">
        <f>VLOOKUP($O2338,'Mapa Oficinas'!$A$7:$C$46,3,FALSE)</f>
        <v>Recoleta</v>
      </c>
    </row>
    <row r="2339" spans="1:19" x14ac:dyDescent="0.2">
      <c r="A2339" s="1">
        <v>46056</v>
      </c>
      <c r="B2339" t="s">
        <v>1548</v>
      </c>
      <c r="D2339" t="s">
        <v>332</v>
      </c>
      <c r="E2339" t="s">
        <v>16</v>
      </c>
      <c r="F2339" t="s">
        <v>58</v>
      </c>
      <c r="G2339" s="14">
        <v>89900</v>
      </c>
      <c r="H2339" s="14">
        <v>85000</v>
      </c>
      <c r="I2339" t="s">
        <v>22</v>
      </c>
      <c r="J2339" t="s">
        <v>22</v>
      </c>
      <c r="K2339" t="s">
        <v>1549</v>
      </c>
      <c r="L2339" t="s">
        <v>79</v>
      </c>
      <c r="M2339" t="s">
        <v>19</v>
      </c>
      <c r="N2339">
        <v>2</v>
      </c>
      <c r="O2339" t="s">
        <v>198</v>
      </c>
      <c r="P2339" t="s">
        <v>21</v>
      </c>
      <c r="Q2339" t="s">
        <v>30</v>
      </c>
      <c r="R2339" t="str">
        <f>VLOOKUP($O2339,'Mapa Oficinas'!$A$7:$C$46,2,FALSE)</f>
        <v>CABA</v>
      </c>
      <c r="S2339" t="str">
        <f>VLOOKUP($O2339,'Mapa Oficinas'!$A$7:$C$46,3,FALSE)</f>
        <v>Caballito</v>
      </c>
    </row>
    <row r="2340" spans="1:19" x14ac:dyDescent="0.2">
      <c r="A2340" s="1">
        <v>46056</v>
      </c>
      <c r="B2340" t="s">
        <v>1559</v>
      </c>
      <c r="D2340" t="s">
        <v>1560</v>
      </c>
      <c r="E2340" t="s">
        <v>16</v>
      </c>
      <c r="F2340" t="s">
        <v>17</v>
      </c>
      <c r="G2340" s="14">
        <v>100000</v>
      </c>
      <c r="H2340" s="14">
        <v>100000</v>
      </c>
      <c r="I2340" t="s">
        <v>22</v>
      </c>
      <c r="J2340" t="s">
        <v>22</v>
      </c>
      <c r="K2340" t="s">
        <v>1561</v>
      </c>
      <c r="L2340" t="s">
        <v>200</v>
      </c>
      <c r="M2340" t="s">
        <v>19</v>
      </c>
      <c r="N2340">
        <v>2</v>
      </c>
      <c r="O2340" t="s">
        <v>103</v>
      </c>
      <c r="P2340" t="s">
        <v>21</v>
      </c>
      <c r="Q2340" t="s">
        <v>30</v>
      </c>
      <c r="R2340" t="str">
        <f>VLOOKUP($O2340,'Mapa Oficinas'!$A$7:$C$46,2,FALSE)</f>
        <v>CABA</v>
      </c>
      <c r="S2340" t="str">
        <f>VLOOKUP($O2340,'Mapa Oficinas'!$A$7:$C$46,3,FALSE)</f>
        <v>Barrio Parque</v>
      </c>
    </row>
    <row r="2341" spans="1:19" x14ac:dyDescent="0.2">
      <c r="A2341" s="1">
        <v>46057</v>
      </c>
      <c r="B2341" t="s">
        <v>1522</v>
      </c>
      <c r="D2341" t="s">
        <v>1523</v>
      </c>
      <c r="E2341" t="s">
        <v>16</v>
      </c>
      <c r="F2341" t="s">
        <v>17</v>
      </c>
      <c r="G2341" s="14">
        <v>60000</v>
      </c>
      <c r="H2341" s="14">
        <v>57500</v>
      </c>
      <c r="I2341" t="s">
        <v>22</v>
      </c>
      <c r="J2341" t="s">
        <v>22</v>
      </c>
      <c r="K2341" t="s">
        <v>1524</v>
      </c>
      <c r="L2341" t="s">
        <v>394</v>
      </c>
      <c r="M2341" t="s">
        <v>19</v>
      </c>
      <c r="N2341">
        <v>2</v>
      </c>
      <c r="O2341" t="s">
        <v>73</v>
      </c>
      <c r="P2341" t="s">
        <v>276</v>
      </c>
      <c r="Q2341" t="s">
        <v>30</v>
      </c>
      <c r="R2341" t="str">
        <f>VLOOKUP($O2341,'Mapa Oficinas'!$A$7:$C$46,2,FALSE)</f>
        <v>CABA</v>
      </c>
      <c r="S2341" t="str">
        <f>VLOOKUP($O2341,'Mapa Oficinas'!$A$7:$C$46,3,FALSE)</f>
        <v>Recoleta</v>
      </c>
    </row>
    <row r="2342" spans="1:19" x14ac:dyDescent="0.2">
      <c r="A2342" s="1">
        <v>46057</v>
      </c>
      <c r="B2342" t="s">
        <v>1519</v>
      </c>
      <c r="D2342" t="s">
        <v>1520</v>
      </c>
      <c r="E2342" t="s">
        <v>16</v>
      </c>
      <c r="F2342" t="s">
        <v>17</v>
      </c>
      <c r="G2342" s="14">
        <v>61000</v>
      </c>
      <c r="H2342" s="14">
        <v>59000</v>
      </c>
      <c r="I2342" t="s">
        <v>22</v>
      </c>
      <c r="J2342" t="s">
        <v>22</v>
      </c>
      <c r="K2342" t="s">
        <v>1521</v>
      </c>
      <c r="L2342" t="s">
        <v>394</v>
      </c>
      <c r="M2342" t="s">
        <v>19</v>
      </c>
      <c r="N2342">
        <v>2</v>
      </c>
      <c r="O2342" t="s">
        <v>73</v>
      </c>
      <c r="P2342" t="s">
        <v>21</v>
      </c>
      <c r="Q2342" t="s">
        <v>30</v>
      </c>
      <c r="R2342" t="str">
        <f>VLOOKUP($O2342,'Mapa Oficinas'!$A$7:$C$46,2,FALSE)</f>
        <v>CABA</v>
      </c>
      <c r="S2342" t="str">
        <f>VLOOKUP($O2342,'Mapa Oficinas'!$A$7:$C$46,3,FALSE)</f>
        <v>Recoleta</v>
      </c>
    </row>
    <row r="2343" spans="1:19" x14ac:dyDescent="0.2">
      <c r="A2343" s="1">
        <v>46057</v>
      </c>
      <c r="B2343" t="s">
        <v>1515</v>
      </c>
      <c r="D2343" t="s">
        <v>719</v>
      </c>
      <c r="E2343" t="s">
        <v>16</v>
      </c>
      <c r="F2343" t="s">
        <v>17</v>
      </c>
      <c r="G2343" s="14">
        <v>130000</v>
      </c>
      <c r="H2343" s="14">
        <v>110000</v>
      </c>
      <c r="I2343" t="s">
        <v>22</v>
      </c>
      <c r="J2343" t="s">
        <v>22</v>
      </c>
      <c r="K2343" t="s">
        <v>720</v>
      </c>
      <c r="L2343" t="s">
        <v>330</v>
      </c>
      <c r="M2343" t="s">
        <v>19</v>
      </c>
      <c r="N2343">
        <v>2</v>
      </c>
      <c r="O2343" t="s">
        <v>547</v>
      </c>
      <c r="P2343" t="s">
        <v>21</v>
      </c>
      <c r="Q2343" t="s">
        <v>30</v>
      </c>
      <c r="R2343" t="str">
        <f>VLOOKUP($O2343,'Mapa Oficinas'!$A$7:$C$46,2,FALSE)</f>
        <v>CABA</v>
      </c>
      <c r="S2343" t="str">
        <f>VLOOKUP($O2343,'Mapa Oficinas'!$A$7:$C$46,3,FALSE)</f>
        <v>Núñez</v>
      </c>
    </row>
    <row r="2344" spans="1:19" x14ac:dyDescent="0.2">
      <c r="A2344" s="1">
        <v>46057</v>
      </c>
      <c r="B2344" t="s">
        <v>1514</v>
      </c>
      <c r="D2344" t="s">
        <v>1514</v>
      </c>
      <c r="E2344" t="s">
        <v>16</v>
      </c>
      <c r="F2344" t="s">
        <v>47</v>
      </c>
      <c r="G2344" s="14">
        <v>235000</v>
      </c>
      <c r="H2344" s="14">
        <v>117500</v>
      </c>
      <c r="I2344" t="s">
        <v>22</v>
      </c>
      <c r="J2344" t="s">
        <v>22</v>
      </c>
      <c r="K2344" t="s">
        <v>1514</v>
      </c>
      <c r="L2344" t="s">
        <v>523</v>
      </c>
      <c r="M2344" t="s">
        <v>19</v>
      </c>
      <c r="N2344">
        <v>2</v>
      </c>
      <c r="O2344" t="s">
        <v>50</v>
      </c>
      <c r="P2344" t="s">
        <v>21</v>
      </c>
      <c r="Q2344" t="s">
        <v>30</v>
      </c>
      <c r="R2344" t="str">
        <f>VLOOKUP($O2344,'Mapa Oficinas'!$A$7:$C$46,2,FALSE)</f>
        <v>CABA</v>
      </c>
      <c r="S2344" t="str">
        <f>VLOOKUP($O2344,'Mapa Oficinas'!$A$7:$C$46,3,FALSE)</f>
        <v>Villa Urquiza</v>
      </c>
    </row>
    <row r="2345" spans="1:19" x14ac:dyDescent="0.2">
      <c r="A2345" s="1">
        <v>46057</v>
      </c>
      <c r="B2345" t="s">
        <v>1536</v>
      </c>
      <c r="D2345" t="s">
        <v>1537</v>
      </c>
      <c r="E2345" t="s">
        <v>16</v>
      </c>
      <c r="F2345" t="s">
        <v>17</v>
      </c>
      <c r="G2345" s="14">
        <v>130600</v>
      </c>
      <c r="H2345" s="14">
        <v>135000</v>
      </c>
      <c r="I2345" t="s">
        <v>22</v>
      </c>
      <c r="J2345" t="s">
        <v>22</v>
      </c>
      <c r="K2345" t="s">
        <v>1538</v>
      </c>
      <c r="L2345" t="s">
        <v>967</v>
      </c>
      <c r="M2345" t="s">
        <v>19</v>
      </c>
      <c r="N2345">
        <v>2</v>
      </c>
      <c r="O2345" t="s">
        <v>29</v>
      </c>
      <c r="P2345" t="s">
        <v>44</v>
      </c>
      <c r="Q2345" t="s">
        <v>30</v>
      </c>
      <c r="R2345" t="str">
        <f>VLOOKUP($O2345,'Mapa Oficinas'!$A$7:$C$46,2,FALSE)</f>
        <v>CABA</v>
      </c>
      <c r="S2345" t="str">
        <f>VLOOKUP($O2345,'Mapa Oficinas'!$A$7:$C$46,3,FALSE)</f>
        <v>Núñez</v>
      </c>
    </row>
    <row r="2346" spans="1:19" x14ac:dyDescent="0.2">
      <c r="A2346" s="1">
        <v>46057</v>
      </c>
      <c r="B2346" t="s">
        <v>1525</v>
      </c>
      <c r="D2346" t="s">
        <v>1526</v>
      </c>
      <c r="E2346" t="s">
        <v>16</v>
      </c>
      <c r="F2346" t="s">
        <v>58</v>
      </c>
      <c r="G2346" s="14">
        <v>146900</v>
      </c>
      <c r="H2346" s="14">
        <v>138000</v>
      </c>
      <c r="I2346" t="s">
        <v>22</v>
      </c>
      <c r="J2346" t="s">
        <v>22</v>
      </c>
      <c r="K2346" t="s">
        <v>1527</v>
      </c>
      <c r="L2346" t="s">
        <v>111</v>
      </c>
      <c r="M2346" t="s">
        <v>19</v>
      </c>
      <c r="N2346">
        <v>2</v>
      </c>
      <c r="O2346" t="s">
        <v>50</v>
      </c>
      <c r="P2346" t="s">
        <v>21</v>
      </c>
      <c r="Q2346" t="s">
        <v>30</v>
      </c>
      <c r="R2346" t="str">
        <f>VLOOKUP($O2346,'Mapa Oficinas'!$A$7:$C$46,2,FALSE)</f>
        <v>CABA</v>
      </c>
      <c r="S2346" t="str">
        <f>VLOOKUP($O2346,'Mapa Oficinas'!$A$7:$C$46,3,FALSE)</f>
        <v>Villa Urquiza</v>
      </c>
    </row>
    <row r="2347" spans="1:19" x14ac:dyDescent="0.2">
      <c r="A2347" s="1">
        <v>46057</v>
      </c>
      <c r="B2347" t="s">
        <v>1539</v>
      </c>
      <c r="D2347" t="s">
        <v>1540</v>
      </c>
      <c r="E2347" t="s">
        <v>16</v>
      </c>
      <c r="F2347" t="s">
        <v>17</v>
      </c>
      <c r="G2347" s="14">
        <v>180000</v>
      </c>
      <c r="H2347" s="14">
        <v>168000</v>
      </c>
      <c r="I2347" t="s">
        <v>22</v>
      </c>
      <c r="J2347" t="s">
        <v>22</v>
      </c>
      <c r="K2347" t="s">
        <v>1541</v>
      </c>
      <c r="L2347" t="s">
        <v>277</v>
      </c>
      <c r="M2347" t="s">
        <v>19</v>
      </c>
      <c r="N2347">
        <v>2</v>
      </c>
      <c r="O2347" t="s">
        <v>103</v>
      </c>
      <c r="P2347" t="s">
        <v>21</v>
      </c>
      <c r="Q2347" t="s">
        <v>30</v>
      </c>
      <c r="R2347" t="str">
        <f>VLOOKUP($O2347,'Mapa Oficinas'!$A$7:$C$46,2,FALSE)</f>
        <v>CABA</v>
      </c>
      <c r="S2347" t="str">
        <f>VLOOKUP($O2347,'Mapa Oficinas'!$A$7:$C$46,3,FALSE)</f>
        <v>Barrio Parque</v>
      </c>
    </row>
    <row r="2348" spans="1:19" x14ac:dyDescent="0.2">
      <c r="A2348" s="1">
        <v>46057</v>
      </c>
      <c r="B2348" t="s">
        <v>822</v>
      </c>
      <c r="D2348" t="s">
        <v>823</v>
      </c>
      <c r="E2348" t="s">
        <v>16</v>
      </c>
      <c r="F2348" t="s">
        <v>17</v>
      </c>
      <c r="G2348" s="14">
        <v>210000</v>
      </c>
      <c r="H2348" s="14">
        <v>175000</v>
      </c>
      <c r="I2348" t="s">
        <v>22</v>
      </c>
      <c r="J2348" t="s">
        <v>22</v>
      </c>
      <c r="K2348" t="s">
        <v>824</v>
      </c>
      <c r="L2348" t="s">
        <v>825</v>
      </c>
      <c r="M2348" t="s">
        <v>28</v>
      </c>
      <c r="N2348">
        <v>2</v>
      </c>
      <c r="O2348" t="s">
        <v>171</v>
      </c>
      <c r="P2348" t="s">
        <v>21</v>
      </c>
      <c r="Q2348" t="s">
        <v>30</v>
      </c>
      <c r="R2348" t="str">
        <f>VLOOKUP($O2348,'Mapa Oficinas'!$A$7:$C$46,2,FALSE)</f>
        <v>Zona Sur (GBA)</v>
      </c>
      <c r="S2348" t="str">
        <f>VLOOKUP($O2348,'Mapa Oficinas'!$A$7:$C$46,3,FALSE)</f>
        <v>La Plata</v>
      </c>
    </row>
    <row r="2349" spans="1:19" x14ac:dyDescent="0.2">
      <c r="A2349" s="1">
        <v>46057</v>
      </c>
      <c r="B2349" t="s">
        <v>1516</v>
      </c>
      <c r="D2349" t="s">
        <v>1517</v>
      </c>
      <c r="E2349" t="s">
        <v>16</v>
      </c>
      <c r="F2349" t="s">
        <v>17</v>
      </c>
      <c r="G2349" s="14">
        <v>210000</v>
      </c>
      <c r="H2349" s="14">
        <v>200000</v>
      </c>
      <c r="I2349" t="s">
        <v>22</v>
      </c>
      <c r="J2349" t="s">
        <v>22</v>
      </c>
      <c r="K2349" t="s">
        <v>1518</v>
      </c>
      <c r="L2349" t="s">
        <v>191</v>
      </c>
      <c r="M2349" t="s">
        <v>19</v>
      </c>
      <c r="N2349">
        <v>2</v>
      </c>
      <c r="O2349" t="s">
        <v>201</v>
      </c>
      <c r="P2349" t="s">
        <v>41</v>
      </c>
      <c r="Q2349" t="s">
        <v>30</v>
      </c>
      <c r="R2349" t="str">
        <f>VLOOKUP($O2349,'Mapa Oficinas'!$A$7:$C$46,2,FALSE)</f>
        <v>CABA</v>
      </c>
      <c r="S2349" t="str">
        <f>VLOOKUP($O2349,'Mapa Oficinas'!$A$7:$C$46,3,FALSE)</f>
        <v>Recoleta</v>
      </c>
    </row>
    <row r="2350" spans="1:19" x14ac:dyDescent="0.2">
      <c r="A2350" s="1">
        <v>46057</v>
      </c>
      <c r="B2350" t="s">
        <v>1542</v>
      </c>
      <c r="D2350" t="s">
        <v>1543</v>
      </c>
      <c r="E2350" t="s">
        <v>16</v>
      </c>
      <c r="F2350" t="s">
        <v>17</v>
      </c>
      <c r="G2350" s="14">
        <v>374000</v>
      </c>
      <c r="H2350" s="14">
        <v>374000</v>
      </c>
      <c r="I2350" t="s">
        <v>22</v>
      </c>
      <c r="J2350" t="s">
        <v>22</v>
      </c>
      <c r="L2350" t="s">
        <v>1019</v>
      </c>
      <c r="M2350" t="s">
        <v>19</v>
      </c>
      <c r="N2350">
        <v>1</v>
      </c>
      <c r="O2350" t="s">
        <v>20</v>
      </c>
      <c r="P2350" t="s">
        <v>146</v>
      </c>
      <c r="Q2350" t="s">
        <v>30</v>
      </c>
      <c r="R2350" t="str">
        <f>VLOOKUP($O2350,'Mapa Oficinas'!$A$7:$C$46,2,FALSE)</f>
        <v>CABA</v>
      </c>
      <c r="S2350" t="str">
        <f>VLOOKUP($O2350,'Mapa Oficinas'!$A$7:$C$46,3,FALSE)</f>
        <v>Palermo</v>
      </c>
    </row>
    <row r="2351" spans="1:19" x14ac:dyDescent="0.2">
      <c r="A2351" s="1">
        <v>46058</v>
      </c>
      <c r="B2351" t="s">
        <v>1505</v>
      </c>
      <c r="D2351" t="s">
        <v>1506</v>
      </c>
      <c r="E2351" t="s">
        <v>16</v>
      </c>
      <c r="F2351" t="s">
        <v>53</v>
      </c>
      <c r="G2351" s="14">
        <v>55000</v>
      </c>
      <c r="H2351" s="14">
        <v>40000</v>
      </c>
      <c r="I2351" t="s">
        <v>22</v>
      </c>
      <c r="J2351" t="s">
        <v>22</v>
      </c>
      <c r="K2351" t="s">
        <v>1507</v>
      </c>
      <c r="L2351" t="s">
        <v>1278</v>
      </c>
      <c r="M2351" t="s">
        <v>97</v>
      </c>
      <c r="N2351">
        <v>2</v>
      </c>
      <c r="O2351" t="s">
        <v>55</v>
      </c>
      <c r="P2351" t="s">
        <v>21</v>
      </c>
      <c r="Q2351" t="s">
        <v>30</v>
      </c>
      <c r="R2351" t="str">
        <f>VLOOKUP($O2351,'Mapa Oficinas'!$A$7:$C$46,2,FALSE)</f>
        <v>Interior - Santa Fe</v>
      </c>
      <c r="S2351" t="str">
        <f>VLOOKUP($O2351,'Mapa Oficinas'!$A$7:$C$46,3,FALSE)</f>
        <v>Capital Santa Fe</v>
      </c>
    </row>
    <row r="2352" spans="1:19" x14ac:dyDescent="0.2">
      <c r="A2352" s="1">
        <v>46058</v>
      </c>
      <c r="B2352" t="s">
        <v>1508</v>
      </c>
      <c r="D2352" t="s">
        <v>1509</v>
      </c>
      <c r="E2352" t="s">
        <v>16</v>
      </c>
      <c r="F2352" t="s">
        <v>82</v>
      </c>
      <c r="G2352" s="14">
        <v>47000</v>
      </c>
      <c r="H2352" s="14">
        <v>45000</v>
      </c>
      <c r="I2352" t="s">
        <v>22</v>
      </c>
      <c r="J2352" t="s">
        <v>22</v>
      </c>
      <c r="K2352" t="s">
        <v>1510</v>
      </c>
      <c r="L2352" t="s">
        <v>449</v>
      </c>
      <c r="M2352" t="s">
        <v>97</v>
      </c>
      <c r="N2352">
        <v>1</v>
      </c>
      <c r="O2352" t="s">
        <v>367</v>
      </c>
      <c r="P2352" t="s">
        <v>66</v>
      </c>
      <c r="Q2352" t="s">
        <v>30</v>
      </c>
      <c r="R2352" t="str">
        <f>VLOOKUP($O2352,'Mapa Oficinas'!$A$7:$C$46,2,FALSE)</f>
        <v>Interior - Neuquén</v>
      </c>
      <c r="S2352" t="str">
        <f>VLOOKUP($O2352,'Mapa Oficinas'!$A$7:$C$46,3,FALSE)</f>
        <v>San Martín de los Andes</v>
      </c>
    </row>
    <row r="2353" spans="1:19" x14ac:dyDescent="0.2">
      <c r="A2353" s="1">
        <v>46058</v>
      </c>
      <c r="B2353" t="s">
        <v>1491</v>
      </c>
      <c r="D2353" t="s">
        <v>1492</v>
      </c>
      <c r="E2353" t="s">
        <v>16</v>
      </c>
      <c r="F2353" t="s">
        <v>38</v>
      </c>
      <c r="G2353" s="14">
        <v>49000</v>
      </c>
      <c r="H2353" s="14">
        <v>49000</v>
      </c>
      <c r="I2353" t="s">
        <v>22</v>
      </c>
      <c r="J2353" t="s">
        <v>22</v>
      </c>
      <c r="K2353" t="s">
        <v>1493</v>
      </c>
      <c r="L2353" t="s">
        <v>1494</v>
      </c>
      <c r="M2353" t="s">
        <v>28</v>
      </c>
      <c r="N2353">
        <v>1</v>
      </c>
      <c r="O2353" t="s">
        <v>55</v>
      </c>
      <c r="P2353" t="s">
        <v>131</v>
      </c>
      <c r="Q2353" t="s">
        <v>30</v>
      </c>
      <c r="R2353" t="str">
        <f>VLOOKUP($O2353,'Mapa Oficinas'!$A$7:$C$46,2,FALSE)</f>
        <v>Interior - Santa Fe</v>
      </c>
      <c r="S2353" t="str">
        <f>VLOOKUP($O2353,'Mapa Oficinas'!$A$7:$C$46,3,FALSE)</f>
        <v>Capital Santa Fe</v>
      </c>
    </row>
    <row r="2354" spans="1:19" x14ac:dyDescent="0.2">
      <c r="A2354" s="1">
        <v>46058</v>
      </c>
      <c r="B2354" t="s">
        <v>1495</v>
      </c>
      <c r="D2354" t="s">
        <v>1496</v>
      </c>
      <c r="E2354" t="s">
        <v>16</v>
      </c>
      <c r="F2354" t="s">
        <v>47</v>
      </c>
      <c r="G2354" s="14">
        <v>58000</v>
      </c>
      <c r="H2354" s="14">
        <v>51000</v>
      </c>
      <c r="I2354" t="s">
        <v>22</v>
      </c>
      <c r="J2354" t="s">
        <v>22</v>
      </c>
      <c r="K2354" t="s">
        <v>1497</v>
      </c>
      <c r="L2354" t="s">
        <v>1498</v>
      </c>
      <c r="M2354" t="s">
        <v>19</v>
      </c>
      <c r="N2354">
        <v>2</v>
      </c>
      <c r="O2354" t="s">
        <v>156</v>
      </c>
      <c r="P2354" t="s">
        <v>21</v>
      </c>
      <c r="Q2354" t="s">
        <v>30</v>
      </c>
      <c r="R2354" t="str">
        <f>VLOOKUP($O2354,'Mapa Oficinas'!$A$7:$C$46,2,FALSE)</f>
        <v>Zona Norte (GBA)</v>
      </c>
      <c r="S2354" t="str">
        <f>VLOOKUP($O2354,'Mapa Oficinas'!$A$7:$C$46,3,FALSE)</f>
        <v>Pilar</v>
      </c>
    </row>
    <row r="2355" spans="1:19" x14ac:dyDescent="0.2">
      <c r="A2355" s="1">
        <v>46058</v>
      </c>
      <c r="B2355" t="s">
        <v>1487</v>
      </c>
      <c r="D2355" t="s">
        <v>1488</v>
      </c>
      <c r="E2355" t="s">
        <v>16</v>
      </c>
      <c r="F2355" t="s">
        <v>17</v>
      </c>
      <c r="G2355" s="14">
        <v>77000</v>
      </c>
      <c r="H2355" s="14">
        <v>71500</v>
      </c>
      <c r="I2355" t="s">
        <v>22</v>
      </c>
      <c r="J2355" t="s">
        <v>22</v>
      </c>
      <c r="K2355" t="s">
        <v>1489</v>
      </c>
      <c r="L2355" t="s">
        <v>318</v>
      </c>
      <c r="M2355" t="s">
        <v>19</v>
      </c>
      <c r="N2355">
        <v>2</v>
      </c>
      <c r="O2355" t="s">
        <v>227</v>
      </c>
      <c r="P2355" t="s">
        <v>21</v>
      </c>
      <c r="Q2355" t="s">
        <v>30</v>
      </c>
      <c r="R2355" t="str">
        <f>VLOOKUP($O2355,'Mapa Oficinas'!$A$7:$C$46,2,FALSE)</f>
        <v>Zona Oeste (GBA)</v>
      </c>
      <c r="S2355" t="str">
        <f>VLOOKUP($O2355,'Mapa Oficinas'!$A$7:$C$46,3,FALSE)</f>
        <v>Parque Leloir</v>
      </c>
    </row>
    <row r="2356" spans="1:19" x14ac:dyDescent="0.2">
      <c r="A2356" s="1">
        <v>46058</v>
      </c>
      <c r="B2356" t="s">
        <v>1484</v>
      </c>
      <c r="D2356" t="s">
        <v>1485</v>
      </c>
      <c r="E2356" t="s">
        <v>16</v>
      </c>
      <c r="F2356" t="s">
        <v>134</v>
      </c>
      <c r="G2356" s="14">
        <v>90000</v>
      </c>
      <c r="H2356" s="14">
        <v>101700</v>
      </c>
      <c r="I2356" t="s">
        <v>22</v>
      </c>
      <c r="J2356" t="s">
        <v>22</v>
      </c>
      <c r="K2356" t="s">
        <v>1486</v>
      </c>
      <c r="L2356" t="s">
        <v>595</v>
      </c>
      <c r="M2356" t="s">
        <v>19</v>
      </c>
      <c r="N2356">
        <v>2</v>
      </c>
      <c r="O2356" t="s">
        <v>130</v>
      </c>
      <c r="P2356" t="s">
        <v>21</v>
      </c>
      <c r="Q2356" t="s">
        <v>30</v>
      </c>
      <c r="R2356" t="str">
        <f>VLOOKUP($O2356,'Mapa Oficinas'!$A$7:$C$46,2,FALSE)</f>
        <v>Interior - Río Negro</v>
      </c>
      <c r="S2356" t="str">
        <f>VLOOKUP($O2356,'Mapa Oficinas'!$A$7:$C$46,3,FALSE)</f>
        <v>Bariloche</v>
      </c>
    </row>
    <row r="2357" spans="1:19" x14ac:dyDescent="0.2">
      <c r="A2357" s="1">
        <v>46058</v>
      </c>
      <c r="B2357" t="s">
        <v>1502</v>
      </c>
      <c r="D2357" t="s">
        <v>1503</v>
      </c>
      <c r="E2357" t="s">
        <v>16</v>
      </c>
      <c r="F2357" t="s">
        <v>134</v>
      </c>
      <c r="G2357" s="14">
        <v>149165</v>
      </c>
      <c r="H2357" s="14">
        <v>130000</v>
      </c>
      <c r="I2357" t="s">
        <v>22</v>
      </c>
      <c r="J2357" t="s">
        <v>22</v>
      </c>
      <c r="K2357" t="s">
        <v>1477</v>
      </c>
      <c r="L2357" t="s">
        <v>136</v>
      </c>
      <c r="M2357" t="s">
        <v>19</v>
      </c>
      <c r="N2357">
        <v>2</v>
      </c>
      <c r="O2357" t="s">
        <v>130</v>
      </c>
      <c r="P2357" t="s">
        <v>21</v>
      </c>
      <c r="Q2357" t="s">
        <v>30</v>
      </c>
      <c r="R2357" t="str">
        <f>VLOOKUP($O2357,'Mapa Oficinas'!$A$7:$C$46,2,FALSE)</f>
        <v>Interior - Río Negro</v>
      </c>
      <c r="S2357" t="str">
        <f>VLOOKUP($O2357,'Mapa Oficinas'!$A$7:$C$46,3,FALSE)</f>
        <v>Bariloche</v>
      </c>
    </row>
    <row r="2358" spans="1:19" x14ac:dyDescent="0.2">
      <c r="A2358" s="1">
        <v>46058</v>
      </c>
      <c r="B2358">
        <v>5022026</v>
      </c>
      <c r="D2358" t="s">
        <v>1504</v>
      </c>
      <c r="E2358" t="s">
        <v>16</v>
      </c>
      <c r="F2358" t="s">
        <v>134</v>
      </c>
      <c r="G2358" s="14">
        <v>185000</v>
      </c>
      <c r="H2358" s="14">
        <v>185000</v>
      </c>
      <c r="I2358" t="s">
        <v>22</v>
      </c>
      <c r="J2358" t="s">
        <v>22</v>
      </c>
      <c r="L2358" t="s">
        <v>595</v>
      </c>
      <c r="M2358" t="s">
        <v>28</v>
      </c>
      <c r="N2358">
        <v>1</v>
      </c>
      <c r="O2358" t="s">
        <v>130</v>
      </c>
      <c r="P2358" t="s">
        <v>131</v>
      </c>
      <c r="Q2358" t="s">
        <v>30</v>
      </c>
      <c r="R2358" t="str">
        <f>VLOOKUP($O2358,'Mapa Oficinas'!$A$7:$C$46,2,FALSE)</f>
        <v>Interior - Río Negro</v>
      </c>
      <c r="S2358" t="str">
        <f>VLOOKUP($O2358,'Mapa Oficinas'!$A$7:$C$46,3,FALSE)</f>
        <v>Bariloche</v>
      </c>
    </row>
    <row r="2359" spans="1:19" x14ac:dyDescent="0.2">
      <c r="A2359" s="1">
        <v>46058</v>
      </c>
      <c r="B2359" t="s">
        <v>814</v>
      </c>
      <c r="D2359" t="s">
        <v>815</v>
      </c>
      <c r="E2359" t="s">
        <v>16</v>
      </c>
      <c r="F2359" t="s">
        <v>17</v>
      </c>
      <c r="G2359" s="14">
        <v>190000</v>
      </c>
      <c r="H2359" s="14">
        <v>190000</v>
      </c>
      <c r="I2359" t="s">
        <v>22</v>
      </c>
      <c r="J2359" t="s">
        <v>22</v>
      </c>
      <c r="K2359" t="s">
        <v>816</v>
      </c>
      <c r="L2359" t="s">
        <v>817</v>
      </c>
      <c r="M2359" t="s">
        <v>300</v>
      </c>
      <c r="N2359">
        <v>1</v>
      </c>
      <c r="O2359" t="s">
        <v>65</v>
      </c>
      <c r="P2359" t="s">
        <v>66</v>
      </c>
      <c r="Q2359" t="s">
        <v>30</v>
      </c>
      <c r="R2359" t="str">
        <f>VLOOKUP($O2359,'Mapa Oficinas'!$A$7:$C$46,2,FALSE)</f>
        <v>Interior - Mendoza</v>
      </c>
      <c r="S2359" t="str">
        <f>VLOOKUP($O2359,'Mapa Oficinas'!$A$7:$C$46,3,FALSE)</f>
        <v>Capital Mendoza</v>
      </c>
    </row>
    <row r="2360" spans="1:19" x14ac:dyDescent="0.2">
      <c r="A2360" s="1">
        <v>46058</v>
      </c>
      <c r="B2360" t="s">
        <v>1511</v>
      </c>
      <c r="D2360" t="s">
        <v>1512</v>
      </c>
      <c r="E2360" t="s">
        <v>16</v>
      </c>
      <c r="F2360" t="s">
        <v>17</v>
      </c>
      <c r="G2360" s="14">
        <v>320000</v>
      </c>
      <c r="H2360" s="14">
        <v>320000</v>
      </c>
      <c r="I2360" t="s">
        <v>22</v>
      </c>
      <c r="J2360" t="s">
        <v>22</v>
      </c>
      <c r="K2360" t="s">
        <v>1513</v>
      </c>
      <c r="L2360" t="s">
        <v>318</v>
      </c>
      <c r="M2360" t="s">
        <v>97</v>
      </c>
      <c r="N2360">
        <v>1</v>
      </c>
      <c r="O2360" t="s">
        <v>73</v>
      </c>
      <c r="P2360" t="s">
        <v>146</v>
      </c>
      <c r="Q2360" t="s">
        <v>30</v>
      </c>
      <c r="R2360" t="str">
        <f>VLOOKUP($O2360,'Mapa Oficinas'!$A$7:$C$46,2,FALSE)</f>
        <v>CABA</v>
      </c>
      <c r="S2360" t="str">
        <f>VLOOKUP($O2360,'Mapa Oficinas'!$A$7:$C$46,3,FALSE)</f>
        <v>Recoleta</v>
      </c>
    </row>
    <row r="2361" spans="1:19" x14ac:dyDescent="0.2">
      <c r="A2361" s="1">
        <v>46059</v>
      </c>
      <c r="B2361" t="s">
        <v>1462</v>
      </c>
      <c r="D2361" t="s">
        <v>1463</v>
      </c>
      <c r="E2361" t="s">
        <v>16</v>
      </c>
      <c r="F2361" t="s">
        <v>17</v>
      </c>
      <c r="G2361" s="14">
        <v>52000</v>
      </c>
      <c r="H2361" s="14">
        <v>52000</v>
      </c>
      <c r="I2361" t="s">
        <v>22</v>
      </c>
      <c r="J2361" t="s">
        <v>22</v>
      </c>
      <c r="K2361" t="s">
        <v>1464</v>
      </c>
      <c r="L2361" t="s">
        <v>191</v>
      </c>
      <c r="M2361" t="s">
        <v>19</v>
      </c>
      <c r="N2361">
        <v>2</v>
      </c>
      <c r="O2361" t="s">
        <v>201</v>
      </c>
      <c r="P2361" t="s">
        <v>21</v>
      </c>
      <c r="Q2361" t="s">
        <v>30</v>
      </c>
      <c r="R2361" t="str">
        <f>VLOOKUP($O2361,'Mapa Oficinas'!$A$7:$C$46,2,FALSE)</f>
        <v>CABA</v>
      </c>
      <c r="S2361" t="str">
        <f>VLOOKUP($O2361,'Mapa Oficinas'!$A$7:$C$46,3,FALSE)</f>
        <v>Recoleta</v>
      </c>
    </row>
    <row r="2362" spans="1:19" x14ac:dyDescent="0.2">
      <c r="A2362" s="1">
        <v>46059</v>
      </c>
      <c r="B2362" t="s">
        <v>1472</v>
      </c>
      <c r="D2362" t="s">
        <v>1473</v>
      </c>
      <c r="E2362" t="s">
        <v>16</v>
      </c>
      <c r="F2362" t="s">
        <v>58</v>
      </c>
      <c r="G2362" s="14">
        <v>60000</v>
      </c>
      <c r="H2362" s="14">
        <v>60000</v>
      </c>
      <c r="I2362" t="s">
        <v>22</v>
      </c>
      <c r="J2362" t="s">
        <v>22</v>
      </c>
      <c r="K2362" t="s">
        <v>1474</v>
      </c>
      <c r="L2362" t="s">
        <v>141</v>
      </c>
      <c r="M2362" t="s">
        <v>19</v>
      </c>
      <c r="N2362">
        <v>2</v>
      </c>
      <c r="O2362" t="s">
        <v>35</v>
      </c>
      <c r="P2362" t="s">
        <v>21</v>
      </c>
      <c r="Q2362" t="s">
        <v>30</v>
      </c>
      <c r="R2362" t="str">
        <f>VLOOKUP($O2362,'Mapa Oficinas'!$A$7:$C$46,2,FALSE)</f>
        <v>Zona Norte (GBA)</v>
      </c>
      <c r="S2362" t="str">
        <f>VLOOKUP($O2362,'Mapa Oficinas'!$A$7:$C$46,3,FALSE)</f>
        <v>Vicente López</v>
      </c>
    </row>
    <row r="2363" spans="1:19" x14ac:dyDescent="0.2">
      <c r="A2363" s="1">
        <v>46059</v>
      </c>
      <c r="B2363" t="s">
        <v>1478</v>
      </c>
      <c r="D2363" t="s">
        <v>1479</v>
      </c>
      <c r="E2363" t="s">
        <v>16</v>
      </c>
      <c r="F2363" t="s">
        <v>17</v>
      </c>
      <c r="G2363" s="14">
        <v>90000</v>
      </c>
      <c r="H2363" s="14">
        <v>88000</v>
      </c>
      <c r="I2363" t="s">
        <v>22</v>
      </c>
      <c r="J2363" t="s">
        <v>22</v>
      </c>
      <c r="K2363" t="s">
        <v>1480</v>
      </c>
      <c r="L2363" t="s">
        <v>419</v>
      </c>
      <c r="M2363" t="s">
        <v>19</v>
      </c>
      <c r="N2363">
        <v>1</v>
      </c>
      <c r="O2363" t="s">
        <v>65</v>
      </c>
      <c r="P2363" t="s">
        <v>66</v>
      </c>
      <c r="Q2363" t="s">
        <v>30</v>
      </c>
      <c r="R2363" t="str">
        <f>VLOOKUP($O2363,'Mapa Oficinas'!$A$7:$C$46,2,FALSE)</f>
        <v>Interior - Mendoza</v>
      </c>
      <c r="S2363" t="str">
        <f>VLOOKUP($O2363,'Mapa Oficinas'!$A$7:$C$46,3,FALSE)</f>
        <v>Capital Mendoza</v>
      </c>
    </row>
    <row r="2364" spans="1:19" x14ac:dyDescent="0.2">
      <c r="A2364" s="1">
        <v>46059</v>
      </c>
      <c r="B2364" t="s">
        <v>1475</v>
      </c>
      <c r="D2364" t="s">
        <v>1476</v>
      </c>
      <c r="E2364" t="s">
        <v>16</v>
      </c>
      <c r="F2364" t="s">
        <v>134</v>
      </c>
      <c r="G2364" s="14">
        <v>92000</v>
      </c>
      <c r="H2364" s="14">
        <v>92000</v>
      </c>
      <c r="I2364" t="s">
        <v>22</v>
      </c>
      <c r="J2364" t="s">
        <v>22</v>
      </c>
      <c r="K2364" t="s">
        <v>1477</v>
      </c>
      <c r="L2364" t="s">
        <v>136</v>
      </c>
      <c r="M2364" t="s">
        <v>19</v>
      </c>
      <c r="N2364">
        <v>2</v>
      </c>
      <c r="O2364" t="s">
        <v>130</v>
      </c>
      <c r="P2364" t="s">
        <v>21</v>
      </c>
      <c r="Q2364" t="s">
        <v>30</v>
      </c>
      <c r="R2364" t="str">
        <f>VLOOKUP($O2364,'Mapa Oficinas'!$A$7:$C$46,2,FALSE)</f>
        <v>Interior - Río Negro</v>
      </c>
      <c r="S2364" t="str">
        <f>VLOOKUP($O2364,'Mapa Oficinas'!$A$7:$C$46,3,FALSE)</f>
        <v>Bariloche</v>
      </c>
    </row>
    <row r="2365" spans="1:19" x14ac:dyDescent="0.2">
      <c r="A2365" s="1">
        <v>46059</v>
      </c>
      <c r="B2365" t="s">
        <v>1465</v>
      </c>
      <c r="D2365" t="s">
        <v>1466</v>
      </c>
      <c r="E2365" t="s">
        <v>16</v>
      </c>
      <c r="F2365" t="s">
        <v>17</v>
      </c>
      <c r="G2365" s="14">
        <v>198000</v>
      </c>
      <c r="H2365" s="14">
        <v>175000</v>
      </c>
      <c r="I2365" t="s">
        <v>22</v>
      </c>
      <c r="J2365" t="s">
        <v>22</v>
      </c>
      <c r="K2365" t="s">
        <v>1467</v>
      </c>
      <c r="L2365" t="s">
        <v>1468</v>
      </c>
      <c r="M2365" t="s">
        <v>28</v>
      </c>
      <c r="N2365">
        <v>2</v>
      </c>
      <c r="O2365" t="s">
        <v>201</v>
      </c>
      <c r="P2365" t="s">
        <v>21</v>
      </c>
      <c r="Q2365" t="s">
        <v>30</v>
      </c>
      <c r="R2365" t="str">
        <f>VLOOKUP($O2365,'Mapa Oficinas'!$A$7:$C$46,2,FALSE)</f>
        <v>CABA</v>
      </c>
      <c r="S2365" t="str">
        <f>VLOOKUP($O2365,'Mapa Oficinas'!$A$7:$C$46,3,FALSE)</f>
        <v>Recoleta</v>
      </c>
    </row>
    <row r="2366" spans="1:19" x14ac:dyDescent="0.2">
      <c r="A2366" s="1">
        <v>46059</v>
      </c>
      <c r="B2366" t="s">
        <v>1469</v>
      </c>
      <c r="D2366" t="s">
        <v>1470</v>
      </c>
      <c r="E2366" t="s">
        <v>16</v>
      </c>
      <c r="F2366" t="s">
        <v>17</v>
      </c>
      <c r="G2366" s="14">
        <v>219000</v>
      </c>
      <c r="H2366" s="14">
        <v>205000</v>
      </c>
      <c r="I2366" t="s">
        <v>22</v>
      </c>
      <c r="J2366" t="s">
        <v>22</v>
      </c>
      <c r="K2366" t="s">
        <v>1471</v>
      </c>
      <c r="L2366" t="s">
        <v>79</v>
      </c>
      <c r="M2366" t="s">
        <v>19</v>
      </c>
      <c r="N2366">
        <v>2</v>
      </c>
      <c r="O2366" t="s">
        <v>40</v>
      </c>
      <c r="P2366" t="s">
        <v>21</v>
      </c>
      <c r="Q2366" t="s">
        <v>30</v>
      </c>
      <c r="R2366" t="str">
        <f>VLOOKUP($O2366,'Mapa Oficinas'!$A$7:$C$46,2,FALSE)</f>
        <v>Zona Norte (GBA)</v>
      </c>
      <c r="S2366" t="str">
        <f>VLOOKUP($O2366,'Mapa Oficinas'!$A$7:$C$46,3,FALSE)</f>
        <v>Pilar</v>
      </c>
    </row>
    <row r="2367" spans="1:19" x14ac:dyDescent="0.2">
      <c r="A2367" s="1">
        <v>46059</v>
      </c>
      <c r="B2367" t="s">
        <v>1481</v>
      </c>
      <c r="D2367" t="s">
        <v>1482</v>
      </c>
      <c r="E2367" t="s">
        <v>16</v>
      </c>
      <c r="F2367" t="s">
        <v>17</v>
      </c>
      <c r="G2367" s="14">
        <v>235000</v>
      </c>
      <c r="H2367" s="14">
        <v>235000</v>
      </c>
      <c r="I2367" t="s">
        <v>22</v>
      </c>
      <c r="J2367" t="s">
        <v>22</v>
      </c>
      <c r="K2367" t="s">
        <v>1483</v>
      </c>
      <c r="L2367" t="s">
        <v>64</v>
      </c>
      <c r="M2367" t="s">
        <v>28</v>
      </c>
      <c r="N2367">
        <v>2</v>
      </c>
      <c r="O2367" t="s">
        <v>65</v>
      </c>
      <c r="P2367" t="s">
        <v>21</v>
      </c>
      <c r="Q2367" t="s">
        <v>30</v>
      </c>
      <c r="R2367" t="str">
        <f>VLOOKUP($O2367,'Mapa Oficinas'!$A$7:$C$46,2,FALSE)</f>
        <v>Interior - Mendoza</v>
      </c>
      <c r="S2367" t="str">
        <f>VLOOKUP($O2367,'Mapa Oficinas'!$A$7:$C$46,3,FALSE)</f>
        <v>Capital Mendoza</v>
      </c>
    </row>
    <row r="2368" spans="1:19" x14ac:dyDescent="0.2">
      <c r="A2368" s="1">
        <v>46062</v>
      </c>
      <c r="B2368" t="s">
        <v>1438</v>
      </c>
      <c r="D2368" t="s">
        <v>1439</v>
      </c>
      <c r="E2368" t="s">
        <v>16</v>
      </c>
      <c r="F2368" t="s">
        <v>17</v>
      </c>
      <c r="G2368" s="14">
        <v>38000</v>
      </c>
      <c r="H2368" s="14">
        <v>36000</v>
      </c>
      <c r="I2368" t="s">
        <v>22</v>
      </c>
      <c r="J2368" t="s">
        <v>22</v>
      </c>
      <c r="K2368" t="s">
        <v>1439</v>
      </c>
      <c r="L2368" t="s">
        <v>170</v>
      </c>
      <c r="M2368" t="s">
        <v>19</v>
      </c>
      <c r="N2368">
        <v>1</v>
      </c>
      <c r="O2368" t="s">
        <v>171</v>
      </c>
      <c r="P2368" t="s">
        <v>66</v>
      </c>
      <c r="Q2368" t="s">
        <v>30</v>
      </c>
      <c r="R2368" t="str">
        <f>VLOOKUP($O2368,'Mapa Oficinas'!$A$7:$C$46,2,FALSE)</f>
        <v>Zona Sur (GBA)</v>
      </c>
      <c r="S2368" t="str">
        <f>VLOOKUP($O2368,'Mapa Oficinas'!$A$7:$C$46,3,FALSE)</f>
        <v>La Plata</v>
      </c>
    </row>
    <row r="2369" spans="1:19" x14ac:dyDescent="0.2">
      <c r="A2369" s="1">
        <v>46062</v>
      </c>
      <c r="B2369" t="s">
        <v>1451</v>
      </c>
      <c r="D2369" t="s">
        <v>1452</v>
      </c>
      <c r="E2369" t="s">
        <v>16</v>
      </c>
      <c r="F2369" t="s">
        <v>134</v>
      </c>
      <c r="G2369" s="14">
        <v>38500</v>
      </c>
      <c r="H2369" s="14">
        <v>37000</v>
      </c>
      <c r="I2369" t="s">
        <v>22</v>
      </c>
      <c r="J2369" t="s">
        <v>22</v>
      </c>
      <c r="K2369" t="s">
        <v>1453</v>
      </c>
      <c r="L2369" t="s">
        <v>1454</v>
      </c>
      <c r="M2369" t="s">
        <v>97</v>
      </c>
      <c r="N2369">
        <v>2</v>
      </c>
      <c r="O2369" t="s">
        <v>130</v>
      </c>
      <c r="P2369" t="s">
        <v>21</v>
      </c>
      <c r="Q2369" t="s">
        <v>30</v>
      </c>
      <c r="R2369" t="str">
        <f>VLOOKUP($O2369,'Mapa Oficinas'!$A$7:$C$46,2,FALSE)</f>
        <v>Interior - Río Negro</v>
      </c>
      <c r="S2369" t="str">
        <f>VLOOKUP($O2369,'Mapa Oficinas'!$A$7:$C$46,3,FALSE)</f>
        <v>Bariloche</v>
      </c>
    </row>
    <row r="2370" spans="1:19" x14ac:dyDescent="0.2">
      <c r="A2370" s="1">
        <v>46062</v>
      </c>
      <c r="B2370" t="s">
        <v>1424</v>
      </c>
      <c r="D2370" t="s">
        <v>1425</v>
      </c>
      <c r="E2370" t="s">
        <v>16</v>
      </c>
      <c r="F2370" t="s">
        <v>47</v>
      </c>
      <c r="G2370" s="14">
        <v>64900</v>
      </c>
      <c r="H2370" s="14">
        <v>60000</v>
      </c>
      <c r="I2370" t="s">
        <v>22</v>
      </c>
      <c r="J2370" t="s">
        <v>22</v>
      </c>
      <c r="K2370" t="s">
        <v>1426</v>
      </c>
      <c r="L2370" t="s">
        <v>901</v>
      </c>
      <c r="M2370" t="s">
        <v>19</v>
      </c>
      <c r="N2370">
        <v>2</v>
      </c>
      <c r="O2370" t="s">
        <v>50</v>
      </c>
      <c r="P2370" t="s">
        <v>21</v>
      </c>
      <c r="Q2370" t="s">
        <v>30</v>
      </c>
      <c r="R2370" t="str">
        <f>VLOOKUP($O2370,'Mapa Oficinas'!$A$7:$C$46,2,FALSE)</f>
        <v>CABA</v>
      </c>
      <c r="S2370" t="str">
        <f>VLOOKUP($O2370,'Mapa Oficinas'!$A$7:$C$46,3,FALSE)</f>
        <v>Villa Urquiza</v>
      </c>
    </row>
    <row r="2371" spans="1:19" x14ac:dyDescent="0.2">
      <c r="A2371" s="1">
        <v>46062</v>
      </c>
      <c r="B2371" t="s">
        <v>1434</v>
      </c>
      <c r="D2371" t="s">
        <v>1435</v>
      </c>
      <c r="E2371" t="s">
        <v>16</v>
      </c>
      <c r="F2371" t="s">
        <v>17</v>
      </c>
      <c r="G2371" s="14">
        <v>68000</v>
      </c>
      <c r="H2371" s="14">
        <v>65000</v>
      </c>
      <c r="I2371" t="s">
        <v>22</v>
      </c>
      <c r="J2371" t="s">
        <v>22</v>
      </c>
      <c r="K2371" t="s">
        <v>1436</v>
      </c>
      <c r="L2371" t="s">
        <v>1437</v>
      </c>
      <c r="M2371" t="s">
        <v>19</v>
      </c>
      <c r="N2371">
        <v>2</v>
      </c>
      <c r="O2371" t="s">
        <v>389</v>
      </c>
      <c r="P2371" t="s">
        <v>21</v>
      </c>
      <c r="Q2371" t="s">
        <v>30</v>
      </c>
      <c r="R2371" t="str">
        <f>VLOOKUP($O2371,'Mapa Oficinas'!$A$7:$C$46,2,FALSE)</f>
        <v>Zona Norte (GBA)</v>
      </c>
      <c r="S2371" t="str">
        <f>VLOOKUP($O2371,'Mapa Oficinas'!$A$7:$C$46,3,FALSE)</f>
        <v>Escobar</v>
      </c>
    </row>
    <row r="2372" spans="1:19" x14ac:dyDescent="0.2">
      <c r="A2372" s="1">
        <v>46062</v>
      </c>
      <c r="D2372" t="s">
        <v>1455</v>
      </c>
      <c r="E2372" t="s">
        <v>16</v>
      </c>
      <c r="F2372" t="s">
        <v>17</v>
      </c>
      <c r="G2372" s="14">
        <v>73000</v>
      </c>
      <c r="H2372" s="14">
        <v>73000</v>
      </c>
      <c r="I2372" t="s">
        <v>22</v>
      </c>
      <c r="J2372" t="s">
        <v>22</v>
      </c>
      <c r="L2372" t="s">
        <v>851</v>
      </c>
      <c r="M2372" t="s">
        <v>28</v>
      </c>
      <c r="N2372">
        <v>1</v>
      </c>
      <c r="O2372" t="s">
        <v>65</v>
      </c>
      <c r="P2372" t="s">
        <v>131</v>
      </c>
      <c r="Q2372" t="s">
        <v>30</v>
      </c>
      <c r="R2372" t="str">
        <f>VLOOKUP($O2372,'Mapa Oficinas'!$A$7:$C$46,2,FALSE)</f>
        <v>Interior - Mendoza</v>
      </c>
      <c r="S2372" t="str">
        <f>VLOOKUP($O2372,'Mapa Oficinas'!$A$7:$C$46,3,FALSE)</f>
        <v>Capital Mendoza</v>
      </c>
    </row>
    <row r="2373" spans="1:19" x14ac:dyDescent="0.2">
      <c r="A2373" s="1">
        <v>46062</v>
      </c>
      <c r="B2373" t="s">
        <v>1456</v>
      </c>
      <c r="D2373" t="s">
        <v>1457</v>
      </c>
      <c r="E2373" t="s">
        <v>16</v>
      </c>
      <c r="F2373" t="s">
        <v>82</v>
      </c>
      <c r="G2373" s="14">
        <v>90000</v>
      </c>
      <c r="H2373" s="14">
        <v>90000</v>
      </c>
      <c r="I2373" t="s">
        <v>22</v>
      </c>
      <c r="J2373" t="s">
        <v>22</v>
      </c>
      <c r="K2373" t="s">
        <v>1458</v>
      </c>
      <c r="L2373" t="s">
        <v>821</v>
      </c>
      <c r="M2373" t="s">
        <v>97</v>
      </c>
      <c r="N2373">
        <v>1</v>
      </c>
      <c r="O2373" t="s">
        <v>151</v>
      </c>
      <c r="P2373" t="s">
        <v>131</v>
      </c>
      <c r="Q2373" t="s">
        <v>30</v>
      </c>
      <c r="R2373" t="str">
        <f>VLOOKUP($O2373,'Mapa Oficinas'!$A$7:$C$46,2,FALSE)</f>
        <v>Interior - Neuquén</v>
      </c>
      <c r="S2373" t="str">
        <f>VLOOKUP($O2373,'Mapa Oficinas'!$A$7:$C$46,3,FALSE)</f>
        <v>Capital Neuquén</v>
      </c>
    </row>
    <row r="2374" spans="1:19" x14ac:dyDescent="0.2">
      <c r="A2374" s="1">
        <v>46062</v>
      </c>
      <c r="B2374" t="s">
        <v>1443</v>
      </c>
      <c r="D2374" t="s">
        <v>1444</v>
      </c>
      <c r="E2374" t="s">
        <v>16</v>
      </c>
      <c r="F2374" t="s">
        <v>17</v>
      </c>
      <c r="G2374" s="14">
        <v>115000</v>
      </c>
      <c r="H2374" s="14">
        <v>95000</v>
      </c>
      <c r="I2374" t="s">
        <v>22</v>
      </c>
      <c r="J2374" t="s">
        <v>22</v>
      </c>
      <c r="K2374" t="s">
        <v>1445</v>
      </c>
      <c r="L2374" t="s">
        <v>1017</v>
      </c>
      <c r="M2374" t="s">
        <v>19</v>
      </c>
      <c r="N2374">
        <v>2</v>
      </c>
      <c r="O2374" t="s">
        <v>73</v>
      </c>
      <c r="P2374" t="s">
        <v>21</v>
      </c>
      <c r="Q2374" t="s">
        <v>30</v>
      </c>
      <c r="R2374" t="str">
        <f>VLOOKUP($O2374,'Mapa Oficinas'!$A$7:$C$46,2,FALSE)</f>
        <v>CABA</v>
      </c>
      <c r="S2374" t="str">
        <f>VLOOKUP($O2374,'Mapa Oficinas'!$A$7:$C$46,3,FALSE)</f>
        <v>Recoleta</v>
      </c>
    </row>
    <row r="2375" spans="1:19" x14ac:dyDescent="0.2">
      <c r="A2375" s="1">
        <v>46062</v>
      </c>
      <c r="B2375" t="s">
        <v>1428</v>
      </c>
      <c r="D2375" t="s">
        <v>1429</v>
      </c>
      <c r="E2375" t="s">
        <v>16</v>
      </c>
      <c r="F2375" t="s">
        <v>17</v>
      </c>
      <c r="G2375" s="14">
        <v>125000</v>
      </c>
      <c r="H2375" s="14">
        <v>118000</v>
      </c>
      <c r="I2375" t="s">
        <v>22</v>
      </c>
      <c r="J2375" t="s">
        <v>22</v>
      </c>
      <c r="K2375" t="s">
        <v>1430</v>
      </c>
      <c r="L2375" t="s">
        <v>318</v>
      </c>
      <c r="M2375" t="s">
        <v>72</v>
      </c>
      <c r="N2375">
        <v>2</v>
      </c>
      <c r="O2375" t="s">
        <v>35</v>
      </c>
      <c r="P2375" t="s">
        <v>21</v>
      </c>
      <c r="Q2375" t="s">
        <v>30</v>
      </c>
      <c r="R2375" t="str">
        <f>VLOOKUP($O2375,'Mapa Oficinas'!$A$7:$C$46,2,FALSE)</f>
        <v>Zona Norte (GBA)</v>
      </c>
      <c r="S2375" t="str">
        <f>VLOOKUP($O2375,'Mapa Oficinas'!$A$7:$C$46,3,FALSE)</f>
        <v>Vicente López</v>
      </c>
    </row>
    <row r="2376" spans="1:19" x14ac:dyDescent="0.2">
      <c r="A2376" s="1">
        <v>46062</v>
      </c>
      <c r="B2376" t="s">
        <v>1431</v>
      </c>
      <c r="D2376" t="s">
        <v>1432</v>
      </c>
      <c r="E2376" t="s">
        <v>16</v>
      </c>
      <c r="F2376" t="s">
        <v>17</v>
      </c>
      <c r="G2376" s="14">
        <v>135000</v>
      </c>
      <c r="H2376" s="14">
        <v>124000</v>
      </c>
      <c r="I2376" t="s">
        <v>22</v>
      </c>
      <c r="J2376" t="s">
        <v>22</v>
      </c>
      <c r="K2376" t="s">
        <v>1433</v>
      </c>
      <c r="L2376" t="s">
        <v>564</v>
      </c>
      <c r="M2376" t="s">
        <v>19</v>
      </c>
      <c r="N2376">
        <v>2</v>
      </c>
      <c r="O2376" t="s">
        <v>201</v>
      </c>
      <c r="P2376" t="s">
        <v>21</v>
      </c>
      <c r="Q2376" t="s">
        <v>30</v>
      </c>
      <c r="R2376" t="str">
        <f>VLOOKUP($O2376,'Mapa Oficinas'!$A$7:$C$46,2,FALSE)</f>
        <v>CABA</v>
      </c>
      <c r="S2376" t="str">
        <f>VLOOKUP($O2376,'Mapa Oficinas'!$A$7:$C$46,3,FALSE)</f>
        <v>Recoleta</v>
      </c>
    </row>
    <row r="2377" spans="1:19" x14ac:dyDescent="0.2">
      <c r="A2377" s="1">
        <v>46062</v>
      </c>
      <c r="B2377" t="s">
        <v>1446</v>
      </c>
      <c r="D2377" t="s">
        <v>1447</v>
      </c>
      <c r="E2377" t="s">
        <v>16</v>
      </c>
      <c r="F2377" t="s">
        <v>17</v>
      </c>
      <c r="G2377" s="14">
        <v>136000</v>
      </c>
      <c r="H2377" s="14">
        <v>136000</v>
      </c>
      <c r="I2377" t="s">
        <v>22</v>
      </c>
      <c r="J2377" t="s">
        <v>22</v>
      </c>
      <c r="K2377" t="s">
        <v>1448</v>
      </c>
      <c r="L2377" t="s">
        <v>1449</v>
      </c>
      <c r="M2377" t="s">
        <v>19</v>
      </c>
      <c r="N2377">
        <v>1</v>
      </c>
      <c r="O2377" t="s">
        <v>73</v>
      </c>
      <c r="P2377" t="s">
        <v>146</v>
      </c>
      <c r="Q2377" t="s">
        <v>30</v>
      </c>
      <c r="R2377" t="str">
        <f>VLOOKUP($O2377,'Mapa Oficinas'!$A$7:$C$46,2,FALSE)</f>
        <v>CABA</v>
      </c>
      <c r="S2377" t="str">
        <f>VLOOKUP($O2377,'Mapa Oficinas'!$A$7:$C$46,3,FALSE)</f>
        <v>Recoleta</v>
      </c>
    </row>
    <row r="2378" spans="1:19" x14ac:dyDescent="0.2">
      <c r="A2378" s="1">
        <v>46062</v>
      </c>
      <c r="B2378" t="s">
        <v>1440</v>
      </c>
      <c r="D2378" t="s">
        <v>1441</v>
      </c>
      <c r="E2378" t="s">
        <v>16</v>
      </c>
      <c r="F2378" t="s">
        <v>17</v>
      </c>
      <c r="G2378" s="14">
        <v>240000</v>
      </c>
      <c r="H2378" s="14">
        <v>240000</v>
      </c>
      <c r="I2378" t="s">
        <v>22</v>
      </c>
      <c r="J2378" t="s">
        <v>22</v>
      </c>
      <c r="K2378" t="s">
        <v>1441</v>
      </c>
      <c r="L2378" t="s">
        <v>1442</v>
      </c>
      <c r="M2378" t="s">
        <v>28</v>
      </c>
      <c r="N2378">
        <v>2</v>
      </c>
      <c r="O2378" t="s">
        <v>142</v>
      </c>
      <c r="P2378" t="s">
        <v>21</v>
      </c>
      <c r="Q2378" t="s">
        <v>30</v>
      </c>
      <c r="R2378" t="str">
        <f>VLOOKUP($O2378,'Mapa Oficinas'!$A$7:$C$46,2,FALSE)</f>
        <v>Zona Norte (GBA)</v>
      </c>
      <c r="S2378" t="str">
        <f>VLOOKUP($O2378,'Mapa Oficinas'!$A$7:$C$46,3,FALSE)</f>
        <v>Nordelta</v>
      </c>
    </row>
    <row r="2379" spans="1:19" x14ac:dyDescent="0.2">
      <c r="A2379" s="1">
        <v>46063</v>
      </c>
      <c r="B2379" t="s">
        <v>1408</v>
      </c>
      <c r="D2379" t="s">
        <v>1409</v>
      </c>
      <c r="E2379" t="s">
        <v>16</v>
      </c>
      <c r="F2379" t="s">
        <v>17</v>
      </c>
      <c r="G2379" s="14">
        <v>65000</v>
      </c>
      <c r="H2379" s="14">
        <v>65000</v>
      </c>
      <c r="I2379" t="s">
        <v>22</v>
      </c>
      <c r="J2379" t="s">
        <v>22</v>
      </c>
      <c r="K2379" t="s">
        <v>1410</v>
      </c>
      <c r="L2379" t="s">
        <v>1411</v>
      </c>
      <c r="M2379" t="s">
        <v>28</v>
      </c>
      <c r="N2379">
        <v>2</v>
      </c>
      <c r="O2379" t="s">
        <v>20</v>
      </c>
      <c r="P2379" t="s">
        <v>21</v>
      </c>
      <c r="Q2379" t="s">
        <v>30</v>
      </c>
      <c r="R2379" t="str">
        <f>VLOOKUP($O2379,'Mapa Oficinas'!$A$7:$C$46,2,FALSE)</f>
        <v>CABA</v>
      </c>
      <c r="S2379" t="str">
        <f>VLOOKUP($O2379,'Mapa Oficinas'!$A$7:$C$46,3,FALSE)</f>
        <v>Palermo</v>
      </c>
    </row>
    <row r="2380" spans="1:19" x14ac:dyDescent="0.2">
      <c r="A2380" s="1">
        <v>46063</v>
      </c>
      <c r="B2380">
        <v>10609</v>
      </c>
      <c r="D2380" t="s">
        <v>1413</v>
      </c>
      <c r="E2380" t="s">
        <v>16</v>
      </c>
      <c r="F2380" t="s">
        <v>17</v>
      </c>
      <c r="G2380" s="14">
        <v>75000</v>
      </c>
      <c r="H2380" s="14">
        <v>75000</v>
      </c>
      <c r="I2380" t="s">
        <v>22</v>
      </c>
      <c r="J2380" t="s">
        <v>22</v>
      </c>
      <c r="K2380" t="s">
        <v>1413</v>
      </c>
      <c r="L2380" t="s">
        <v>79</v>
      </c>
      <c r="M2380" t="s">
        <v>19</v>
      </c>
      <c r="N2380">
        <v>1</v>
      </c>
      <c r="O2380" t="s">
        <v>103</v>
      </c>
      <c r="P2380" t="s">
        <v>146</v>
      </c>
      <c r="Q2380" t="s">
        <v>30</v>
      </c>
      <c r="R2380" t="str">
        <f>VLOOKUP($O2380,'Mapa Oficinas'!$A$7:$C$46,2,FALSE)</f>
        <v>CABA</v>
      </c>
      <c r="S2380" t="str">
        <f>VLOOKUP($O2380,'Mapa Oficinas'!$A$7:$C$46,3,FALSE)</f>
        <v>Barrio Parque</v>
      </c>
    </row>
    <row r="2381" spans="1:19" x14ac:dyDescent="0.2">
      <c r="A2381" s="1">
        <v>46063</v>
      </c>
      <c r="B2381">
        <v>10695</v>
      </c>
      <c r="D2381" t="s">
        <v>1414</v>
      </c>
      <c r="E2381" t="s">
        <v>16</v>
      </c>
      <c r="F2381" t="s">
        <v>17</v>
      </c>
      <c r="G2381" s="14">
        <v>75000</v>
      </c>
      <c r="H2381" s="14">
        <v>75000</v>
      </c>
      <c r="I2381" t="s">
        <v>22</v>
      </c>
      <c r="J2381" t="s">
        <v>22</v>
      </c>
      <c r="K2381" t="s">
        <v>1414</v>
      </c>
      <c r="L2381" t="s">
        <v>79</v>
      </c>
      <c r="M2381" t="s">
        <v>19</v>
      </c>
      <c r="N2381">
        <v>1</v>
      </c>
      <c r="O2381" t="s">
        <v>103</v>
      </c>
      <c r="P2381" t="s">
        <v>146</v>
      </c>
      <c r="Q2381" t="s">
        <v>30</v>
      </c>
      <c r="R2381" t="str">
        <f>VLOOKUP($O2381,'Mapa Oficinas'!$A$7:$C$46,2,FALSE)</f>
        <v>CABA</v>
      </c>
      <c r="S2381" t="str">
        <f>VLOOKUP($O2381,'Mapa Oficinas'!$A$7:$C$46,3,FALSE)</f>
        <v>Barrio Parque</v>
      </c>
    </row>
    <row r="2382" spans="1:19" x14ac:dyDescent="0.2">
      <c r="A2382" s="1">
        <v>46063</v>
      </c>
      <c r="B2382" t="s">
        <v>1415</v>
      </c>
      <c r="D2382" t="s">
        <v>1416</v>
      </c>
      <c r="E2382" t="s">
        <v>16</v>
      </c>
      <c r="F2382" t="s">
        <v>82</v>
      </c>
      <c r="G2382" s="14">
        <v>115000</v>
      </c>
      <c r="H2382" s="14">
        <v>93000</v>
      </c>
      <c r="I2382" t="s">
        <v>22</v>
      </c>
      <c r="J2382" t="s">
        <v>22</v>
      </c>
      <c r="K2382" t="s">
        <v>1417</v>
      </c>
      <c r="L2382" t="s">
        <v>54</v>
      </c>
      <c r="M2382" t="s">
        <v>28</v>
      </c>
      <c r="N2382">
        <v>1</v>
      </c>
      <c r="O2382" t="s">
        <v>55</v>
      </c>
      <c r="P2382" t="s">
        <v>66</v>
      </c>
      <c r="Q2382" t="s">
        <v>30</v>
      </c>
      <c r="R2382" t="str">
        <f>VLOOKUP($O2382,'Mapa Oficinas'!$A$7:$C$46,2,FALSE)</f>
        <v>Interior - Santa Fe</v>
      </c>
      <c r="S2382" t="str">
        <f>VLOOKUP($O2382,'Mapa Oficinas'!$A$7:$C$46,3,FALSE)</f>
        <v>Capital Santa Fe</v>
      </c>
    </row>
    <row r="2383" spans="1:19" x14ac:dyDescent="0.2">
      <c r="A2383" s="1">
        <v>46063</v>
      </c>
      <c r="B2383" t="s">
        <v>1418</v>
      </c>
      <c r="D2383" t="s">
        <v>1419</v>
      </c>
      <c r="E2383" t="s">
        <v>16</v>
      </c>
      <c r="F2383" t="s">
        <v>38</v>
      </c>
      <c r="G2383" s="14">
        <v>130000</v>
      </c>
      <c r="H2383" s="14">
        <v>130000</v>
      </c>
      <c r="I2383" t="s">
        <v>22</v>
      </c>
      <c r="J2383" t="s">
        <v>22</v>
      </c>
      <c r="K2383" t="s">
        <v>1420</v>
      </c>
      <c r="L2383" t="s">
        <v>366</v>
      </c>
      <c r="M2383" t="s">
        <v>19</v>
      </c>
      <c r="N2383">
        <v>2</v>
      </c>
      <c r="O2383" t="s">
        <v>367</v>
      </c>
      <c r="P2383" t="s">
        <v>21</v>
      </c>
      <c r="Q2383" t="s">
        <v>30</v>
      </c>
      <c r="R2383" t="str">
        <f>VLOOKUP($O2383,'Mapa Oficinas'!$A$7:$C$46,2,FALSE)</f>
        <v>Interior - Neuquén</v>
      </c>
      <c r="S2383" t="str">
        <f>VLOOKUP($O2383,'Mapa Oficinas'!$A$7:$C$46,3,FALSE)</f>
        <v>San Martín de los Andes</v>
      </c>
    </row>
    <row r="2384" spans="1:19" x14ac:dyDescent="0.2">
      <c r="A2384" s="1">
        <v>46063</v>
      </c>
      <c r="B2384" t="s">
        <v>1421</v>
      </c>
      <c r="D2384" t="s">
        <v>1422</v>
      </c>
      <c r="E2384" t="s">
        <v>16</v>
      </c>
      <c r="F2384" t="s">
        <v>47</v>
      </c>
      <c r="G2384" s="14">
        <v>185000</v>
      </c>
      <c r="H2384" s="14">
        <v>175000</v>
      </c>
      <c r="I2384" t="s">
        <v>22</v>
      </c>
      <c r="J2384" t="s">
        <v>22</v>
      </c>
      <c r="K2384" t="s">
        <v>1423</v>
      </c>
      <c r="L2384" t="s">
        <v>195</v>
      </c>
      <c r="M2384" t="s">
        <v>19</v>
      </c>
      <c r="N2384">
        <v>2</v>
      </c>
      <c r="O2384" t="s">
        <v>73</v>
      </c>
      <c r="P2384" t="s">
        <v>276</v>
      </c>
      <c r="Q2384" t="s">
        <v>30</v>
      </c>
      <c r="R2384" t="str">
        <f>VLOOKUP($O2384,'Mapa Oficinas'!$A$7:$C$46,2,FALSE)</f>
        <v>CABA</v>
      </c>
      <c r="S2384" t="str">
        <f>VLOOKUP($O2384,'Mapa Oficinas'!$A$7:$C$46,3,FALSE)</f>
        <v>Recoleta</v>
      </c>
    </row>
    <row r="2385" spans="1:19" x14ac:dyDescent="0.2">
      <c r="A2385" s="1">
        <v>46063</v>
      </c>
      <c r="B2385" t="s">
        <v>1392</v>
      </c>
      <c r="D2385" t="s">
        <v>1393</v>
      </c>
      <c r="E2385" t="s">
        <v>16</v>
      </c>
      <c r="F2385" t="s">
        <v>17</v>
      </c>
      <c r="G2385" s="14">
        <v>195000</v>
      </c>
      <c r="H2385" s="14">
        <v>183000</v>
      </c>
      <c r="I2385" t="s">
        <v>22</v>
      </c>
      <c r="J2385" t="s">
        <v>22</v>
      </c>
      <c r="K2385" t="s">
        <v>1394</v>
      </c>
      <c r="L2385" t="s">
        <v>1395</v>
      </c>
      <c r="M2385" t="s">
        <v>28</v>
      </c>
      <c r="N2385">
        <v>2</v>
      </c>
      <c r="O2385" t="s">
        <v>50</v>
      </c>
      <c r="P2385" t="s">
        <v>21</v>
      </c>
      <c r="Q2385" t="s">
        <v>30</v>
      </c>
      <c r="R2385" t="str">
        <f>VLOOKUP($O2385,'Mapa Oficinas'!$A$7:$C$46,2,FALSE)</f>
        <v>CABA</v>
      </c>
      <c r="S2385" t="str">
        <f>VLOOKUP($O2385,'Mapa Oficinas'!$A$7:$C$46,3,FALSE)</f>
        <v>Villa Urquiza</v>
      </c>
    </row>
    <row r="2386" spans="1:19" x14ac:dyDescent="0.2">
      <c r="A2386" s="1">
        <v>46063</v>
      </c>
      <c r="B2386" t="s">
        <v>1396</v>
      </c>
      <c r="D2386" t="s">
        <v>1397</v>
      </c>
      <c r="E2386" t="s">
        <v>16</v>
      </c>
      <c r="F2386" t="s">
        <v>38</v>
      </c>
      <c r="G2386" s="14">
        <v>210000</v>
      </c>
      <c r="H2386" s="14">
        <v>205000</v>
      </c>
      <c r="I2386" t="s">
        <v>22</v>
      </c>
      <c r="J2386" t="s">
        <v>22</v>
      </c>
      <c r="K2386" t="s">
        <v>1398</v>
      </c>
      <c r="L2386" t="s">
        <v>1399</v>
      </c>
      <c r="M2386" t="s">
        <v>97</v>
      </c>
      <c r="N2386">
        <v>2</v>
      </c>
      <c r="O2386" t="s">
        <v>40</v>
      </c>
      <c r="P2386" t="s">
        <v>44</v>
      </c>
      <c r="Q2386" t="s">
        <v>30</v>
      </c>
      <c r="R2386" t="str">
        <f>VLOOKUP($O2386,'Mapa Oficinas'!$A$7:$C$46,2,FALSE)</f>
        <v>Zona Norte (GBA)</v>
      </c>
      <c r="S2386" t="str">
        <f>VLOOKUP($O2386,'Mapa Oficinas'!$A$7:$C$46,3,FALSE)</f>
        <v>Pilar</v>
      </c>
    </row>
    <row r="2387" spans="1:19" x14ac:dyDescent="0.2">
      <c r="A2387" s="1">
        <v>46063</v>
      </c>
      <c r="B2387" t="s">
        <v>1400</v>
      </c>
      <c r="D2387" t="s">
        <v>1401</v>
      </c>
      <c r="E2387" t="s">
        <v>16</v>
      </c>
      <c r="F2387" t="s">
        <v>17</v>
      </c>
      <c r="G2387" s="14">
        <v>245000</v>
      </c>
      <c r="H2387" s="14">
        <v>259000</v>
      </c>
      <c r="I2387" t="s">
        <v>22</v>
      </c>
      <c r="J2387" t="s">
        <v>22</v>
      </c>
      <c r="K2387" t="s">
        <v>1402</v>
      </c>
      <c r="L2387" t="s">
        <v>1403</v>
      </c>
      <c r="M2387" t="s">
        <v>28</v>
      </c>
      <c r="N2387">
        <v>2</v>
      </c>
      <c r="O2387" t="s">
        <v>142</v>
      </c>
      <c r="P2387" t="s">
        <v>21</v>
      </c>
      <c r="Q2387" t="s">
        <v>30</v>
      </c>
      <c r="R2387" t="str">
        <f>VLOOKUP($O2387,'Mapa Oficinas'!$A$7:$C$46,2,FALSE)</f>
        <v>Zona Norte (GBA)</v>
      </c>
      <c r="S2387" t="str">
        <f>VLOOKUP($O2387,'Mapa Oficinas'!$A$7:$C$46,3,FALSE)</f>
        <v>Nordelta</v>
      </c>
    </row>
    <row r="2388" spans="1:19" x14ac:dyDescent="0.2">
      <c r="A2388" s="1">
        <v>46064</v>
      </c>
      <c r="B2388" t="s">
        <v>1389</v>
      </c>
      <c r="D2388" t="s">
        <v>1390</v>
      </c>
      <c r="E2388" t="s">
        <v>16</v>
      </c>
      <c r="F2388" t="s">
        <v>17</v>
      </c>
      <c r="G2388" s="14">
        <v>79500</v>
      </c>
      <c r="H2388" s="14">
        <v>75000</v>
      </c>
      <c r="I2388" t="s">
        <v>22</v>
      </c>
      <c r="J2388" t="s">
        <v>22</v>
      </c>
      <c r="K2388" t="s">
        <v>1391</v>
      </c>
      <c r="L2388" t="s">
        <v>71</v>
      </c>
      <c r="M2388" t="s">
        <v>19</v>
      </c>
      <c r="N2388">
        <v>2</v>
      </c>
      <c r="O2388" t="s">
        <v>116</v>
      </c>
      <c r="P2388" t="s">
        <v>21</v>
      </c>
      <c r="Q2388" t="s">
        <v>30</v>
      </c>
      <c r="R2388" t="str">
        <f>VLOOKUP($O2388,'Mapa Oficinas'!$A$7:$C$46,2,FALSE)</f>
        <v>CABA</v>
      </c>
      <c r="S2388" t="str">
        <f>VLOOKUP($O2388,'Mapa Oficinas'!$A$7:$C$46,3,FALSE)</f>
        <v>Puerto Madero</v>
      </c>
    </row>
    <row r="2389" spans="1:19" x14ac:dyDescent="0.2">
      <c r="A2389" s="1">
        <v>46064</v>
      </c>
      <c r="B2389" t="s">
        <v>1386</v>
      </c>
      <c r="D2389" t="s">
        <v>1387</v>
      </c>
      <c r="E2389" t="s">
        <v>16</v>
      </c>
      <c r="F2389" t="s">
        <v>17</v>
      </c>
      <c r="G2389" s="14">
        <v>80000</v>
      </c>
      <c r="H2389" s="14">
        <v>75000</v>
      </c>
      <c r="I2389" t="s">
        <v>22</v>
      </c>
      <c r="J2389" t="s">
        <v>22</v>
      </c>
      <c r="K2389" t="s">
        <v>1388</v>
      </c>
      <c r="L2389" t="s">
        <v>79</v>
      </c>
      <c r="M2389" t="s">
        <v>19</v>
      </c>
      <c r="N2389">
        <v>2</v>
      </c>
      <c r="O2389" t="s">
        <v>20</v>
      </c>
      <c r="P2389" t="s">
        <v>21</v>
      </c>
      <c r="Q2389" t="s">
        <v>30</v>
      </c>
      <c r="R2389" t="str">
        <f>VLOOKUP($O2389,'Mapa Oficinas'!$A$7:$C$46,2,FALSE)</f>
        <v>CABA</v>
      </c>
      <c r="S2389" t="str">
        <f>VLOOKUP($O2389,'Mapa Oficinas'!$A$7:$C$46,3,FALSE)</f>
        <v>Palermo</v>
      </c>
    </row>
    <row r="2390" spans="1:19" x14ac:dyDescent="0.2">
      <c r="A2390" s="1">
        <v>46064</v>
      </c>
      <c r="B2390" t="s">
        <v>1369</v>
      </c>
      <c r="D2390" t="s">
        <v>1370</v>
      </c>
      <c r="E2390" t="s">
        <v>16</v>
      </c>
      <c r="F2390" t="s">
        <v>17</v>
      </c>
      <c r="G2390" s="14">
        <v>79000</v>
      </c>
      <c r="H2390" s="14">
        <v>77300</v>
      </c>
      <c r="I2390" t="s">
        <v>22</v>
      </c>
      <c r="J2390" t="s">
        <v>22</v>
      </c>
      <c r="K2390" t="s">
        <v>1371</v>
      </c>
      <c r="L2390" t="s">
        <v>569</v>
      </c>
      <c r="M2390" t="s">
        <v>19</v>
      </c>
      <c r="N2390">
        <v>2</v>
      </c>
      <c r="O2390" t="s">
        <v>35</v>
      </c>
      <c r="P2390" t="s">
        <v>21</v>
      </c>
      <c r="Q2390" t="s">
        <v>30</v>
      </c>
      <c r="R2390" t="str">
        <f>VLOOKUP($O2390,'Mapa Oficinas'!$A$7:$C$46,2,FALSE)</f>
        <v>Zona Norte (GBA)</v>
      </c>
      <c r="S2390" t="str">
        <f>VLOOKUP($O2390,'Mapa Oficinas'!$A$7:$C$46,3,FALSE)</f>
        <v>Vicente López</v>
      </c>
    </row>
    <row r="2391" spans="1:19" x14ac:dyDescent="0.2">
      <c r="A2391" s="1">
        <v>46064</v>
      </c>
      <c r="B2391" t="s">
        <v>1380</v>
      </c>
      <c r="D2391" t="s">
        <v>1381</v>
      </c>
      <c r="E2391" t="s">
        <v>16</v>
      </c>
      <c r="F2391" t="s">
        <v>17</v>
      </c>
      <c r="G2391" s="14">
        <v>84000</v>
      </c>
      <c r="H2391" s="14">
        <v>81000</v>
      </c>
      <c r="I2391" t="s">
        <v>22</v>
      </c>
      <c r="J2391" t="s">
        <v>22</v>
      </c>
      <c r="K2391" t="s">
        <v>1382</v>
      </c>
      <c r="L2391" t="s">
        <v>205</v>
      </c>
      <c r="M2391" t="s">
        <v>19</v>
      </c>
      <c r="N2391">
        <v>2</v>
      </c>
      <c r="O2391" t="s">
        <v>201</v>
      </c>
      <c r="P2391" t="s">
        <v>276</v>
      </c>
      <c r="Q2391" t="s">
        <v>30</v>
      </c>
      <c r="R2391" t="str">
        <f>VLOOKUP($O2391,'Mapa Oficinas'!$A$7:$C$46,2,FALSE)</f>
        <v>CABA</v>
      </c>
      <c r="S2391" t="str">
        <f>VLOOKUP($O2391,'Mapa Oficinas'!$A$7:$C$46,3,FALSE)</f>
        <v>Recoleta</v>
      </c>
    </row>
    <row r="2392" spans="1:19" x14ac:dyDescent="0.2">
      <c r="A2392" s="1">
        <v>46064</v>
      </c>
      <c r="B2392" t="s">
        <v>1372</v>
      </c>
      <c r="D2392" t="s">
        <v>1373</v>
      </c>
      <c r="E2392" t="s">
        <v>16</v>
      </c>
      <c r="F2392" t="s">
        <v>17</v>
      </c>
      <c r="G2392" s="14">
        <v>87000</v>
      </c>
      <c r="H2392" s="14">
        <v>87000</v>
      </c>
      <c r="I2392" t="s">
        <v>22</v>
      </c>
      <c r="J2392" t="s">
        <v>22</v>
      </c>
      <c r="K2392" t="s">
        <v>1374</v>
      </c>
      <c r="L2392" t="s">
        <v>1375</v>
      </c>
      <c r="M2392" t="s">
        <v>19</v>
      </c>
      <c r="N2392">
        <v>2</v>
      </c>
      <c r="O2392" t="s">
        <v>35</v>
      </c>
      <c r="P2392" t="s">
        <v>21</v>
      </c>
      <c r="Q2392" t="s">
        <v>30</v>
      </c>
      <c r="R2392" t="str">
        <f>VLOOKUP($O2392,'Mapa Oficinas'!$A$7:$C$46,2,FALSE)</f>
        <v>Zona Norte (GBA)</v>
      </c>
      <c r="S2392" t="str">
        <f>VLOOKUP($O2392,'Mapa Oficinas'!$A$7:$C$46,3,FALSE)</f>
        <v>Vicente López</v>
      </c>
    </row>
    <row r="2393" spans="1:19" x14ac:dyDescent="0.2">
      <c r="A2393" s="1">
        <v>46064</v>
      </c>
      <c r="D2393" t="s">
        <v>1366</v>
      </c>
      <c r="E2393" t="s">
        <v>16</v>
      </c>
      <c r="F2393" t="s">
        <v>17</v>
      </c>
      <c r="G2393" s="14">
        <v>0</v>
      </c>
      <c r="H2393" s="14">
        <v>96500</v>
      </c>
      <c r="I2393" t="s">
        <v>22</v>
      </c>
      <c r="J2393" t="s">
        <v>22</v>
      </c>
      <c r="K2393" t="s">
        <v>1367</v>
      </c>
      <c r="L2393" t="s">
        <v>191</v>
      </c>
      <c r="M2393" t="s">
        <v>19</v>
      </c>
      <c r="N2393">
        <v>2</v>
      </c>
      <c r="O2393" t="s">
        <v>201</v>
      </c>
      <c r="P2393" t="s">
        <v>36</v>
      </c>
      <c r="Q2393" t="s">
        <v>30</v>
      </c>
      <c r="R2393" t="str">
        <f>VLOOKUP($O2393,'Mapa Oficinas'!$A$7:$C$46,2,FALSE)</f>
        <v>CABA</v>
      </c>
      <c r="S2393" t="str">
        <f>VLOOKUP($O2393,'Mapa Oficinas'!$A$7:$C$46,3,FALSE)</f>
        <v>Recoleta</v>
      </c>
    </row>
    <row r="2394" spans="1:19" x14ac:dyDescent="0.2">
      <c r="A2394" s="1">
        <v>46064</v>
      </c>
      <c r="B2394" t="s">
        <v>1383</v>
      </c>
      <c r="D2394" t="s">
        <v>1384</v>
      </c>
      <c r="E2394" t="s">
        <v>16</v>
      </c>
      <c r="F2394" t="s">
        <v>17</v>
      </c>
      <c r="G2394" s="14">
        <v>129500</v>
      </c>
      <c r="H2394" s="14">
        <v>123000</v>
      </c>
      <c r="I2394" t="s">
        <v>22</v>
      </c>
      <c r="J2394" t="s">
        <v>22</v>
      </c>
      <c r="K2394" t="s">
        <v>1385</v>
      </c>
      <c r="L2394" t="s">
        <v>330</v>
      </c>
      <c r="M2394" t="s">
        <v>19</v>
      </c>
      <c r="N2394">
        <v>2</v>
      </c>
      <c r="O2394" t="s">
        <v>223</v>
      </c>
      <c r="P2394" t="s">
        <v>276</v>
      </c>
      <c r="Q2394" t="s">
        <v>30</v>
      </c>
      <c r="R2394" t="str">
        <f>VLOOKUP($O2394,'Mapa Oficinas'!$A$7:$C$46,2,FALSE)</f>
        <v>Zona Norte (GBA)</v>
      </c>
      <c r="S2394" t="str">
        <f>VLOOKUP($O2394,'Mapa Oficinas'!$A$7:$C$46,3,FALSE)</f>
        <v>San Isidro</v>
      </c>
    </row>
    <row r="2395" spans="1:19" x14ac:dyDescent="0.2">
      <c r="A2395" s="1">
        <v>46064</v>
      </c>
      <c r="B2395" t="s">
        <v>1376</v>
      </c>
      <c r="D2395" t="s">
        <v>1377</v>
      </c>
      <c r="E2395" t="s">
        <v>16</v>
      </c>
      <c r="F2395" t="s">
        <v>17</v>
      </c>
      <c r="G2395" s="14">
        <v>458000</v>
      </c>
      <c r="H2395" s="14">
        <v>430000</v>
      </c>
      <c r="I2395" t="s">
        <v>22</v>
      </c>
      <c r="J2395" t="s">
        <v>22</v>
      </c>
      <c r="K2395" t="s">
        <v>1378</v>
      </c>
      <c r="L2395" t="s">
        <v>1379</v>
      </c>
      <c r="M2395" t="s">
        <v>28</v>
      </c>
      <c r="N2395">
        <v>2</v>
      </c>
      <c r="O2395" t="s">
        <v>142</v>
      </c>
      <c r="P2395" t="s">
        <v>41</v>
      </c>
      <c r="Q2395" t="s">
        <v>30</v>
      </c>
      <c r="R2395" t="str">
        <f>VLOOKUP($O2395,'Mapa Oficinas'!$A$7:$C$46,2,FALSE)</f>
        <v>Zona Norte (GBA)</v>
      </c>
      <c r="S2395" t="str">
        <f>VLOOKUP($O2395,'Mapa Oficinas'!$A$7:$C$46,3,FALSE)</f>
        <v>Nordelta</v>
      </c>
    </row>
    <row r="2396" spans="1:19" x14ac:dyDescent="0.2">
      <c r="A2396" s="1">
        <v>46065</v>
      </c>
      <c r="B2396" t="s">
        <v>1316</v>
      </c>
      <c r="D2396" t="s">
        <v>1317</v>
      </c>
      <c r="E2396" t="s">
        <v>16</v>
      </c>
      <c r="F2396" t="s">
        <v>58</v>
      </c>
      <c r="G2396" s="14">
        <v>49000</v>
      </c>
      <c r="H2396" s="14">
        <v>45000</v>
      </c>
      <c r="I2396" t="s">
        <v>22</v>
      </c>
      <c r="J2396" t="s">
        <v>22</v>
      </c>
      <c r="K2396" t="s">
        <v>1318</v>
      </c>
      <c r="L2396" t="s">
        <v>205</v>
      </c>
      <c r="M2396" t="s">
        <v>19</v>
      </c>
      <c r="N2396">
        <v>2</v>
      </c>
      <c r="O2396" t="s">
        <v>50</v>
      </c>
      <c r="P2396" t="s">
        <v>21</v>
      </c>
      <c r="Q2396" t="s">
        <v>30</v>
      </c>
      <c r="R2396" t="str">
        <f>VLOOKUP($O2396,'Mapa Oficinas'!$A$7:$C$46,2,FALSE)</f>
        <v>CABA</v>
      </c>
      <c r="S2396" t="str">
        <f>VLOOKUP($O2396,'Mapa Oficinas'!$A$7:$C$46,3,FALSE)</f>
        <v>Villa Urquiza</v>
      </c>
    </row>
    <row r="2397" spans="1:19" x14ac:dyDescent="0.2">
      <c r="A2397" s="1">
        <v>46065</v>
      </c>
      <c r="B2397" t="s">
        <v>1363</v>
      </c>
      <c r="D2397" t="s">
        <v>1364</v>
      </c>
      <c r="E2397" t="s">
        <v>16</v>
      </c>
      <c r="F2397" t="s">
        <v>82</v>
      </c>
      <c r="G2397" s="14">
        <v>64900</v>
      </c>
      <c r="H2397" s="14">
        <v>62500</v>
      </c>
      <c r="I2397" t="s">
        <v>22</v>
      </c>
      <c r="J2397" t="s">
        <v>22</v>
      </c>
      <c r="K2397" t="s">
        <v>1365</v>
      </c>
      <c r="L2397" t="s">
        <v>79</v>
      </c>
      <c r="M2397" t="s">
        <v>19</v>
      </c>
      <c r="N2397">
        <v>2</v>
      </c>
      <c r="O2397" t="s">
        <v>116</v>
      </c>
      <c r="P2397" t="s">
        <v>21</v>
      </c>
      <c r="Q2397" t="s">
        <v>30</v>
      </c>
      <c r="R2397" t="str">
        <f>VLOOKUP($O2397,'Mapa Oficinas'!$A$7:$C$46,2,FALSE)</f>
        <v>CABA</v>
      </c>
      <c r="S2397" t="str">
        <f>VLOOKUP($O2397,'Mapa Oficinas'!$A$7:$C$46,3,FALSE)</f>
        <v>Puerto Madero</v>
      </c>
    </row>
    <row r="2398" spans="1:19" x14ac:dyDescent="0.2">
      <c r="A2398" s="1">
        <v>46065</v>
      </c>
      <c r="B2398" t="s">
        <v>1324</v>
      </c>
      <c r="D2398" t="s">
        <v>1325</v>
      </c>
      <c r="E2398" t="s">
        <v>16</v>
      </c>
      <c r="F2398" t="s">
        <v>17</v>
      </c>
      <c r="G2398" s="14">
        <v>69000</v>
      </c>
      <c r="H2398" s="14">
        <v>65000</v>
      </c>
      <c r="I2398" t="s">
        <v>22</v>
      </c>
      <c r="J2398" t="s">
        <v>22</v>
      </c>
      <c r="K2398" t="s">
        <v>1326</v>
      </c>
      <c r="L2398" t="s">
        <v>79</v>
      </c>
      <c r="M2398" t="s">
        <v>19</v>
      </c>
      <c r="N2398">
        <v>2</v>
      </c>
      <c r="O2398" t="s">
        <v>103</v>
      </c>
      <c r="P2398" t="s">
        <v>276</v>
      </c>
      <c r="Q2398" t="s">
        <v>30</v>
      </c>
      <c r="R2398" t="str">
        <f>VLOOKUP($O2398,'Mapa Oficinas'!$A$7:$C$46,2,FALSE)</f>
        <v>CABA</v>
      </c>
      <c r="S2398" t="str">
        <f>VLOOKUP($O2398,'Mapa Oficinas'!$A$7:$C$46,3,FALSE)</f>
        <v>Barrio Parque</v>
      </c>
    </row>
    <row r="2399" spans="1:19" x14ac:dyDescent="0.2">
      <c r="A2399" s="1">
        <v>46065</v>
      </c>
      <c r="B2399" t="s">
        <v>1319</v>
      </c>
      <c r="D2399" t="s">
        <v>1319</v>
      </c>
      <c r="E2399" t="s">
        <v>16</v>
      </c>
      <c r="F2399" t="s">
        <v>47</v>
      </c>
      <c r="G2399" s="14">
        <v>175000</v>
      </c>
      <c r="H2399" s="14">
        <v>87500</v>
      </c>
      <c r="I2399" t="s">
        <v>22</v>
      </c>
      <c r="J2399" t="s">
        <v>22</v>
      </c>
      <c r="K2399" t="s">
        <v>1319</v>
      </c>
      <c r="L2399" t="s">
        <v>523</v>
      </c>
      <c r="M2399" t="s">
        <v>19</v>
      </c>
      <c r="N2399">
        <v>2</v>
      </c>
      <c r="O2399" t="s">
        <v>50</v>
      </c>
      <c r="P2399" t="s">
        <v>21</v>
      </c>
      <c r="Q2399" t="s">
        <v>30</v>
      </c>
      <c r="R2399" t="str">
        <f>VLOOKUP($O2399,'Mapa Oficinas'!$A$7:$C$46,2,FALSE)</f>
        <v>CABA</v>
      </c>
      <c r="S2399" t="str">
        <f>VLOOKUP($O2399,'Mapa Oficinas'!$A$7:$C$46,3,FALSE)</f>
        <v>Villa Urquiza</v>
      </c>
    </row>
    <row r="2400" spans="1:19" x14ac:dyDescent="0.2">
      <c r="A2400" s="1">
        <v>46065</v>
      </c>
      <c r="B2400" t="s">
        <v>1350</v>
      </c>
      <c r="D2400" t="s">
        <v>1351</v>
      </c>
      <c r="E2400" t="s">
        <v>16</v>
      </c>
      <c r="F2400" t="s">
        <v>17</v>
      </c>
      <c r="G2400" s="14">
        <v>105000</v>
      </c>
      <c r="H2400" s="14">
        <v>105000</v>
      </c>
      <c r="I2400" t="s">
        <v>22</v>
      </c>
      <c r="J2400" t="s">
        <v>22</v>
      </c>
      <c r="K2400" t="s">
        <v>1352</v>
      </c>
      <c r="L2400" t="s">
        <v>1353</v>
      </c>
      <c r="M2400" t="s">
        <v>19</v>
      </c>
      <c r="N2400">
        <v>2</v>
      </c>
      <c r="O2400" t="s">
        <v>151</v>
      </c>
      <c r="P2400" t="s">
        <v>41</v>
      </c>
      <c r="Q2400" t="s">
        <v>30</v>
      </c>
      <c r="R2400" t="str">
        <f>VLOOKUP($O2400,'Mapa Oficinas'!$A$7:$C$46,2,FALSE)</f>
        <v>Interior - Neuquén</v>
      </c>
      <c r="S2400" t="str">
        <f>VLOOKUP($O2400,'Mapa Oficinas'!$A$7:$C$46,3,FALSE)</f>
        <v>Capital Neuquén</v>
      </c>
    </row>
    <row r="2401" spans="1:19" x14ac:dyDescent="0.2">
      <c r="A2401" s="1">
        <v>46065</v>
      </c>
      <c r="B2401" t="s">
        <v>1360</v>
      </c>
      <c r="D2401" t="s">
        <v>1361</v>
      </c>
      <c r="E2401" t="s">
        <v>16</v>
      </c>
      <c r="F2401" t="s">
        <v>17</v>
      </c>
      <c r="G2401" s="14">
        <v>125000</v>
      </c>
      <c r="H2401" s="14">
        <v>120000</v>
      </c>
      <c r="I2401" t="s">
        <v>22</v>
      </c>
      <c r="J2401" t="s">
        <v>22</v>
      </c>
      <c r="K2401" t="s">
        <v>1362</v>
      </c>
      <c r="L2401" t="s">
        <v>205</v>
      </c>
      <c r="M2401" t="s">
        <v>19</v>
      </c>
      <c r="N2401">
        <v>2</v>
      </c>
      <c r="O2401" t="s">
        <v>73</v>
      </c>
      <c r="P2401" t="s">
        <v>276</v>
      </c>
      <c r="Q2401" t="s">
        <v>30</v>
      </c>
      <c r="R2401" t="str">
        <f>VLOOKUP($O2401,'Mapa Oficinas'!$A$7:$C$46,2,FALSE)</f>
        <v>CABA</v>
      </c>
      <c r="S2401" t="str">
        <f>VLOOKUP($O2401,'Mapa Oficinas'!$A$7:$C$46,3,FALSE)</f>
        <v>Recoleta</v>
      </c>
    </row>
    <row r="2402" spans="1:19" x14ac:dyDescent="0.2">
      <c r="A2402" s="1">
        <v>46065</v>
      </c>
      <c r="B2402" t="s">
        <v>1336</v>
      </c>
      <c r="D2402" t="s">
        <v>1337</v>
      </c>
      <c r="E2402" t="s">
        <v>16</v>
      </c>
      <c r="F2402" t="s">
        <v>38</v>
      </c>
      <c r="G2402" s="14">
        <v>150000</v>
      </c>
      <c r="H2402" s="14">
        <v>140000</v>
      </c>
      <c r="I2402" t="s">
        <v>22</v>
      </c>
      <c r="J2402" t="s">
        <v>22</v>
      </c>
      <c r="K2402" t="s">
        <v>1338</v>
      </c>
      <c r="L2402" t="s">
        <v>54</v>
      </c>
      <c r="M2402" t="s">
        <v>28</v>
      </c>
      <c r="N2402">
        <v>1</v>
      </c>
      <c r="O2402" t="s">
        <v>55</v>
      </c>
      <c r="P2402" t="s">
        <v>131</v>
      </c>
      <c r="Q2402" t="s">
        <v>30</v>
      </c>
      <c r="R2402" t="str">
        <f>VLOOKUP($O2402,'Mapa Oficinas'!$A$7:$C$46,2,FALSE)</f>
        <v>Interior - Santa Fe</v>
      </c>
      <c r="S2402" t="str">
        <f>VLOOKUP($O2402,'Mapa Oficinas'!$A$7:$C$46,3,FALSE)</f>
        <v>Capital Santa Fe</v>
      </c>
    </row>
    <row r="2403" spans="1:19" x14ac:dyDescent="0.2">
      <c r="A2403" s="1">
        <v>46065</v>
      </c>
      <c r="B2403" t="s">
        <v>1329</v>
      </c>
      <c r="D2403" t="s">
        <v>1330</v>
      </c>
      <c r="E2403" t="s">
        <v>16</v>
      </c>
      <c r="F2403" t="s">
        <v>17</v>
      </c>
      <c r="G2403" s="14">
        <v>155000</v>
      </c>
      <c r="H2403" s="14">
        <v>147000</v>
      </c>
      <c r="I2403" t="s">
        <v>22</v>
      </c>
      <c r="J2403" t="s">
        <v>22</v>
      </c>
      <c r="K2403" t="s">
        <v>1331</v>
      </c>
      <c r="L2403" t="s">
        <v>277</v>
      </c>
      <c r="M2403" t="s">
        <v>19</v>
      </c>
      <c r="N2403">
        <v>2</v>
      </c>
      <c r="O2403" t="s">
        <v>103</v>
      </c>
      <c r="P2403" t="s">
        <v>276</v>
      </c>
      <c r="Q2403" t="s">
        <v>30</v>
      </c>
      <c r="R2403" t="str">
        <f>VLOOKUP($O2403,'Mapa Oficinas'!$A$7:$C$46,2,FALSE)</f>
        <v>CABA</v>
      </c>
      <c r="S2403" t="str">
        <f>VLOOKUP($O2403,'Mapa Oficinas'!$A$7:$C$46,3,FALSE)</f>
        <v>Barrio Parque</v>
      </c>
    </row>
    <row r="2404" spans="1:19" x14ac:dyDescent="0.2">
      <c r="A2404" s="1">
        <v>46065</v>
      </c>
      <c r="B2404" t="s">
        <v>1320</v>
      </c>
      <c r="D2404" t="s">
        <v>1321</v>
      </c>
      <c r="E2404" t="s">
        <v>16</v>
      </c>
      <c r="F2404" t="s">
        <v>47</v>
      </c>
      <c r="G2404" s="14">
        <v>152000</v>
      </c>
      <c r="H2404" s="14">
        <v>155000</v>
      </c>
      <c r="I2404" t="s">
        <v>22</v>
      </c>
      <c r="J2404" t="s">
        <v>22</v>
      </c>
      <c r="K2404" t="s">
        <v>1322</v>
      </c>
      <c r="L2404" t="s">
        <v>1323</v>
      </c>
      <c r="M2404" t="s">
        <v>72</v>
      </c>
      <c r="N2404">
        <v>2</v>
      </c>
      <c r="O2404" t="s">
        <v>50</v>
      </c>
      <c r="P2404" t="s">
        <v>21</v>
      </c>
      <c r="Q2404" t="s">
        <v>30</v>
      </c>
      <c r="R2404" t="str">
        <f>VLOOKUP($O2404,'Mapa Oficinas'!$A$7:$C$46,2,FALSE)</f>
        <v>CABA</v>
      </c>
      <c r="S2404" t="str">
        <f>VLOOKUP($O2404,'Mapa Oficinas'!$A$7:$C$46,3,FALSE)</f>
        <v>Villa Urquiza</v>
      </c>
    </row>
    <row r="2405" spans="1:19" x14ac:dyDescent="0.2">
      <c r="A2405" s="1">
        <v>46065</v>
      </c>
      <c r="B2405" t="s">
        <v>1342</v>
      </c>
      <c r="D2405" t="s">
        <v>1343</v>
      </c>
      <c r="E2405" t="s">
        <v>16</v>
      </c>
      <c r="F2405" t="s">
        <v>38</v>
      </c>
      <c r="G2405" s="14">
        <v>169000</v>
      </c>
      <c r="H2405" s="14">
        <v>165000</v>
      </c>
      <c r="I2405" t="s">
        <v>22</v>
      </c>
      <c r="J2405" t="s">
        <v>22</v>
      </c>
      <c r="K2405" t="s">
        <v>1344</v>
      </c>
      <c r="L2405" t="s">
        <v>1345</v>
      </c>
      <c r="M2405" t="s">
        <v>19</v>
      </c>
      <c r="N2405">
        <v>2</v>
      </c>
      <c r="O2405" t="s">
        <v>55</v>
      </c>
      <c r="P2405" t="s">
        <v>21</v>
      </c>
      <c r="Q2405" t="s">
        <v>30</v>
      </c>
      <c r="R2405" t="str">
        <f>VLOOKUP($O2405,'Mapa Oficinas'!$A$7:$C$46,2,FALSE)</f>
        <v>Interior - Santa Fe</v>
      </c>
      <c r="S2405" t="str">
        <f>VLOOKUP($O2405,'Mapa Oficinas'!$A$7:$C$46,3,FALSE)</f>
        <v>Capital Santa Fe</v>
      </c>
    </row>
    <row r="2406" spans="1:19" x14ac:dyDescent="0.2">
      <c r="A2406" s="1">
        <v>46065</v>
      </c>
      <c r="B2406">
        <v>10640</v>
      </c>
      <c r="D2406" t="s">
        <v>1327</v>
      </c>
      <c r="E2406" t="s">
        <v>16</v>
      </c>
      <c r="F2406" t="s">
        <v>17</v>
      </c>
      <c r="G2406" s="14">
        <v>220000</v>
      </c>
      <c r="H2406" s="14">
        <v>220000</v>
      </c>
      <c r="I2406" t="s">
        <v>22</v>
      </c>
      <c r="J2406" t="s">
        <v>22</v>
      </c>
      <c r="K2406" t="s">
        <v>1328</v>
      </c>
      <c r="L2406" t="s">
        <v>330</v>
      </c>
      <c r="M2406" t="s">
        <v>19</v>
      </c>
      <c r="N2406">
        <v>1</v>
      </c>
      <c r="O2406" t="s">
        <v>103</v>
      </c>
      <c r="P2406" t="s">
        <v>146</v>
      </c>
      <c r="Q2406" t="s">
        <v>30</v>
      </c>
      <c r="R2406" t="str">
        <f>VLOOKUP($O2406,'Mapa Oficinas'!$A$7:$C$46,2,FALSE)</f>
        <v>CABA</v>
      </c>
      <c r="S2406" t="str">
        <f>VLOOKUP($O2406,'Mapa Oficinas'!$A$7:$C$46,3,FALSE)</f>
        <v>Barrio Parque</v>
      </c>
    </row>
    <row r="2407" spans="1:19" x14ac:dyDescent="0.2">
      <c r="A2407" s="1">
        <v>46065</v>
      </c>
      <c r="B2407" t="s">
        <v>1346</v>
      </c>
      <c r="D2407" t="s">
        <v>1347</v>
      </c>
      <c r="E2407" t="s">
        <v>16</v>
      </c>
      <c r="F2407" t="s">
        <v>17</v>
      </c>
      <c r="G2407" s="14">
        <v>285000</v>
      </c>
      <c r="H2407" s="14">
        <v>278000</v>
      </c>
      <c r="I2407" t="s">
        <v>22</v>
      </c>
      <c r="J2407" t="s">
        <v>22</v>
      </c>
      <c r="K2407" t="s">
        <v>1348</v>
      </c>
      <c r="L2407" t="s">
        <v>1349</v>
      </c>
      <c r="M2407" t="s">
        <v>28</v>
      </c>
      <c r="N2407">
        <v>2</v>
      </c>
      <c r="O2407" t="s">
        <v>142</v>
      </c>
      <c r="P2407" t="s">
        <v>21</v>
      </c>
      <c r="Q2407" t="s">
        <v>30</v>
      </c>
      <c r="R2407" t="str">
        <f>VLOOKUP($O2407,'Mapa Oficinas'!$A$7:$C$46,2,FALSE)</f>
        <v>Zona Norte (GBA)</v>
      </c>
      <c r="S2407" t="str">
        <f>VLOOKUP($O2407,'Mapa Oficinas'!$A$7:$C$46,3,FALSE)</f>
        <v>Nordelta</v>
      </c>
    </row>
    <row r="2408" spans="1:19" x14ac:dyDescent="0.2">
      <c r="A2408" s="1">
        <v>46065</v>
      </c>
      <c r="B2408" t="s">
        <v>1332</v>
      </c>
      <c r="D2408" t="s">
        <v>1333</v>
      </c>
      <c r="E2408" t="s">
        <v>16</v>
      </c>
      <c r="F2408" t="s">
        <v>17</v>
      </c>
      <c r="G2408" s="14">
        <v>319000</v>
      </c>
      <c r="H2408" s="14">
        <v>293000</v>
      </c>
      <c r="I2408" t="s">
        <v>22</v>
      </c>
      <c r="J2408" t="s">
        <v>22</v>
      </c>
      <c r="K2408" t="s">
        <v>1334</v>
      </c>
      <c r="L2408" t="s">
        <v>1335</v>
      </c>
      <c r="M2408" t="s">
        <v>28</v>
      </c>
      <c r="N2408">
        <v>1</v>
      </c>
      <c r="O2408" t="s">
        <v>142</v>
      </c>
      <c r="P2408" t="s">
        <v>146</v>
      </c>
      <c r="Q2408" t="s">
        <v>30</v>
      </c>
      <c r="R2408" t="str">
        <f>VLOOKUP($O2408,'Mapa Oficinas'!$A$7:$C$46,2,FALSE)</f>
        <v>Zona Norte (GBA)</v>
      </c>
      <c r="S2408" t="str">
        <f>VLOOKUP($O2408,'Mapa Oficinas'!$A$7:$C$46,3,FALSE)</f>
        <v>Nordelta</v>
      </c>
    </row>
    <row r="2409" spans="1:19" x14ac:dyDescent="0.2">
      <c r="A2409" s="1">
        <v>46066</v>
      </c>
      <c r="B2409" t="s">
        <v>1293</v>
      </c>
      <c r="D2409" t="s">
        <v>1294</v>
      </c>
      <c r="E2409" t="s">
        <v>16</v>
      </c>
      <c r="F2409" t="s">
        <v>47</v>
      </c>
      <c r="G2409" s="14">
        <v>35000</v>
      </c>
      <c r="H2409" s="14">
        <v>43500</v>
      </c>
      <c r="I2409" t="s">
        <v>22</v>
      </c>
      <c r="J2409" t="s">
        <v>22</v>
      </c>
      <c r="K2409" t="s">
        <v>1295</v>
      </c>
      <c r="L2409" t="s">
        <v>1296</v>
      </c>
      <c r="M2409" t="s">
        <v>97</v>
      </c>
      <c r="N2409">
        <v>2</v>
      </c>
      <c r="O2409" t="s">
        <v>198</v>
      </c>
      <c r="P2409" t="s">
        <v>276</v>
      </c>
      <c r="Q2409" t="s">
        <v>30</v>
      </c>
      <c r="R2409" t="str">
        <f>VLOOKUP($O2409,'Mapa Oficinas'!$A$7:$C$46,2,FALSE)</f>
        <v>CABA</v>
      </c>
      <c r="S2409" t="str">
        <f>VLOOKUP($O2409,'Mapa Oficinas'!$A$7:$C$46,3,FALSE)</f>
        <v>Caballito</v>
      </c>
    </row>
    <row r="2410" spans="1:19" x14ac:dyDescent="0.2">
      <c r="A2410" s="1">
        <v>46066</v>
      </c>
      <c r="D2410" t="s">
        <v>1310</v>
      </c>
      <c r="E2410" t="s">
        <v>16</v>
      </c>
      <c r="F2410" t="s">
        <v>127</v>
      </c>
      <c r="G2410" s="14">
        <v>57000</v>
      </c>
      <c r="H2410" s="14">
        <v>57000</v>
      </c>
      <c r="I2410" t="s">
        <v>22</v>
      </c>
      <c r="J2410" t="s">
        <v>22</v>
      </c>
      <c r="K2410" t="s">
        <v>1193</v>
      </c>
      <c r="L2410" t="s">
        <v>915</v>
      </c>
      <c r="M2410" t="s">
        <v>97</v>
      </c>
      <c r="N2410">
        <v>2</v>
      </c>
      <c r="O2410" t="s">
        <v>98</v>
      </c>
      <c r="P2410" t="s">
        <v>41</v>
      </c>
      <c r="Q2410" t="s">
        <v>30</v>
      </c>
      <c r="R2410" t="str">
        <f>VLOOKUP($O2410,'Mapa Oficinas'!$A$7:$C$46,2,FALSE)</f>
        <v>Interior - Neuquén</v>
      </c>
      <c r="S2410" t="str">
        <f>VLOOKUP($O2410,'Mapa Oficinas'!$A$7:$C$46,3,FALSE)</f>
        <v>Villa La Angostura</v>
      </c>
    </row>
    <row r="2411" spans="1:19" x14ac:dyDescent="0.2">
      <c r="A2411" s="1">
        <v>46066</v>
      </c>
      <c r="B2411" t="s">
        <v>1282</v>
      </c>
      <c r="D2411" t="s">
        <v>1283</v>
      </c>
      <c r="E2411" t="s">
        <v>16</v>
      </c>
      <c r="F2411" t="s">
        <v>82</v>
      </c>
      <c r="G2411" s="14">
        <v>87000</v>
      </c>
      <c r="H2411" s="14">
        <v>70000</v>
      </c>
      <c r="I2411" t="s">
        <v>22</v>
      </c>
      <c r="J2411" t="s">
        <v>22</v>
      </c>
      <c r="K2411" t="s">
        <v>1284</v>
      </c>
      <c r="L2411" t="s">
        <v>1285</v>
      </c>
      <c r="M2411" t="s">
        <v>28</v>
      </c>
      <c r="N2411">
        <v>2</v>
      </c>
      <c r="O2411" t="s">
        <v>55</v>
      </c>
      <c r="P2411" t="s">
        <v>41</v>
      </c>
      <c r="Q2411" t="s">
        <v>30</v>
      </c>
      <c r="R2411" t="str">
        <f>VLOOKUP($O2411,'Mapa Oficinas'!$A$7:$C$46,2,FALSE)</f>
        <v>Interior - Santa Fe</v>
      </c>
      <c r="S2411" t="str">
        <f>VLOOKUP($O2411,'Mapa Oficinas'!$A$7:$C$46,3,FALSE)</f>
        <v>Capital Santa Fe</v>
      </c>
    </row>
    <row r="2412" spans="1:19" x14ac:dyDescent="0.2">
      <c r="A2412" s="1">
        <v>46066</v>
      </c>
      <c r="B2412" t="s">
        <v>1280</v>
      </c>
      <c r="D2412" t="s">
        <v>1281</v>
      </c>
      <c r="E2412" t="s">
        <v>16</v>
      </c>
      <c r="F2412" t="s">
        <v>17</v>
      </c>
      <c r="G2412" s="14">
        <v>80000</v>
      </c>
      <c r="H2412" s="14">
        <v>73000</v>
      </c>
      <c r="I2412" t="s">
        <v>22</v>
      </c>
      <c r="J2412" t="s">
        <v>22</v>
      </c>
      <c r="M2412" t="s">
        <v>28</v>
      </c>
      <c r="N2412">
        <v>1</v>
      </c>
      <c r="O2412" t="s">
        <v>55</v>
      </c>
      <c r="P2412" t="s">
        <v>131</v>
      </c>
      <c r="Q2412" t="s">
        <v>30</v>
      </c>
      <c r="R2412" t="str">
        <f>VLOOKUP($O2412,'Mapa Oficinas'!$A$7:$C$46,2,FALSE)</f>
        <v>Interior - Santa Fe</v>
      </c>
      <c r="S2412" t="str">
        <f>VLOOKUP($O2412,'Mapa Oficinas'!$A$7:$C$46,3,FALSE)</f>
        <v>Capital Santa Fe</v>
      </c>
    </row>
    <row r="2413" spans="1:19" x14ac:dyDescent="0.2">
      <c r="A2413" s="1">
        <v>46066</v>
      </c>
      <c r="B2413" t="s">
        <v>1289</v>
      </c>
      <c r="D2413" t="s">
        <v>1290</v>
      </c>
      <c r="E2413" t="s">
        <v>16</v>
      </c>
      <c r="F2413" t="s">
        <v>17</v>
      </c>
      <c r="G2413" s="14">
        <v>159604</v>
      </c>
      <c r="H2413" s="14">
        <v>153147</v>
      </c>
      <c r="I2413" t="s">
        <v>22</v>
      </c>
      <c r="J2413" t="s">
        <v>22</v>
      </c>
      <c r="K2413" t="s">
        <v>1291</v>
      </c>
      <c r="L2413" t="s">
        <v>1292</v>
      </c>
      <c r="M2413" t="s">
        <v>19</v>
      </c>
      <c r="N2413">
        <v>2</v>
      </c>
      <c r="O2413" t="s">
        <v>40</v>
      </c>
      <c r="P2413" t="s">
        <v>44</v>
      </c>
      <c r="Q2413" t="s">
        <v>30</v>
      </c>
      <c r="R2413" t="str">
        <f>VLOOKUP($O2413,'Mapa Oficinas'!$A$7:$C$46,2,FALSE)</f>
        <v>Zona Norte (GBA)</v>
      </c>
      <c r="S2413" t="str">
        <f>VLOOKUP($O2413,'Mapa Oficinas'!$A$7:$C$46,3,FALSE)</f>
        <v>Pilar</v>
      </c>
    </row>
    <row r="2414" spans="1:19" x14ac:dyDescent="0.2">
      <c r="A2414" s="1">
        <v>46066</v>
      </c>
      <c r="B2414" t="s">
        <v>1312</v>
      </c>
      <c r="D2414" t="s">
        <v>1313</v>
      </c>
      <c r="E2414" t="s">
        <v>16</v>
      </c>
      <c r="F2414" t="s">
        <v>17</v>
      </c>
      <c r="G2414" s="14">
        <v>160000</v>
      </c>
      <c r="H2414" s="14">
        <v>160000</v>
      </c>
      <c r="I2414" t="s">
        <v>22</v>
      </c>
      <c r="J2414" t="s">
        <v>22</v>
      </c>
      <c r="K2414" t="s">
        <v>1314</v>
      </c>
      <c r="L2414" t="s">
        <v>1315</v>
      </c>
      <c r="M2414" t="s">
        <v>19</v>
      </c>
      <c r="N2414">
        <v>2</v>
      </c>
      <c r="O2414" t="s">
        <v>103</v>
      </c>
      <c r="P2414" t="s">
        <v>21</v>
      </c>
      <c r="Q2414" t="s">
        <v>30</v>
      </c>
      <c r="R2414" t="str">
        <f>VLOOKUP($O2414,'Mapa Oficinas'!$A$7:$C$46,2,FALSE)</f>
        <v>CABA</v>
      </c>
      <c r="S2414" t="str">
        <f>VLOOKUP($O2414,'Mapa Oficinas'!$A$7:$C$46,3,FALSE)</f>
        <v>Barrio Parque</v>
      </c>
    </row>
    <row r="2415" spans="1:19" x14ac:dyDescent="0.2">
      <c r="A2415" s="1">
        <v>46066</v>
      </c>
      <c r="B2415" t="s">
        <v>1286</v>
      </c>
      <c r="D2415" t="s">
        <v>1287</v>
      </c>
      <c r="E2415" t="s">
        <v>16</v>
      </c>
      <c r="F2415" t="s">
        <v>17</v>
      </c>
      <c r="G2415" s="14">
        <v>178000</v>
      </c>
      <c r="H2415" s="14">
        <v>170000</v>
      </c>
      <c r="I2415" t="s">
        <v>22</v>
      </c>
      <c r="J2415" t="s">
        <v>22</v>
      </c>
      <c r="K2415" t="s">
        <v>1288</v>
      </c>
      <c r="L2415" t="s">
        <v>205</v>
      </c>
      <c r="M2415" t="s">
        <v>19</v>
      </c>
      <c r="N2415">
        <v>2</v>
      </c>
      <c r="O2415" t="s">
        <v>389</v>
      </c>
      <c r="P2415" t="s">
        <v>21</v>
      </c>
      <c r="Q2415" t="s">
        <v>30</v>
      </c>
      <c r="R2415" t="str">
        <f>VLOOKUP($O2415,'Mapa Oficinas'!$A$7:$C$46,2,FALSE)</f>
        <v>Zona Norte (GBA)</v>
      </c>
      <c r="S2415" t="str">
        <f>VLOOKUP($O2415,'Mapa Oficinas'!$A$7:$C$46,3,FALSE)</f>
        <v>Escobar</v>
      </c>
    </row>
    <row r="2416" spans="1:19" x14ac:dyDescent="0.2">
      <c r="A2416" s="1">
        <v>46066</v>
      </c>
      <c r="B2416" t="s">
        <v>1308</v>
      </c>
      <c r="D2416" t="s">
        <v>1308</v>
      </c>
      <c r="E2416" t="s">
        <v>16</v>
      </c>
      <c r="F2416" t="s">
        <v>82</v>
      </c>
      <c r="G2416" s="14">
        <v>195000</v>
      </c>
      <c r="H2416" s="14">
        <v>195000</v>
      </c>
      <c r="I2416" t="s">
        <v>22</v>
      </c>
      <c r="J2416" t="s">
        <v>22</v>
      </c>
      <c r="L2416" t="s">
        <v>1309</v>
      </c>
      <c r="M2416" t="s">
        <v>28</v>
      </c>
      <c r="N2416">
        <v>1</v>
      </c>
      <c r="O2416" t="s">
        <v>151</v>
      </c>
      <c r="P2416" t="s">
        <v>131</v>
      </c>
      <c r="Q2416" t="s">
        <v>30</v>
      </c>
      <c r="R2416" t="str">
        <f>VLOOKUP($O2416,'Mapa Oficinas'!$A$7:$C$46,2,FALSE)</f>
        <v>Interior - Neuquén</v>
      </c>
      <c r="S2416" t="str">
        <f>VLOOKUP($O2416,'Mapa Oficinas'!$A$7:$C$46,3,FALSE)</f>
        <v>Capital Neuquén</v>
      </c>
    </row>
    <row r="2417" spans="1:19" x14ac:dyDescent="0.2">
      <c r="A2417" s="1">
        <v>46066</v>
      </c>
      <c r="B2417" t="s">
        <v>1297</v>
      </c>
      <c r="D2417" t="s">
        <v>1298</v>
      </c>
      <c r="E2417" t="s">
        <v>16</v>
      </c>
      <c r="F2417" t="s">
        <v>82</v>
      </c>
      <c r="G2417" s="14">
        <v>240000</v>
      </c>
      <c r="H2417" s="14">
        <v>240000</v>
      </c>
      <c r="I2417" t="s">
        <v>22</v>
      </c>
      <c r="J2417" t="s">
        <v>22</v>
      </c>
      <c r="K2417" t="s">
        <v>1299</v>
      </c>
      <c r="L2417" t="s">
        <v>189</v>
      </c>
      <c r="M2417" t="s">
        <v>19</v>
      </c>
      <c r="N2417">
        <v>2</v>
      </c>
      <c r="O2417" t="s">
        <v>151</v>
      </c>
      <c r="P2417" t="s">
        <v>41</v>
      </c>
      <c r="Q2417" t="s">
        <v>30</v>
      </c>
      <c r="R2417" t="str">
        <f>VLOOKUP($O2417,'Mapa Oficinas'!$A$7:$C$46,2,FALSE)</f>
        <v>Interior - Neuquén</v>
      </c>
      <c r="S2417" t="str">
        <f>VLOOKUP($O2417,'Mapa Oficinas'!$A$7:$C$46,3,FALSE)</f>
        <v>Capital Neuquén</v>
      </c>
    </row>
    <row r="2418" spans="1:19" x14ac:dyDescent="0.2">
      <c r="A2418" s="1">
        <v>46066</v>
      </c>
      <c r="B2418" t="s">
        <v>1303</v>
      </c>
      <c r="D2418" t="s">
        <v>1304</v>
      </c>
      <c r="E2418" t="s">
        <v>16</v>
      </c>
      <c r="F2418" t="s">
        <v>82</v>
      </c>
      <c r="G2418" s="14">
        <v>260000</v>
      </c>
      <c r="H2418" s="14">
        <v>248000</v>
      </c>
      <c r="I2418" t="s">
        <v>22</v>
      </c>
      <c r="J2418" t="s">
        <v>22</v>
      </c>
      <c r="K2418" t="s">
        <v>1305</v>
      </c>
      <c r="L2418" t="s">
        <v>1306</v>
      </c>
      <c r="M2418" t="s">
        <v>28</v>
      </c>
      <c r="N2418">
        <v>1</v>
      </c>
      <c r="O2418" t="s">
        <v>151</v>
      </c>
      <c r="P2418" t="s">
        <v>66</v>
      </c>
      <c r="Q2418" t="s">
        <v>30</v>
      </c>
      <c r="R2418" t="str">
        <f>VLOOKUP($O2418,'Mapa Oficinas'!$A$7:$C$46,2,FALSE)</f>
        <v>Interior - Neuquén</v>
      </c>
      <c r="S2418" t="str">
        <f>VLOOKUP($O2418,'Mapa Oficinas'!$A$7:$C$46,3,FALSE)</f>
        <v>Capital Neuquén</v>
      </c>
    </row>
    <row r="2419" spans="1:19" x14ac:dyDescent="0.2">
      <c r="A2419" s="1">
        <v>46069</v>
      </c>
      <c r="B2419" t="s">
        <v>1275</v>
      </c>
      <c r="D2419" t="s">
        <v>1276</v>
      </c>
      <c r="E2419" t="s">
        <v>16</v>
      </c>
      <c r="F2419" t="s">
        <v>53</v>
      </c>
      <c r="G2419" s="14">
        <v>130000</v>
      </c>
      <c r="H2419" s="14">
        <v>105000</v>
      </c>
      <c r="I2419" t="s">
        <v>22</v>
      </c>
      <c r="J2419" t="s">
        <v>22</v>
      </c>
      <c r="K2419" t="s">
        <v>1277</v>
      </c>
      <c r="L2419" t="s">
        <v>1278</v>
      </c>
      <c r="M2419" t="s">
        <v>309</v>
      </c>
      <c r="N2419">
        <v>2</v>
      </c>
      <c r="O2419" t="s">
        <v>55</v>
      </c>
      <c r="P2419" t="s">
        <v>21</v>
      </c>
      <c r="Q2419" t="s">
        <v>30</v>
      </c>
      <c r="R2419" t="str">
        <f>VLOOKUP($O2419,'Mapa Oficinas'!$A$7:$C$46,2,FALSE)</f>
        <v>Interior - Santa Fe</v>
      </c>
      <c r="S2419" t="str">
        <f>VLOOKUP($O2419,'Mapa Oficinas'!$A$7:$C$46,3,FALSE)</f>
        <v>Capital Santa Fe</v>
      </c>
    </row>
    <row r="2420" spans="1:19" x14ac:dyDescent="0.2">
      <c r="A2420" s="1">
        <v>46069</v>
      </c>
      <c r="B2420" t="s">
        <v>1271</v>
      </c>
      <c r="D2420" t="s">
        <v>1272</v>
      </c>
      <c r="E2420" t="s">
        <v>16</v>
      </c>
      <c r="F2420" t="s">
        <v>17</v>
      </c>
      <c r="G2420" s="14">
        <v>175000</v>
      </c>
      <c r="H2420" s="14">
        <v>170000</v>
      </c>
      <c r="I2420" t="s">
        <v>22</v>
      </c>
      <c r="J2420" t="s">
        <v>22</v>
      </c>
      <c r="K2420" t="s">
        <v>1273</v>
      </c>
      <c r="L2420" t="s">
        <v>1274</v>
      </c>
      <c r="M2420" t="s">
        <v>28</v>
      </c>
      <c r="N2420">
        <v>2</v>
      </c>
      <c r="O2420" t="s">
        <v>142</v>
      </c>
      <c r="P2420" t="s">
        <v>21</v>
      </c>
      <c r="Q2420" t="s">
        <v>30</v>
      </c>
      <c r="R2420" t="str">
        <f>VLOOKUP($O2420,'Mapa Oficinas'!$A$7:$C$46,2,FALSE)</f>
        <v>Zona Norte (GBA)</v>
      </c>
      <c r="S2420" t="str">
        <f>VLOOKUP($O2420,'Mapa Oficinas'!$A$7:$C$46,3,FALSE)</f>
        <v>Nordelta</v>
      </c>
    </row>
    <row r="2421" spans="1:19" x14ac:dyDescent="0.2">
      <c r="A2421" s="1">
        <v>46070</v>
      </c>
      <c r="B2421" t="s">
        <v>1269</v>
      </c>
      <c r="D2421" t="s">
        <v>1269</v>
      </c>
      <c r="E2421" t="s">
        <v>16</v>
      </c>
      <c r="F2421" t="s">
        <v>17</v>
      </c>
      <c r="G2421" s="14">
        <v>183000</v>
      </c>
      <c r="H2421" s="14">
        <v>183000</v>
      </c>
      <c r="I2421" t="s">
        <v>22</v>
      </c>
      <c r="J2421" t="s">
        <v>22</v>
      </c>
      <c r="K2421" t="s">
        <v>1270</v>
      </c>
      <c r="L2421" t="s">
        <v>413</v>
      </c>
      <c r="M2421" t="s">
        <v>19</v>
      </c>
      <c r="N2421">
        <v>2</v>
      </c>
      <c r="O2421" t="s">
        <v>142</v>
      </c>
      <c r="P2421" t="s">
        <v>41</v>
      </c>
      <c r="Q2421" t="s">
        <v>30</v>
      </c>
      <c r="R2421" t="str">
        <f>VLOOKUP($O2421,'Mapa Oficinas'!$A$7:$C$46,2,FALSE)</f>
        <v>Zona Norte (GBA)</v>
      </c>
      <c r="S2421" t="str">
        <f>VLOOKUP($O2421,'Mapa Oficinas'!$A$7:$C$46,3,FALSE)</f>
        <v>Nordelta</v>
      </c>
    </row>
    <row r="2422" spans="1:19" x14ac:dyDescent="0.2">
      <c r="A2422" s="1">
        <v>46071</v>
      </c>
      <c r="D2422" t="s">
        <v>1261</v>
      </c>
      <c r="E2422" t="s">
        <v>16</v>
      </c>
      <c r="F2422" t="s">
        <v>243</v>
      </c>
      <c r="G2422" s="14">
        <v>43200</v>
      </c>
      <c r="H2422" s="14">
        <v>43200</v>
      </c>
      <c r="I2422" t="s">
        <v>22</v>
      </c>
      <c r="J2422" t="s">
        <v>22</v>
      </c>
      <c r="K2422" t="s">
        <v>1193</v>
      </c>
      <c r="L2422" t="s">
        <v>915</v>
      </c>
      <c r="M2422" t="s">
        <v>97</v>
      </c>
      <c r="N2422">
        <v>2</v>
      </c>
      <c r="O2422" t="s">
        <v>98</v>
      </c>
      <c r="P2422" t="s">
        <v>41</v>
      </c>
      <c r="Q2422" t="s">
        <v>30</v>
      </c>
      <c r="R2422" t="str">
        <f>VLOOKUP($O2422,'Mapa Oficinas'!$A$7:$C$46,2,FALSE)</f>
        <v>Interior - Neuquén</v>
      </c>
      <c r="S2422" t="str">
        <f>VLOOKUP($O2422,'Mapa Oficinas'!$A$7:$C$46,3,FALSE)</f>
        <v>Villa La Angostura</v>
      </c>
    </row>
    <row r="2423" spans="1:19" x14ac:dyDescent="0.2">
      <c r="A2423" s="1">
        <v>46071</v>
      </c>
      <c r="B2423" t="s">
        <v>1257</v>
      </c>
      <c r="D2423" t="s">
        <v>1258</v>
      </c>
      <c r="E2423" t="s">
        <v>16</v>
      </c>
      <c r="F2423" t="s">
        <v>207</v>
      </c>
      <c r="G2423" s="14">
        <v>74900</v>
      </c>
      <c r="H2423" s="14">
        <v>75000</v>
      </c>
      <c r="I2423" t="s">
        <v>22</v>
      </c>
      <c r="J2423" t="s">
        <v>22</v>
      </c>
      <c r="K2423" t="s">
        <v>1259</v>
      </c>
      <c r="L2423" t="s">
        <v>1260</v>
      </c>
      <c r="M2423" t="s">
        <v>28</v>
      </c>
      <c r="N2423">
        <v>2</v>
      </c>
      <c r="O2423" t="s">
        <v>213</v>
      </c>
      <c r="P2423" t="s">
        <v>21</v>
      </c>
      <c r="Q2423" t="s">
        <v>30</v>
      </c>
      <c r="R2423" t="str">
        <f>VLOOKUP($O2423,'Mapa Oficinas'!$A$7:$C$46,2,FALSE)</f>
        <v>Interior - Mendoza</v>
      </c>
      <c r="S2423" t="str">
        <f>VLOOKUP($O2423,'Mapa Oficinas'!$A$7:$C$46,3,FALSE)</f>
        <v>San Rafael</v>
      </c>
    </row>
    <row r="2424" spans="1:19" x14ac:dyDescent="0.2">
      <c r="A2424" s="1">
        <v>46071</v>
      </c>
      <c r="B2424" t="s">
        <v>1243</v>
      </c>
      <c r="D2424" t="s">
        <v>1244</v>
      </c>
      <c r="E2424" t="s">
        <v>16</v>
      </c>
      <c r="F2424" t="s">
        <v>47</v>
      </c>
      <c r="G2424" s="14">
        <v>115000</v>
      </c>
      <c r="H2424" s="14">
        <v>108000</v>
      </c>
      <c r="I2424" t="s">
        <v>22</v>
      </c>
      <c r="J2424" t="s">
        <v>22</v>
      </c>
      <c r="K2424" t="s">
        <v>1245</v>
      </c>
      <c r="L2424" t="s">
        <v>1246</v>
      </c>
      <c r="M2424" t="s">
        <v>72</v>
      </c>
      <c r="N2424">
        <v>2</v>
      </c>
      <c r="O2424" t="s">
        <v>261</v>
      </c>
      <c r="P2424" t="s">
        <v>276</v>
      </c>
      <c r="Q2424" t="s">
        <v>30</v>
      </c>
      <c r="R2424" t="str">
        <f>VLOOKUP($O2424,'Mapa Oficinas'!$A$7:$C$46,2,FALSE)</f>
        <v>CABA</v>
      </c>
      <c r="S2424" t="str">
        <f>VLOOKUP($O2424,'Mapa Oficinas'!$A$7:$C$46,3,FALSE)</f>
        <v>Núñez</v>
      </c>
    </row>
    <row r="2425" spans="1:19" x14ac:dyDescent="0.2">
      <c r="A2425" s="1">
        <v>46071</v>
      </c>
      <c r="B2425" t="s">
        <v>1250</v>
      </c>
      <c r="D2425" t="s">
        <v>1251</v>
      </c>
      <c r="E2425" t="s">
        <v>16</v>
      </c>
      <c r="F2425" t="s">
        <v>17</v>
      </c>
      <c r="G2425" s="14">
        <v>138000</v>
      </c>
      <c r="H2425" s="14">
        <v>130500</v>
      </c>
      <c r="I2425" t="s">
        <v>22</v>
      </c>
      <c r="J2425" t="s">
        <v>22</v>
      </c>
      <c r="K2425" t="s">
        <v>1252</v>
      </c>
      <c r="L2425" t="s">
        <v>1253</v>
      </c>
      <c r="M2425" t="s">
        <v>19</v>
      </c>
      <c r="N2425">
        <v>1</v>
      </c>
      <c r="O2425" t="s">
        <v>142</v>
      </c>
      <c r="P2425" t="s">
        <v>146</v>
      </c>
      <c r="Q2425" t="s">
        <v>30</v>
      </c>
      <c r="R2425" t="str">
        <f>VLOOKUP($O2425,'Mapa Oficinas'!$A$7:$C$46,2,FALSE)</f>
        <v>Zona Norte (GBA)</v>
      </c>
      <c r="S2425" t="str">
        <f>VLOOKUP($O2425,'Mapa Oficinas'!$A$7:$C$46,3,FALSE)</f>
        <v>Nordelta</v>
      </c>
    </row>
    <row r="2426" spans="1:19" x14ac:dyDescent="0.2">
      <c r="A2426" s="1">
        <v>46071</v>
      </c>
      <c r="D2426" t="s">
        <v>1247</v>
      </c>
      <c r="E2426" t="s">
        <v>16</v>
      </c>
      <c r="F2426" t="s">
        <v>17</v>
      </c>
      <c r="G2426" s="14">
        <v>145000</v>
      </c>
      <c r="H2426" s="14">
        <v>145000</v>
      </c>
      <c r="I2426" t="s">
        <v>22</v>
      </c>
      <c r="J2426" t="s">
        <v>22</v>
      </c>
      <c r="K2426" t="s">
        <v>1248</v>
      </c>
      <c r="L2426" t="s">
        <v>1249</v>
      </c>
      <c r="M2426" t="s">
        <v>19</v>
      </c>
      <c r="N2426">
        <v>1</v>
      </c>
      <c r="O2426" t="s">
        <v>201</v>
      </c>
      <c r="P2426" t="s">
        <v>146</v>
      </c>
      <c r="Q2426" t="s">
        <v>30</v>
      </c>
      <c r="R2426" t="str">
        <f>VLOOKUP($O2426,'Mapa Oficinas'!$A$7:$C$46,2,FALSE)</f>
        <v>CABA</v>
      </c>
      <c r="S2426" t="str">
        <f>VLOOKUP($O2426,'Mapa Oficinas'!$A$7:$C$46,3,FALSE)</f>
        <v>Recoleta</v>
      </c>
    </row>
    <row r="2427" spans="1:19" x14ac:dyDescent="0.2">
      <c r="A2427" s="1">
        <v>46071</v>
      </c>
      <c r="B2427" t="s">
        <v>1254</v>
      </c>
      <c r="D2427" t="s">
        <v>1255</v>
      </c>
      <c r="E2427" t="s">
        <v>16</v>
      </c>
      <c r="F2427" t="s">
        <v>17</v>
      </c>
      <c r="G2427" s="14">
        <v>210000</v>
      </c>
      <c r="H2427" s="14">
        <v>151500</v>
      </c>
      <c r="I2427" t="s">
        <v>22</v>
      </c>
      <c r="J2427" t="s">
        <v>22</v>
      </c>
      <c r="K2427" t="s">
        <v>1221</v>
      </c>
      <c r="L2427" t="s">
        <v>1256</v>
      </c>
      <c r="M2427" t="s">
        <v>19</v>
      </c>
      <c r="N2427">
        <v>1</v>
      </c>
      <c r="O2427" t="s">
        <v>142</v>
      </c>
      <c r="P2427" t="s">
        <v>146</v>
      </c>
      <c r="Q2427" t="s">
        <v>30</v>
      </c>
      <c r="R2427" t="str">
        <f>VLOOKUP($O2427,'Mapa Oficinas'!$A$7:$C$46,2,FALSE)</f>
        <v>Zona Norte (GBA)</v>
      </c>
      <c r="S2427" t="str">
        <f>VLOOKUP($O2427,'Mapa Oficinas'!$A$7:$C$46,3,FALSE)</f>
        <v>Nordelta</v>
      </c>
    </row>
    <row r="2428" spans="1:19" x14ac:dyDescent="0.2">
      <c r="A2428" s="1">
        <v>46071</v>
      </c>
      <c r="B2428" t="s">
        <v>1262</v>
      </c>
      <c r="D2428" t="s">
        <v>1263</v>
      </c>
      <c r="E2428" t="s">
        <v>16</v>
      </c>
      <c r="F2428" t="s">
        <v>17</v>
      </c>
      <c r="G2428" s="14">
        <v>279000</v>
      </c>
      <c r="H2428" s="14">
        <v>245000</v>
      </c>
      <c r="I2428" t="s">
        <v>22</v>
      </c>
      <c r="J2428" t="s">
        <v>22</v>
      </c>
      <c r="K2428" t="s">
        <v>1264</v>
      </c>
      <c r="L2428" t="s">
        <v>1265</v>
      </c>
      <c r="M2428" t="s">
        <v>19</v>
      </c>
      <c r="N2428">
        <v>2</v>
      </c>
      <c r="O2428" t="s">
        <v>367</v>
      </c>
      <c r="P2428" t="s">
        <v>21</v>
      </c>
      <c r="Q2428" t="s">
        <v>30</v>
      </c>
      <c r="R2428" t="str">
        <f>VLOOKUP($O2428,'Mapa Oficinas'!$A$7:$C$46,2,FALSE)</f>
        <v>Interior - Neuquén</v>
      </c>
      <c r="S2428" t="str">
        <f>VLOOKUP($O2428,'Mapa Oficinas'!$A$7:$C$46,3,FALSE)</f>
        <v>San Martín de los Andes</v>
      </c>
    </row>
    <row r="2429" spans="1:19" x14ac:dyDescent="0.2">
      <c r="A2429" s="1">
        <v>46071</v>
      </c>
      <c r="B2429" t="s">
        <v>1266</v>
      </c>
      <c r="D2429" t="s">
        <v>1267</v>
      </c>
      <c r="E2429" t="s">
        <v>16</v>
      </c>
      <c r="F2429" t="s">
        <v>82</v>
      </c>
      <c r="G2429" s="14">
        <v>499000</v>
      </c>
      <c r="H2429" s="14">
        <v>413000</v>
      </c>
      <c r="I2429" t="s">
        <v>22</v>
      </c>
      <c r="J2429" t="s">
        <v>22</v>
      </c>
      <c r="K2429" t="s">
        <v>1268</v>
      </c>
      <c r="L2429" t="s">
        <v>366</v>
      </c>
      <c r="M2429" t="s">
        <v>28</v>
      </c>
      <c r="N2429">
        <v>1</v>
      </c>
      <c r="O2429" t="s">
        <v>367</v>
      </c>
      <c r="P2429" t="s">
        <v>66</v>
      </c>
      <c r="Q2429" t="s">
        <v>30</v>
      </c>
      <c r="R2429" t="str">
        <f>VLOOKUP($O2429,'Mapa Oficinas'!$A$7:$C$46,2,FALSE)</f>
        <v>Interior - Neuquén</v>
      </c>
      <c r="S2429" t="str">
        <f>VLOOKUP($O2429,'Mapa Oficinas'!$A$7:$C$46,3,FALSE)</f>
        <v>San Martín de los Andes</v>
      </c>
    </row>
    <row r="2430" spans="1:19" x14ac:dyDescent="0.2">
      <c r="A2430" s="1">
        <v>46072</v>
      </c>
      <c r="B2430" t="s">
        <v>1240</v>
      </c>
      <c r="D2430" t="s">
        <v>1241</v>
      </c>
      <c r="E2430" t="s">
        <v>16</v>
      </c>
      <c r="F2430" t="s">
        <v>17</v>
      </c>
      <c r="G2430" s="14">
        <v>124000</v>
      </c>
      <c r="H2430" s="14">
        <v>124000</v>
      </c>
      <c r="I2430" t="s">
        <v>22</v>
      </c>
      <c r="J2430" t="s">
        <v>22</v>
      </c>
      <c r="K2430" t="s">
        <v>1242</v>
      </c>
      <c r="L2430" t="s">
        <v>79</v>
      </c>
      <c r="M2430" t="s">
        <v>19</v>
      </c>
      <c r="N2430">
        <v>2</v>
      </c>
      <c r="O2430" t="s">
        <v>103</v>
      </c>
      <c r="P2430" t="s">
        <v>276</v>
      </c>
      <c r="Q2430" t="s">
        <v>30</v>
      </c>
      <c r="R2430" t="str">
        <f>VLOOKUP($O2430,'Mapa Oficinas'!$A$7:$C$46,2,FALSE)</f>
        <v>CABA</v>
      </c>
      <c r="S2430" t="str">
        <f>VLOOKUP($O2430,'Mapa Oficinas'!$A$7:$C$46,3,FALSE)</f>
        <v>Barrio Parque</v>
      </c>
    </row>
    <row r="2431" spans="1:19" x14ac:dyDescent="0.2">
      <c r="A2431" s="1">
        <v>46072</v>
      </c>
      <c r="B2431" t="s">
        <v>1225</v>
      </c>
      <c r="D2431" t="s">
        <v>1226</v>
      </c>
      <c r="E2431" t="s">
        <v>16</v>
      </c>
      <c r="F2431" t="s">
        <v>17</v>
      </c>
      <c r="G2431" s="14">
        <v>148000</v>
      </c>
      <c r="H2431" s="14">
        <v>140000</v>
      </c>
      <c r="I2431" t="s">
        <v>22</v>
      </c>
      <c r="J2431" t="s">
        <v>22</v>
      </c>
      <c r="K2431" t="s">
        <v>1227</v>
      </c>
      <c r="L2431" t="s">
        <v>1228</v>
      </c>
      <c r="M2431" t="s">
        <v>28</v>
      </c>
      <c r="N2431">
        <v>2</v>
      </c>
      <c r="O2431" t="s">
        <v>142</v>
      </c>
      <c r="P2431" t="s">
        <v>41</v>
      </c>
      <c r="Q2431" t="s">
        <v>30</v>
      </c>
      <c r="R2431" t="str">
        <f>VLOOKUP($O2431,'Mapa Oficinas'!$A$7:$C$46,2,FALSE)</f>
        <v>Zona Norte (GBA)</v>
      </c>
      <c r="S2431" t="str">
        <f>VLOOKUP($O2431,'Mapa Oficinas'!$A$7:$C$46,3,FALSE)</f>
        <v>Nordelta</v>
      </c>
    </row>
    <row r="2432" spans="1:19" x14ac:dyDescent="0.2">
      <c r="A2432" s="1">
        <v>46072</v>
      </c>
      <c r="B2432" t="s">
        <v>1229</v>
      </c>
      <c r="D2432" t="s">
        <v>1230</v>
      </c>
      <c r="E2432" t="s">
        <v>16</v>
      </c>
      <c r="F2432" t="s">
        <v>82</v>
      </c>
      <c r="G2432" s="14">
        <v>180000</v>
      </c>
      <c r="H2432" s="14">
        <v>175000</v>
      </c>
      <c r="I2432" t="s">
        <v>22</v>
      </c>
      <c r="J2432" t="s">
        <v>22</v>
      </c>
      <c r="K2432" t="s">
        <v>1231</v>
      </c>
      <c r="L2432" t="s">
        <v>84</v>
      </c>
      <c r="M2432" t="s">
        <v>28</v>
      </c>
      <c r="N2432">
        <v>2</v>
      </c>
      <c r="O2432" t="s">
        <v>85</v>
      </c>
      <c r="P2432" t="s">
        <v>41</v>
      </c>
      <c r="Q2432" t="s">
        <v>30</v>
      </c>
      <c r="R2432" t="str">
        <f>VLOOKUP($O2432,'Mapa Oficinas'!$A$7:$C$46,2,FALSE)</f>
        <v>Interior - Jujuy</v>
      </c>
      <c r="S2432" t="str">
        <f>VLOOKUP($O2432,'Mapa Oficinas'!$A$7:$C$46,3,FALSE)</f>
        <v>Capital Jujuy</v>
      </c>
    </row>
    <row r="2433" spans="1:19" x14ac:dyDescent="0.2">
      <c r="A2433" s="1">
        <v>46072</v>
      </c>
      <c r="B2433" t="s">
        <v>1222</v>
      </c>
      <c r="D2433" t="s">
        <v>1223</v>
      </c>
      <c r="E2433" t="s">
        <v>16</v>
      </c>
      <c r="F2433" t="s">
        <v>17</v>
      </c>
      <c r="G2433" s="14">
        <v>680000</v>
      </c>
      <c r="H2433" s="14">
        <v>600000</v>
      </c>
      <c r="I2433" t="s">
        <v>22</v>
      </c>
      <c r="J2433" t="s">
        <v>22</v>
      </c>
      <c r="K2433" t="s">
        <v>1224</v>
      </c>
      <c r="L2433" t="s">
        <v>191</v>
      </c>
      <c r="M2433" t="s">
        <v>19</v>
      </c>
      <c r="N2433">
        <v>2</v>
      </c>
      <c r="O2433" t="s">
        <v>73</v>
      </c>
      <c r="P2433" t="s">
        <v>21</v>
      </c>
      <c r="Q2433" t="s">
        <v>30</v>
      </c>
      <c r="R2433" t="str">
        <f>VLOOKUP($O2433,'Mapa Oficinas'!$A$7:$C$46,2,FALSE)</f>
        <v>CABA</v>
      </c>
      <c r="S2433" t="str">
        <f>VLOOKUP($O2433,'Mapa Oficinas'!$A$7:$C$46,3,FALSE)</f>
        <v>Recoleta</v>
      </c>
    </row>
    <row r="2434" spans="1:19" x14ac:dyDescent="0.2">
      <c r="A2434" s="1">
        <v>46073</v>
      </c>
      <c r="B2434" t="s">
        <v>1214</v>
      </c>
      <c r="D2434" t="s">
        <v>1215</v>
      </c>
      <c r="E2434" t="s">
        <v>16</v>
      </c>
      <c r="F2434" t="s">
        <v>17</v>
      </c>
      <c r="G2434" s="14">
        <v>42000</v>
      </c>
      <c r="H2434" s="14">
        <v>42000</v>
      </c>
      <c r="I2434" t="s">
        <v>22</v>
      </c>
      <c r="J2434" t="s">
        <v>22</v>
      </c>
      <c r="K2434" t="s">
        <v>1216</v>
      </c>
      <c r="L2434" t="s">
        <v>821</v>
      </c>
      <c r="M2434" t="s">
        <v>19</v>
      </c>
      <c r="N2434">
        <v>2</v>
      </c>
      <c r="O2434" t="s">
        <v>151</v>
      </c>
      <c r="P2434" t="s">
        <v>21</v>
      </c>
      <c r="Q2434" t="s">
        <v>30</v>
      </c>
      <c r="R2434" t="str">
        <f>VLOOKUP($O2434,'Mapa Oficinas'!$A$7:$C$46,2,FALSE)</f>
        <v>Interior - Neuquén</v>
      </c>
      <c r="S2434" t="str">
        <f>VLOOKUP($O2434,'Mapa Oficinas'!$A$7:$C$46,3,FALSE)</f>
        <v>Capital Neuquén</v>
      </c>
    </row>
    <row r="2435" spans="1:19" x14ac:dyDescent="0.2">
      <c r="A2435" s="1">
        <v>46073</v>
      </c>
      <c r="B2435" t="s">
        <v>1210</v>
      </c>
      <c r="D2435" t="s">
        <v>1211</v>
      </c>
      <c r="E2435" t="s">
        <v>16</v>
      </c>
      <c r="F2435" t="s">
        <v>17</v>
      </c>
      <c r="G2435" s="14">
        <v>64000</v>
      </c>
      <c r="H2435" s="14">
        <v>64000</v>
      </c>
      <c r="I2435" t="s">
        <v>22</v>
      </c>
      <c r="J2435" t="s">
        <v>22</v>
      </c>
      <c r="K2435" t="s">
        <v>1212</v>
      </c>
      <c r="L2435" t="s">
        <v>1213</v>
      </c>
      <c r="M2435" t="s">
        <v>28</v>
      </c>
      <c r="N2435">
        <v>2</v>
      </c>
      <c r="O2435" t="s">
        <v>65</v>
      </c>
      <c r="P2435" t="s">
        <v>21</v>
      </c>
      <c r="Q2435" t="s">
        <v>30</v>
      </c>
      <c r="R2435" t="str">
        <f>VLOOKUP($O2435,'Mapa Oficinas'!$A$7:$C$46,2,FALSE)</f>
        <v>Interior - Mendoza</v>
      </c>
      <c r="S2435" t="str">
        <f>VLOOKUP($O2435,'Mapa Oficinas'!$A$7:$C$46,3,FALSE)</f>
        <v>Capital Mendoza</v>
      </c>
    </row>
    <row r="2436" spans="1:19" x14ac:dyDescent="0.2">
      <c r="A2436" s="1">
        <v>46073</v>
      </c>
      <c r="B2436" t="s">
        <v>1199</v>
      </c>
      <c r="D2436" t="s">
        <v>1200</v>
      </c>
      <c r="E2436" t="s">
        <v>16</v>
      </c>
      <c r="F2436" t="s">
        <v>47</v>
      </c>
      <c r="G2436" s="14">
        <v>75000</v>
      </c>
      <c r="H2436" s="14">
        <v>67500</v>
      </c>
      <c r="I2436" t="s">
        <v>22</v>
      </c>
      <c r="J2436" t="s">
        <v>22</v>
      </c>
      <c r="K2436" t="s">
        <v>1201</v>
      </c>
      <c r="L2436" t="s">
        <v>170</v>
      </c>
      <c r="M2436" t="s">
        <v>19</v>
      </c>
      <c r="N2436">
        <v>2</v>
      </c>
      <c r="O2436" t="s">
        <v>171</v>
      </c>
      <c r="P2436" t="s">
        <v>21</v>
      </c>
      <c r="Q2436" t="s">
        <v>30</v>
      </c>
      <c r="R2436" t="str">
        <f>VLOOKUP($O2436,'Mapa Oficinas'!$A$7:$C$46,2,FALSE)</f>
        <v>Zona Sur (GBA)</v>
      </c>
      <c r="S2436" t="str">
        <f>VLOOKUP($O2436,'Mapa Oficinas'!$A$7:$C$46,3,FALSE)</f>
        <v>La Plata</v>
      </c>
    </row>
    <row r="2437" spans="1:19" x14ac:dyDescent="0.2">
      <c r="A2437" s="1">
        <v>46073</v>
      </c>
      <c r="B2437" t="s">
        <v>1195</v>
      </c>
      <c r="D2437" t="s">
        <v>1196</v>
      </c>
      <c r="E2437" t="s">
        <v>16</v>
      </c>
      <c r="F2437" t="s">
        <v>17</v>
      </c>
      <c r="G2437" s="14">
        <v>150000</v>
      </c>
      <c r="H2437" s="14">
        <v>159000</v>
      </c>
      <c r="I2437" t="s">
        <v>22</v>
      </c>
      <c r="J2437" t="s">
        <v>22</v>
      </c>
      <c r="K2437" t="s">
        <v>1197</v>
      </c>
      <c r="L2437" t="s">
        <v>1198</v>
      </c>
      <c r="M2437" t="s">
        <v>28</v>
      </c>
      <c r="N2437">
        <v>2</v>
      </c>
      <c r="O2437" t="s">
        <v>50</v>
      </c>
      <c r="P2437" t="s">
        <v>44</v>
      </c>
      <c r="Q2437" t="s">
        <v>30</v>
      </c>
      <c r="R2437" t="str">
        <f>VLOOKUP($O2437,'Mapa Oficinas'!$A$7:$C$46,2,FALSE)</f>
        <v>CABA</v>
      </c>
      <c r="S2437" t="str">
        <f>VLOOKUP($O2437,'Mapa Oficinas'!$A$7:$C$46,3,FALSE)</f>
        <v>Villa Urquiza</v>
      </c>
    </row>
    <row r="2438" spans="1:19" x14ac:dyDescent="0.2">
      <c r="A2438" s="1">
        <v>46073</v>
      </c>
      <c r="B2438" t="s">
        <v>1206</v>
      </c>
      <c r="D2438" t="s">
        <v>1207</v>
      </c>
      <c r="E2438" t="s">
        <v>16</v>
      </c>
      <c r="F2438" t="s">
        <v>38</v>
      </c>
      <c r="G2438" s="14">
        <v>235000</v>
      </c>
      <c r="H2438" s="14">
        <v>230000</v>
      </c>
      <c r="I2438" t="s">
        <v>22</v>
      </c>
      <c r="J2438" t="s">
        <v>22</v>
      </c>
      <c r="K2438" t="s">
        <v>1208</v>
      </c>
      <c r="L2438" t="s">
        <v>1209</v>
      </c>
      <c r="M2438" t="s">
        <v>19</v>
      </c>
      <c r="N2438">
        <v>2</v>
      </c>
      <c r="O2438" t="s">
        <v>40</v>
      </c>
      <c r="P2438" t="s">
        <v>21</v>
      </c>
      <c r="Q2438" t="s">
        <v>30</v>
      </c>
      <c r="R2438" t="str">
        <f>VLOOKUP($O2438,'Mapa Oficinas'!$A$7:$C$46,2,FALSE)</f>
        <v>Zona Norte (GBA)</v>
      </c>
      <c r="S2438" t="str">
        <f>VLOOKUP($O2438,'Mapa Oficinas'!$A$7:$C$46,3,FALSE)</f>
        <v>Pilar</v>
      </c>
    </row>
    <row r="2439" spans="1:19" x14ac:dyDescent="0.2">
      <c r="A2439" s="1">
        <v>46073</v>
      </c>
      <c r="B2439" t="s">
        <v>1218</v>
      </c>
      <c r="D2439" t="s">
        <v>1219</v>
      </c>
      <c r="E2439" t="s">
        <v>16</v>
      </c>
      <c r="F2439" t="s">
        <v>17</v>
      </c>
      <c r="G2439" s="14">
        <v>295000</v>
      </c>
      <c r="H2439" s="14">
        <v>270000</v>
      </c>
      <c r="I2439" t="s">
        <v>22</v>
      </c>
      <c r="J2439" t="s">
        <v>22</v>
      </c>
      <c r="K2439" t="s">
        <v>1220</v>
      </c>
      <c r="L2439" t="s">
        <v>1017</v>
      </c>
      <c r="M2439" t="s">
        <v>19</v>
      </c>
      <c r="N2439">
        <v>2</v>
      </c>
      <c r="O2439" t="s">
        <v>103</v>
      </c>
      <c r="P2439" t="s">
        <v>21</v>
      </c>
      <c r="Q2439" t="s">
        <v>30</v>
      </c>
      <c r="R2439" t="str">
        <f>VLOOKUP($O2439,'Mapa Oficinas'!$A$7:$C$46,2,FALSE)</f>
        <v>CABA</v>
      </c>
      <c r="S2439" t="str">
        <f>VLOOKUP($O2439,'Mapa Oficinas'!$A$7:$C$46,3,FALSE)</f>
        <v>Barrio Parque</v>
      </c>
    </row>
    <row r="2440" spans="1:19" x14ac:dyDescent="0.2">
      <c r="A2440" s="1">
        <v>46074</v>
      </c>
      <c r="D2440" t="s">
        <v>1194</v>
      </c>
      <c r="E2440" t="s">
        <v>16</v>
      </c>
      <c r="F2440" t="s">
        <v>82</v>
      </c>
      <c r="G2440" s="14">
        <v>38000</v>
      </c>
      <c r="H2440" s="14">
        <v>38000</v>
      </c>
      <c r="I2440" t="s">
        <v>22</v>
      </c>
      <c r="J2440" t="s">
        <v>22</v>
      </c>
      <c r="K2440" t="s">
        <v>1193</v>
      </c>
      <c r="L2440" t="s">
        <v>915</v>
      </c>
      <c r="M2440" t="s">
        <v>97</v>
      </c>
      <c r="N2440">
        <v>2</v>
      </c>
      <c r="O2440" t="s">
        <v>98</v>
      </c>
      <c r="P2440" t="s">
        <v>41</v>
      </c>
      <c r="Q2440" t="s">
        <v>30</v>
      </c>
      <c r="R2440" t="str">
        <f>VLOOKUP($O2440,'Mapa Oficinas'!$A$7:$C$46,2,FALSE)</f>
        <v>Interior - Neuquén</v>
      </c>
      <c r="S2440" t="str">
        <f>VLOOKUP($O2440,'Mapa Oficinas'!$A$7:$C$46,3,FALSE)</f>
        <v>Villa La Angostura</v>
      </c>
    </row>
    <row r="2441" spans="1:19" x14ac:dyDescent="0.2">
      <c r="A2441" s="1">
        <v>46074</v>
      </c>
      <c r="D2441" t="s">
        <v>1192</v>
      </c>
      <c r="E2441" t="s">
        <v>16</v>
      </c>
      <c r="F2441" t="s">
        <v>243</v>
      </c>
      <c r="G2441" s="14">
        <v>44000</v>
      </c>
      <c r="H2441" s="14">
        <v>44000</v>
      </c>
      <c r="I2441" t="s">
        <v>22</v>
      </c>
      <c r="J2441" t="s">
        <v>22</v>
      </c>
      <c r="K2441" t="s">
        <v>1193</v>
      </c>
      <c r="L2441" t="s">
        <v>915</v>
      </c>
      <c r="M2441" t="s">
        <v>97</v>
      </c>
      <c r="N2441">
        <v>2</v>
      </c>
      <c r="O2441" t="s">
        <v>98</v>
      </c>
      <c r="P2441" t="s">
        <v>41</v>
      </c>
      <c r="Q2441" t="s">
        <v>30</v>
      </c>
      <c r="R2441" t="str">
        <f>VLOOKUP($O2441,'Mapa Oficinas'!$A$7:$C$46,2,FALSE)</f>
        <v>Interior - Neuquén</v>
      </c>
      <c r="S2441" t="str">
        <f>VLOOKUP($O2441,'Mapa Oficinas'!$A$7:$C$46,3,FALSE)</f>
        <v>Villa La Angostura</v>
      </c>
    </row>
    <row r="2442" spans="1:19" x14ac:dyDescent="0.2">
      <c r="A2442" s="1">
        <v>46074</v>
      </c>
      <c r="D2442" t="s">
        <v>1189</v>
      </c>
      <c r="E2442" t="s">
        <v>16</v>
      </c>
      <c r="F2442" t="s">
        <v>82</v>
      </c>
      <c r="G2442" s="14">
        <v>80000</v>
      </c>
      <c r="H2442" s="14">
        <v>79000</v>
      </c>
      <c r="I2442" t="s">
        <v>22</v>
      </c>
      <c r="J2442" t="s">
        <v>22</v>
      </c>
      <c r="K2442" t="s">
        <v>1190</v>
      </c>
      <c r="L2442" t="s">
        <v>1191</v>
      </c>
      <c r="M2442" t="s">
        <v>97</v>
      </c>
      <c r="N2442">
        <v>2</v>
      </c>
      <c r="O2442" t="s">
        <v>98</v>
      </c>
      <c r="P2442" t="s">
        <v>41</v>
      </c>
      <c r="Q2442" t="s">
        <v>30</v>
      </c>
      <c r="R2442" t="str">
        <f>VLOOKUP($O2442,'Mapa Oficinas'!$A$7:$C$46,2,FALSE)</f>
        <v>Interior - Neuquén</v>
      </c>
      <c r="S2442" t="str">
        <f>VLOOKUP($O2442,'Mapa Oficinas'!$A$7:$C$46,3,FALSE)</f>
        <v>Villa La Angostura</v>
      </c>
    </row>
    <row r="2443" spans="1:19" x14ac:dyDescent="0.2">
      <c r="A2443" s="1">
        <v>46075</v>
      </c>
      <c r="B2443" t="s">
        <v>1171</v>
      </c>
      <c r="D2443" t="s">
        <v>1172</v>
      </c>
      <c r="E2443" t="s">
        <v>16</v>
      </c>
      <c r="F2443" t="s">
        <v>17</v>
      </c>
      <c r="G2443" s="14">
        <v>98000</v>
      </c>
      <c r="H2443" s="14">
        <v>96500</v>
      </c>
      <c r="I2443" t="s">
        <v>22</v>
      </c>
      <c r="J2443" t="s">
        <v>22</v>
      </c>
      <c r="K2443" t="s">
        <v>1173</v>
      </c>
      <c r="L2443" t="s">
        <v>221</v>
      </c>
      <c r="M2443" t="s">
        <v>19</v>
      </c>
      <c r="N2443">
        <v>2</v>
      </c>
      <c r="O2443" t="s">
        <v>103</v>
      </c>
      <c r="P2443" t="s">
        <v>36</v>
      </c>
      <c r="Q2443" t="s">
        <v>30</v>
      </c>
      <c r="R2443" t="str">
        <f>VLOOKUP($O2443,'Mapa Oficinas'!$A$7:$C$46,2,FALSE)</f>
        <v>CABA</v>
      </c>
      <c r="S2443" t="str">
        <f>VLOOKUP($O2443,'Mapa Oficinas'!$A$7:$C$46,3,FALSE)</f>
        <v>Barrio Parque</v>
      </c>
    </row>
    <row r="2444" spans="1:19" x14ac:dyDescent="0.2">
      <c r="A2444" s="1">
        <v>46076</v>
      </c>
      <c r="B2444" t="s">
        <v>1163</v>
      </c>
      <c r="D2444" t="s">
        <v>1164</v>
      </c>
      <c r="E2444" t="s">
        <v>16</v>
      </c>
      <c r="F2444" t="s">
        <v>207</v>
      </c>
      <c r="G2444" s="14">
        <v>45000</v>
      </c>
      <c r="H2444" s="14">
        <v>40000</v>
      </c>
      <c r="I2444" t="s">
        <v>22</v>
      </c>
      <c r="J2444" t="s">
        <v>22</v>
      </c>
      <c r="K2444" t="s">
        <v>1165</v>
      </c>
      <c r="L2444" t="s">
        <v>1166</v>
      </c>
      <c r="M2444" t="s">
        <v>97</v>
      </c>
      <c r="N2444">
        <v>2</v>
      </c>
      <c r="O2444" t="s">
        <v>213</v>
      </c>
      <c r="P2444" t="s">
        <v>21</v>
      </c>
      <c r="Q2444" t="s">
        <v>30</v>
      </c>
      <c r="R2444" t="str">
        <f>VLOOKUP($O2444,'Mapa Oficinas'!$A$7:$C$46,2,FALSE)</f>
        <v>Interior - Mendoza</v>
      </c>
      <c r="S2444" t="str">
        <f>VLOOKUP($O2444,'Mapa Oficinas'!$A$7:$C$46,3,FALSE)</f>
        <v>San Rafael</v>
      </c>
    </row>
    <row r="2445" spans="1:19" x14ac:dyDescent="0.2">
      <c r="A2445" s="1">
        <v>46076</v>
      </c>
      <c r="B2445" t="s">
        <v>1160</v>
      </c>
      <c r="D2445" t="s">
        <v>1161</v>
      </c>
      <c r="E2445" t="s">
        <v>16</v>
      </c>
      <c r="F2445" t="s">
        <v>17</v>
      </c>
      <c r="G2445" s="14">
        <v>50000</v>
      </c>
      <c r="H2445" s="14">
        <v>47000</v>
      </c>
      <c r="I2445" t="s">
        <v>22</v>
      </c>
      <c r="J2445" t="s">
        <v>22</v>
      </c>
      <c r="K2445" t="s">
        <v>1162</v>
      </c>
      <c r="L2445" t="s">
        <v>946</v>
      </c>
      <c r="M2445" t="s">
        <v>97</v>
      </c>
      <c r="N2445">
        <v>2</v>
      </c>
      <c r="O2445" t="s">
        <v>65</v>
      </c>
      <c r="P2445" t="s">
        <v>41</v>
      </c>
      <c r="Q2445" t="s">
        <v>30</v>
      </c>
      <c r="R2445" t="str">
        <f>VLOOKUP($O2445,'Mapa Oficinas'!$A$7:$C$46,2,FALSE)</f>
        <v>Interior - Mendoza</v>
      </c>
      <c r="S2445" t="str">
        <f>VLOOKUP($O2445,'Mapa Oficinas'!$A$7:$C$46,3,FALSE)</f>
        <v>Capital Mendoza</v>
      </c>
    </row>
    <row r="2446" spans="1:19" x14ac:dyDescent="0.2">
      <c r="A2446" s="1">
        <v>46076</v>
      </c>
      <c r="B2446" t="s">
        <v>1171</v>
      </c>
      <c r="D2446" t="s">
        <v>1172</v>
      </c>
      <c r="E2446" t="s">
        <v>16</v>
      </c>
      <c r="F2446" t="s">
        <v>17</v>
      </c>
      <c r="G2446" s="14">
        <v>98000</v>
      </c>
      <c r="H2446" s="14">
        <v>79000</v>
      </c>
      <c r="I2446" t="s">
        <v>22</v>
      </c>
      <c r="J2446" t="s">
        <v>22</v>
      </c>
      <c r="K2446" t="s">
        <v>1173</v>
      </c>
      <c r="L2446" t="s">
        <v>221</v>
      </c>
      <c r="M2446" t="s">
        <v>19</v>
      </c>
      <c r="N2446">
        <v>2</v>
      </c>
      <c r="O2446" t="s">
        <v>103</v>
      </c>
      <c r="P2446" t="s">
        <v>276</v>
      </c>
      <c r="Q2446" t="s">
        <v>30</v>
      </c>
      <c r="R2446" t="str">
        <f>VLOOKUP($O2446,'Mapa Oficinas'!$A$7:$C$46,2,FALSE)</f>
        <v>CABA</v>
      </c>
      <c r="S2446" t="str">
        <f>VLOOKUP($O2446,'Mapa Oficinas'!$A$7:$C$46,3,FALSE)</f>
        <v>Barrio Parque</v>
      </c>
    </row>
    <row r="2447" spans="1:19" x14ac:dyDescent="0.2">
      <c r="A2447" s="1">
        <v>46076</v>
      </c>
      <c r="B2447" t="s">
        <v>737</v>
      </c>
      <c r="D2447" t="s">
        <v>738</v>
      </c>
      <c r="E2447" t="s">
        <v>16</v>
      </c>
      <c r="F2447" t="s">
        <v>17</v>
      </c>
      <c r="G2447" s="14">
        <v>85000</v>
      </c>
      <c r="H2447" s="14">
        <v>85000</v>
      </c>
      <c r="I2447" t="s">
        <v>22</v>
      </c>
      <c r="J2447" t="s">
        <v>22</v>
      </c>
      <c r="K2447" t="s">
        <v>739</v>
      </c>
      <c r="L2447" t="s">
        <v>740</v>
      </c>
      <c r="M2447" t="s">
        <v>97</v>
      </c>
      <c r="N2447">
        <v>2</v>
      </c>
      <c r="O2447" t="s">
        <v>78</v>
      </c>
      <c r="P2447" t="s">
        <v>21</v>
      </c>
      <c r="Q2447" t="s">
        <v>30</v>
      </c>
      <c r="R2447" t="str">
        <f>VLOOKUP($O2447,'Mapa Oficinas'!$A$7:$C$46,2,FALSE)</f>
        <v>CABA</v>
      </c>
      <c r="S2447" t="str">
        <f>VLOOKUP($O2447,'Mapa Oficinas'!$A$7:$C$46,3,FALSE)</f>
        <v>Palermo</v>
      </c>
    </row>
    <row r="2448" spans="1:19" x14ac:dyDescent="0.2">
      <c r="A2448" s="1">
        <v>46076</v>
      </c>
      <c r="B2448" t="s">
        <v>734</v>
      </c>
      <c r="D2448" t="s">
        <v>735</v>
      </c>
      <c r="E2448" t="s">
        <v>16</v>
      </c>
      <c r="F2448" t="s">
        <v>17</v>
      </c>
      <c r="G2448" s="14">
        <v>109000</v>
      </c>
      <c r="H2448" s="14">
        <v>93000</v>
      </c>
      <c r="I2448" t="s">
        <v>22</v>
      </c>
      <c r="J2448" t="s">
        <v>22</v>
      </c>
      <c r="K2448" t="s">
        <v>736</v>
      </c>
      <c r="L2448" t="s">
        <v>111</v>
      </c>
      <c r="M2448" t="s">
        <v>72</v>
      </c>
      <c r="N2448">
        <v>2</v>
      </c>
      <c r="O2448" t="s">
        <v>78</v>
      </c>
      <c r="P2448" t="s">
        <v>21</v>
      </c>
      <c r="Q2448" t="s">
        <v>30</v>
      </c>
      <c r="R2448" t="str">
        <f>VLOOKUP($O2448,'Mapa Oficinas'!$A$7:$C$46,2,FALSE)</f>
        <v>CABA</v>
      </c>
      <c r="S2448" t="str">
        <f>VLOOKUP($O2448,'Mapa Oficinas'!$A$7:$C$46,3,FALSE)</f>
        <v>Palermo</v>
      </c>
    </row>
    <row r="2449" spans="1:19" x14ac:dyDescent="0.2">
      <c r="A2449" s="1">
        <v>46076</v>
      </c>
      <c r="B2449" t="s">
        <v>1157</v>
      </c>
      <c r="D2449" t="s">
        <v>1158</v>
      </c>
      <c r="E2449" t="s">
        <v>16</v>
      </c>
      <c r="F2449" t="s">
        <v>17</v>
      </c>
      <c r="G2449" s="14">
        <v>108000</v>
      </c>
      <c r="H2449" s="14">
        <v>104000</v>
      </c>
      <c r="I2449" t="s">
        <v>22</v>
      </c>
      <c r="J2449" t="s">
        <v>22</v>
      </c>
      <c r="K2449" t="s">
        <v>1159</v>
      </c>
      <c r="L2449" t="s">
        <v>191</v>
      </c>
      <c r="M2449" t="s">
        <v>19</v>
      </c>
      <c r="N2449">
        <v>2</v>
      </c>
      <c r="O2449" t="s">
        <v>201</v>
      </c>
      <c r="P2449" t="s">
        <v>276</v>
      </c>
      <c r="Q2449" t="s">
        <v>30</v>
      </c>
      <c r="R2449" t="str">
        <f>VLOOKUP($O2449,'Mapa Oficinas'!$A$7:$C$46,2,FALSE)</f>
        <v>CABA</v>
      </c>
      <c r="S2449" t="str">
        <f>VLOOKUP($O2449,'Mapa Oficinas'!$A$7:$C$46,3,FALSE)</f>
        <v>Recoleta</v>
      </c>
    </row>
    <row r="2450" spans="1:19" x14ac:dyDescent="0.2">
      <c r="A2450" s="1">
        <v>46076</v>
      </c>
      <c r="B2450" t="s">
        <v>1178</v>
      </c>
      <c r="D2450" t="s">
        <v>1179</v>
      </c>
      <c r="E2450" t="s">
        <v>16</v>
      </c>
      <c r="F2450" t="s">
        <v>17</v>
      </c>
      <c r="G2450" s="14">
        <v>110000</v>
      </c>
      <c r="H2450" s="14">
        <v>105000</v>
      </c>
      <c r="I2450" t="s">
        <v>22</v>
      </c>
      <c r="J2450" t="s">
        <v>22</v>
      </c>
      <c r="K2450" t="s">
        <v>1180</v>
      </c>
      <c r="L2450" t="s">
        <v>867</v>
      </c>
      <c r="M2450" t="s">
        <v>19</v>
      </c>
      <c r="N2450">
        <v>2</v>
      </c>
      <c r="O2450" t="s">
        <v>103</v>
      </c>
      <c r="P2450" t="s">
        <v>276</v>
      </c>
      <c r="Q2450" t="s">
        <v>30</v>
      </c>
      <c r="R2450" t="str">
        <f>VLOOKUP($O2450,'Mapa Oficinas'!$A$7:$C$46,2,FALSE)</f>
        <v>CABA</v>
      </c>
      <c r="S2450" t="str">
        <f>VLOOKUP($O2450,'Mapa Oficinas'!$A$7:$C$46,3,FALSE)</f>
        <v>Barrio Parque</v>
      </c>
    </row>
    <row r="2451" spans="1:19" x14ac:dyDescent="0.2">
      <c r="A2451" s="1">
        <v>46076</v>
      </c>
      <c r="B2451" t="s">
        <v>1184</v>
      </c>
      <c r="D2451" t="s">
        <v>1185</v>
      </c>
      <c r="E2451" t="s">
        <v>16</v>
      </c>
      <c r="F2451" t="s">
        <v>17</v>
      </c>
      <c r="G2451" s="14">
        <v>105000</v>
      </c>
      <c r="H2451" s="14">
        <v>105000</v>
      </c>
      <c r="I2451" t="s">
        <v>22</v>
      </c>
      <c r="J2451" t="s">
        <v>22</v>
      </c>
      <c r="K2451" t="s">
        <v>1185</v>
      </c>
      <c r="L2451" t="s">
        <v>79</v>
      </c>
      <c r="M2451" t="s">
        <v>19</v>
      </c>
      <c r="N2451">
        <v>1</v>
      </c>
      <c r="O2451" t="s">
        <v>20</v>
      </c>
      <c r="P2451" t="s">
        <v>146</v>
      </c>
      <c r="Q2451" t="s">
        <v>30</v>
      </c>
      <c r="R2451" t="str">
        <f>VLOOKUP($O2451,'Mapa Oficinas'!$A$7:$C$46,2,FALSE)</f>
        <v>CABA</v>
      </c>
      <c r="S2451" t="str">
        <f>VLOOKUP($O2451,'Mapa Oficinas'!$A$7:$C$46,3,FALSE)</f>
        <v>Palermo</v>
      </c>
    </row>
    <row r="2452" spans="1:19" x14ac:dyDescent="0.2">
      <c r="A2452" s="1">
        <v>46076</v>
      </c>
      <c r="B2452" t="s">
        <v>1174</v>
      </c>
      <c r="D2452" t="s">
        <v>1175</v>
      </c>
      <c r="E2452" t="s">
        <v>16</v>
      </c>
      <c r="F2452" t="s">
        <v>17</v>
      </c>
      <c r="G2452" s="14">
        <v>113000</v>
      </c>
      <c r="H2452" s="14">
        <v>108000</v>
      </c>
      <c r="I2452" t="s">
        <v>22</v>
      </c>
      <c r="J2452" t="s">
        <v>22</v>
      </c>
      <c r="K2452" t="s">
        <v>1176</v>
      </c>
      <c r="L2452" t="s">
        <v>1177</v>
      </c>
      <c r="M2452" t="s">
        <v>19</v>
      </c>
      <c r="N2452">
        <v>2</v>
      </c>
      <c r="O2452" t="s">
        <v>103</v>
      </c>
      <c r="P2452" t="s">
        <v>21</v>
      </c>
      <c r="Q2452" t="s">
        <v>30</v>
      </c>
      <c r="R2452" t="str">
        <f>VLOOKUP($O2452,'Mapa Oficinas'!$A$7:$C$46,2,FALSE)</f>
        <v>CABA</v>
      </c>
      <c r="S2452" t="str">
        <f>VLOOKUP($O2452,'Mapa Oficinas'!$A$7:$C$46,3,FALSE)</f>
        <v>Barrio Parque</v>
      </c>
    </row>
    <row r="2453" spans="1:19" x14ac:dyDescent="0.2">
      <c r="A2453" s="1">
        <v>46076</v>
      </c>
      <c r="B2453" t="s">
        <v>1181</v>
      </c>
      <c r="D2453" t="s">
        <v>1182</v>
      </c>
      <c r="E2453" t="s">
        <v>16</v>
      </c>
      <c r="F2453" t="s">
        <v>17</v>
      </c>
      <c r="G2453" s="14">
        <v>130000</v>
      </c>
      <c r="H2453" s="14">
        <v>125000</v>
      </c>
      <c r="I2453" t="s">
        <v>22</v>
      </c>
      <c r="J2453" t="s">
        <v>22</v>
      </c>
      <c r="K2453" t="s">
        <v>1183</v>
      </c>
      <c r="L2453" t="s">
        <v>277</v>
      </c>
      <c r="M2453" t="s">
        <v>19</v>
      </c>
      <c r="N2453">
        <v>2</v>
      </c>
      <c r="O2453" t="s">
        <v>20</v>
      </c>
      <c r="P2453" t="s">
        <v>276</v>
      </c>
      <c r="Q2453" t="s">
        <v>30</v>
      </c>
      <c r="R2453" t="str">
        <f>VLOOKUP($O2453,'Mapa Oficinas'!$A$7:$C$46,2,FALSE)</f>
        <v>CABA</v>
      </c>
      <c r="S2453" t="str">
        <f>VLOOKUP($O2453,'Mapa Oficinas'!$A$7:$C$46,3,FALSE)</f>
        <v>Palermo</v>
      </c>
    </row>
    <row r="2454" spans="1:19" x14ac:dyDescent="0.2">
      <c r="A2454" s="1">
        <v>46076</v>
      </c>
      <c r="B2454" t="s">
        <v>1167</v>
      </c>
      <c r="D2454" t="s">
        <v>1168</v>
      </c>
      <c r="E2454" t="s">
        <v>16</v>
      </c>
      <c r="F2454" t="s">
        <v>127</v>
      </c>
      <c r="G2454" s="14">
        <v>175000</v>
      </c>
      <c r="H2454" s="14">
        <v>170000</v>
      </c>
      <c r="I2454" t="s">
        <v>22</v>
      </c>
      <c r="J2454" t="s">
        <v>22</v>
      </c>
      <c r="K2454" t="s">
        <v>1169</v>
      </c>
      <c r="L2454" t="s">
        <v>1170</v>
      </c>
      <c r="M2454" t="s">
        <v>19</v>
      </c>
      <c r="N2454">
        <v>2</v>
      </c>
      <c r="O2454" t="s">
        <v>98</v>
      </c>
      <c r="P2454" t="s">
        <v>44</v>
      </c>
      <c r="Q2454" t="s">
        <v>30</v>
      </c>
      <c r="R2454" t="str">
        <f>VLOOKUP($O2454,'Mapa Oficinas'!$A$7:$C$46,2,FALSE)</f>
        <v>Interior - Neuquén</v>
      </c>
      <c r="S2454" t="str">
        <f>VLOOKUP($O2454,'Mapa Oficinas'!$A$7:$C$46,3,FALSE)</f>
        <v>Villa La Angostura</v>
      </c>
    </row>
    <row r="2455" spans="1:19" x14ac:dyDescent="0.2">
      <c r="A2455" s="1">
        <v>46076</v>
      </c>
      <c r="B2455" t="s">
        <v>1167</v>
      </c>
      <c r="D2455" t="s">
        <v>1168</v>
      </c>
      <c r="E2455" t="s">
        <v>16</v>
      </c>
      <c r="F2455" t="s">
        <v>82</v>
      </c>
      <c r="G2455" s="14">
        <v>175000</v>
      </c>
      <c r="H2455" s="14">
        <v>170000</v>
      </c>
      <c r="I2455" t="s">
        <v>22</v>
      </c>
      <c r="J2455" t="s">
        <v>22</v>
      </c>
      <c r="K2455" t="s">
        <v>1169</v>
      </c>
      <c r="L2455" t="s">
        <v>1170</v>
      </c>
      <c r="M2455" t="s">
        <v>19</v>
      </c>
      <c r="N2455">
        <v>2</v>
      </c>
      <c r="O2455" t="s">
        <v>367</v>
      </c>
      <c r="P2455" t="s">
        <v>44</v>
      </c>
      <c r="Q2455" t="s">
        <v>30</v>
      </c>
      <c r="R2455" t="str">
        <f>VLOOKUP($O2455,'Mapa Oficinas'!$A$7:$C$46,2,FALSE)</f>
        <v>Interior - Neuquén</v>
      </c>
      <c r="S2455" t="str">
        <f>VLOOKUP($O2455,'Mapa Oficinas'!$A$7:$C$46,3,FALSE)</f>
        <v>San Martín de los Andes</v>
      </c>
    </row>
    <row r="2456" spans="1:19" x14ac:dyDescent="0.2">
      <c r="A2456" s="1">
        <v>46076</v>
      </c>
      <c r="D2456" t="s">
        <v>1155</v>
      </c>
      <c r="E2456" t="s">
        <v>16</v>
      </c>
      <c r="F2456" t="s">
        <v>17</v>
      </c>
      <c r="G2456" s="14">
        <v>285000</v>
      </c>
      <c r="H2456" s="14">
        <v>285000</v>
      </c>
      <c r="I2456" t="s">
        <v>22</v>
      </c>
      <c r="J2456" t="s">
        <v>22</v>
      </c>
      <c r="K2456" t="s">
        <v>1156</v>
      </c>
      <c r="L2456" t="s">
        <v>191</v>
      </c>
      <c r="M2456" t="s">
        <v>19</v>
      </c>
      <c r="N2456">
        <v>1</v>
      </c>
      <c r="O2456" t="s">
        <v>201</v>
      </c>
      <c r="P2456" t="s">
        <v>146</v>
      </c>
      <c r="Q2456" t="s">
        <v>30</v>
      </c>
      <c r="R2456" t="str">
        <f>VLOOKUP($O2456,'Mapa Oficinas'!$A$7:$C$46,2,FALSE)</f>
        <v>CABA</v>
      </c>
      <c r="S2456" t="str">
        <f>VLOOKUP($O2456,'Mapa Oficinas'!$A$7:$C$46,3,FALSE)</f>
        <v>Recoleta</v>
      </c>
    </row>
    <row r="2457" spans="1:19" x14ac:dyDescent="0.2">
      <c r="A2457" s="1">
        <v>46076</v>
      </c>
      <c r="B2457" t="s">
        <v>1186</v>
      </c>
      <c r="D2457" t="s">
        <v>1187</v>
      </c>
      <c r="E2457" t="s">
        <v>16</v>
      </c>
      <c r="F2457" t="s">
        <v>17</v>
      </c>
      <c r="G2457" s="14">
        <v>590000</v>
      </c>
      <c r="H2457" s="14">
        <v>555000</v>
      </c>
      <c r="I2457" t="s">
        <v>22</v>
      </c>
      <c r="J2457" t="s">
        <v>22</v>
      </c>
      <c r="K2457" t="s">
        <v>1188</v>
      </c>
      <c r="L2457" t="s">
        <v>191</v>
      </c>
      <c r="M2457" t="s">
        <v>19</v>
      </c>
      <c r="N2457">
        <v>2</v>
      </c>
      <c r="O2457" t="s">
        <v>20</v>
      </c>
      <c r="P2457" t="s">
        <v>21</v>
      </c>
      <c r="Q2457" t="s">
        <v>30</v>
      </c>
      <c r="R2457" t="str">
        <f>VLOOKUP($O2457,'Mapa Oficinas'!$A$7:$C$46,2,FALSE)</f>
        <v>CABA</v>
      </c>
      <c r="S2457" t="str">
        <f>VLOOKUP($O2457,'Mapa Oficinas'!$A$7:$C$46,3,FALSE)</f>
        <v>Palermo</v>
      </c>
    </row>
    <row r="2458" spans="1:19" x14ac:dyDescent="0.2">
      <c r="A2458" s="1">
        <v>46077</v>
      </c>
      <c r="B2458">
        <v>18</v>
      </c>
      <c r="D2458" t="s">
        <v>1147</v>
      </c>
      <c r="E2458" t="s">
        <v>16</v>
      </c>
      <c r="F2458" t="s">
        <v>82</v>
      </c>
      <c r="G2458" s="14">
        <v>46000</v>
      </c>
      <c r="H2458" s="14">
        <v>47000</v>
      </c>
      <c r="I2458" t="s">
        <v>22</v>
      </c>
      <c r="J2458" t="s">
        <v>22</v>
      </c>
      <c r="K2458" t="s">
        <v>1148</v>
      </c>
      <c r="L2458" t="s">
        <v>200</v>
      </c>
      <c r="M2458" t="s">
        <v>19</v>
      </c>
      <c r="N2458">
        <v>1</v>
      </c>
      <c r="O2458" t="s">
        <v>116</v>
      </c>
      <c r="P2458" t="s">
        <v>146</v>
      </c>
      <c r="Q2458" t="s">
        <v>30</v>
      </c>
      <c r="R2458" t="str">
        <f>VLOOKUP($O2458,'Mapa Oficinas'!$A$7:$C$46,2,FALSE)</f>
        <v>CABA</v>
      </c>
      <c r="S2458" t="str">
        <f>VLOOKUP($O2458,'Mapa Oficinas'!$A$7:$C$46,3,FALSE)</f>
        <v>Puerto Madero</v>
      </c>
    </row>
    <row r="2459" spans="1:19" x14ac:dyDescent="0.2">
      <c r="A2459" s="1">
        <v>46077</v>
      </c>
      <c r="B2459" t="s">
        <v>1129</v>
      </c>
      <c r="D2459" t="s">
        <v>1130</v>
      </c>
      <c r="E2459" t="s">
        <v>16</v>
      </c>
      <c r="F2459" t="s">
        <v>17</v>
      </c>
      <c r="G2459" s="14">
        <v>95000</v>
      </c>
      <c r="H2459" s="14">
        <v>90000</v>
      </c>
      <c r="I2459" t="s">
        <v>22</v>
      </c>
      <c r="J2459" t="s">
        <v>22</v>
      </c>
      <c r="K2459" t="s">
        <v>1131</v>
      </c>
      <c r="L2459" t="s">
        <v>1132</v>
      </c>
      <c r="M2459" t="s">
        <v>212</v>
      </c>
      <c r="N2459">
        <v>2</v>
      </c>
      <c r="O2459" t="s">
        <v>65</v>
      </c>
      <c r="P2459" t="s">
        <v>41</v>
      </c>
      <c r="Q2459" t="s">
        <v>30</v>
      </c>
      <c r="R2459" t="str">
        <f>VLOOKUP($O2459,'Mapa Oficinas'!$A$7:$C$46,2,FALSE)</f>
        <v>Interior - Mendoza</v>
      </c>
      <c r="S2459" t="str">
        <f>VLOOKUP($O2459,'Mapa Oficinas'!$A$7:$C$46,3,FALSE)</f>
        <v>Capital Mendoza</v>
      </c>
    </row>
    <row r="2460" spans="1:19" x14ac:dyDescent="0.2">
      <c r="A2460" s="1">
        <v>46077</v>
      </c>
      <c r="B2460" t="s">
        <v>1140</v>
      </c>
      <c r="D2460" t="s">
        <v>1141</v>
      </c>
      <c r="E2460" t="s">
        <v>16</v>
      </c>
      <c r="F2460" t="s">
        <v>17</v>
      </c>
      <c r="G2460" s="14">
        <v>148000</v>
      </c>
      <c r="H2460" s="14">
        <v>142000</v>
      </c>
      <c r="I2460" t="s">
        <v>22</v>
      </c>
      <c r="J2460" t="s">
        <v>22</v>
      </c>
      <c r="K2460" t="s">
        <v>1142</v>
      </c>
      <c r="L2460" t="s">
        <v>282</v>
      </c>
      <c r="M2460" t="s">
        <v>19</v>
      </c>
      <c r="N2460">
        <v>2</v>
      </c>
      <c r="O2460" t="s">
        <v>142</v>
      </c>
      <c r="P2460" t="s">
        <v>21</v>
      </c>
      <c r="Q2460" t="s">
        <v>30</v>
      </c>
      <c r="R2460" t="str">
        <f>VLOOKUP($O2460,'Mapa Oficinas'!$A$7:$C$46,2,FALSE)</f>
        <v>Zona Norte (GBA)</v>
      </c>
      <c r="S2460" t="str">
        <f>VLOOKUP($O2460,'Mapa Oficinas'!$A$7:$C$46,3,FALSE)</f>
        <v>Nordelta</v>
      </c>
    </row>
    <row r="2461" spans="1:19" x14ac:dyDescent="0.2">
      <c r="A2461" s="1">
        <v>46077</v>
      </c>
      <c r="B2461" t="s">
        <v>1126</v>
      </c>
      <c r="D2461" t="s">
        <v>1127</v>
      </c>
      <c r="E2461" t="s">
        <v>16</v>
      </c>
      <c r="F2461" t="s">
        <v>17</v>
      </c>
      <c r="G2461" s="14">
        <v>149000</v>
      </c>
      <c r="H2461" s="14">
        <v>142500</v>
      </c>
      <c r="I2461" t="s">
        <v>22</v>
      </c>
      <c r="J2461" t="s">
        <v>22</v>
      </c>
      <c r="K2461" t="s">
        <v>1128</v>
      </c>
      <c r="L2461" t="s">
        <v>217</v>
      </c>
      <c r="M2461" t="s">
        <v>19</v>
      </c>
      <c r="N2461">
        <v>2</v>
      </c>
      <c r="O2461" t="s">
        <v>252</v>
      </c>
      <c r="P2461" t="s">
        <v>21</v>
      </c>
      <c r="Q2461" t="s">
        <v>30</v>
      </c>
      <c r="R2461" t="str">
        <f>VLOOKUP($O2461,'Mapa Oficinas'!$A$7:$C$46,2,FALSE)</f>
        <v>CABA</v>
      </c>
      <c r="S2461" t="str">
        <f>VLOOKUP($O2461,'Mapa Oficinas'!$A$7:$C$46,3,FALSE)</f>
        <v>Belgrano</v>
      </c>
    </row>
    <row r="2462" spans="1:19" x14ac:dyDescent="0.2">
      <c r="A2462" s="1">
        <v>46077</v>
      </c>
      <c r="B2462" t="s">
        <v>1123</v>
      </c>
      <c r="D2462" t="s">
        <v>1124</v>
      </c>
      <c r="E2462" t="s">
        <v>16</v>
      </c>
      <c r="F2462" t="s">
        <v>17</v>
      </c>
      <c r="G2462" s="14">
        <v>179000</v>
      </c>
      <c r="H2462" s="14">
        <v>173000</v>
      </c>
      <c r="I2462" t="s">
        <v>22</v>
      </c>
      <c r="J2462" t="s">
        <v>22</v>
      </c>
      <c r="K2462" t="s">
        <v>1125</v>
      </c>
      <c r="L2462" t="s">
        <v>221</v>
      </c>
      <c r="M2462" t="s">
        <v>19</v>
      </c>
      <c r="N2462">
        <v>2</v>
      </c>
      <c r="O2462" t="s">
        <v>73</v>
      </c>
      <c r="P2462" t="s">
        <v>21</v>
      </c>
      <c r="Q2462" t="s">
        <v>30</v>
      </c>
      <c r="R2462" t="str">
        <f>VLOOKUP($O2462,'Mapa Oficinas'!$A$7:$C$46,2,FALSE)</f>
        <v>CABA</v>
      </c>
      <c r="S2462" t="str">
        <f>VLOOKUP($O2462,'Mapa Oficinas'!$A$7:$C$46,3,FALSE)</f>
        <v>Recoleta</v>
      </c>
    </row>
    <row r="2463" spans="1:19" x14ac:dyDescent="0.2">
      <c r="A2463" s="1">
        <v>46077</v>
      </c>
      <c r="D2463" t="s">
        <v>1149</v>
      </c>
      <c r="E2463" t="s">
        <v>16</v>
      </c>
      <c r="F2463" t="s">
        <v>58</v>
      </c>
      <c r="G2463" s="14">
        <v>240000</v>
      </c>
      <c r="H2463" s="14">
        <v>240000</v>
      </c>
      <c r="I2463" t="s">
        <v>22</v>
      </c>
      <c r="J2463" t="s">
        <v>22</v>
      </c>
      <c r="K2463" t="s">
        <v>1150</v>
      </c>
      <c r="L2463" t="s">
        <v>1151</v>
      </c>
      <c r="M2463" t="s">
        <v>28</v>
      </c>
      <c r="N2463">
        <v>1</v>
      </c>
      <c r="O2463" t="s">
        <v>206</v>
      </c>
      <c r="P2463" t="s">
        <v>146</v>
      </c>
      <c r="Q2463" t="s">
        <v>30</v>
      </c>
      <c r="R2463" t="str">
        <f>VLOOKUP($O2463,'Mapa Oficinas'!$A$7:$C$46,2,FALSE)</f>
        <v>CABA</v>
      </c>
      <c r="S2463" t="str">
        <f>VLOOKUP($O2463,'Mapa Oficinas'!$A$7:$C$46,3,FALSE)</f>
        <v>Belgrano</v>
      </c>
    </row>
    <row r="2464" spans="1:19" x14ac:dyDescent="0.2">
      <c r="A2464" s="1">
        <v>46077</v>
      </c>
      <c r="B2464" t="s">
        <v>1138</v>
      </c>
      <c r="D2464" t="s">
        <v>1139</v>
      </c>
      <c r="E2464" t="s">
        <v>16</v>
      </c>
      <c r="F2464" t="s">
        <v>17</v>
      </c>
      <c r="G2464" s="14">
        <v>330000</v>
      </c>
      <c r="H2464" s="14">
        <v>300000</v>
      </c>
      <c r="I2464" t="s">
        <v>22</v>
      </c>
      <c r="J2464" t="s">
        <v>22</v>
      </c>
      <c r="K2464" t="s">
        <v>1139</v>
      </c>
      <c r="L2464" t="s">
        <v>258</v>
      </c>
      <c r="M2464" t="s">
        <v>28</v>
      </c>
      <c r="N2464">
        <v>2</v>
      </c>
      <c r="O2464" t="s">
        <v>29</v>
      </c>
      <c r="P2464" t="s">
        <v>276</v>
      </c>
      <c r="Q2464" t="s">
        <v>30</v>
      </c>
      <c r="R2464" t="str">
        <f>VLOOKUP($O2464,'Mapa Oficinas'!$A$7:$C$46,2,FALSE)</f>
        <v>CABA</v>
      </c>
      <c r="S2464" t="str">
        <f>VLOOKUP($O2464,'Mapa Oficinas'!$A$7:$C$46,3,FALSE)</f>
        <v>Núñez</v>
      </c>
    </row>
    <row r="2465" spans="1:19" x14ac:dyDescent="0.2">
      <c r="A2465" s="1">
        <v>46078</v>
      </c>
      <c r="B2465" t="s">
        <v>1105</v>
      </c>
      <c r="D2465" t="s">
        <v>1105</v>
      </c>
      <c r="E2465" t="s">
        <v>16</v>
      </c>
      <c r="F2465" t="s">
        <v>47</v>
      </c>
      <c r="G2465" s="14">
        <v>38000</v>
      </c>
      <c r="H2465" s="14">
        <v>39000</v>
      </c>
      <c r="I2465" t="s">
        <v>22</v>
      </c>
      <c r="J2465" t="s">
        <v>22</v>
      </c>
      <c r="K2465" t="s">
        <v>1105</v>
      </c>
      <c r="L2465" t="s">
        <v>604</v>
      </c>
      <c r="M2465" t="s">
        <v>19</v>
      </c>
      <c r="N2465">
        <v>2</v>
      </c>
      <c r="O2465" t="s">
        <v>50</v>
      </c>
      <c r="P2465" t="s">
        <v>21</v>
      </c>
      <c r="Q2465" t="s">
        <v>30</v>
      </c>
      <c r="R2465" t="str">
        <f>VLOOKUP($O2465,'Mapa Oficinas'!$A$7:$C$46,2,FALSE)</f>
        <v>CABA</v>
      </c>
      <c r="S2465" t="str">
        <f>VLOOKUP($O2465,'Mapa Oficinas'!$A$7:$C$46,3,FALSE)</f>
        <v>Villa Urquiza</v>
      </c>
    </row>
    <row r="2466" spans="1:19" x14ac:dyDescent="0.2">
      <c r="A2466" s="1">
        <v>46078</v>
      </c>
      <c r="B2466" t="s">
        <v>1102</v>
      </c>
      <c r="D2466" t="s">
        <v>1103</v>
      </c>
      <c r="E2466" t="s">
        <v>16</v>
      </c>
      <c r="F2466" t="s">
        <v>17</v>
      </c>
      <c r="G2466" s="14">
        <v>74000</v>
      </c>
      <c r="H2466" s="14">
        <v>72000</v>
      </c>
      <c r="I2466" t="s">
        <v>22</v>
      </c>
      <c r="J2466" t="s">
        <v>22</v>
      </c>
      <c r="K2466" t="s">
        <v>1104</v>
      </c>
      <c r="L2466" t="s">
        <v>191</v>
      </c>
      <c r="M2466" t="s">
        <v>19</v>
      </c>
      <c r="N2466">
        <v>2</v>
      </c>
      <c r="O2466" t="s">
        <v>547</v>
      </c>
      <c r="P2466" t="s">
        <v>21</v>
      </c>
      <c r="Q2466" t="s">
        <v>30</v>
      </c>
      <c r="R2466" t="str">
        <f>VLOOKUP($O2466,'Mapa Oficinas'!$A$7:$C$46,2,FALSE)</f>
        <v>CABA</v>
      </c>
      <c r="S2466" t="str">
        <f>VLOOKUP($O2466,'Mapa Oficinas'!$A$7:$C$46,3,FALSE)</f>
        <v>Núñez</v>
      </c>
    </row>
    <row r="2467" spans="1:19" x14ac:dyDescent="0.2">
      <c r="A2467" s="1">
        <v>46078</v>
      </c>
      <c r="B2467">
        <v>25022026</v>
      </c>
      <c r="D2467" t="s">
        <v>1119</v>
      </c>
      <c r="E2467" t="s">
        <v>16</v>
      </c>
      <c r="F2467" t="s">
        <v>134</v>
      </c>
      <c r="G2467" s="14">
        <v>165000</v>
      </c>
      <c r="H2467" s="14">
        <v>165000</v>
      </c>
      <c r="I2467" t="s">
        <v>22</v>
      </c>
      <c r="J2467" t="s">
        <v>22</v>
      </c>
      <c r="L2467" t="s">
        <v>129</v>
      </c>
      <c r="M2467" t="s">
        <v>28</v>
      </c>
      <c r="N2467">
        <v>2</v>
      </c>
      <c r="O2467" t="s">
        <v>130</v>
      </c>
      <c r="P2467" t="s">
        <v>41</v>
      </c>
      <c r="Q2467" t="s">
        <v>30</v>
      </c>
      <c r="R2467" t="str">
        <f>VLOOKUP($O2467,'Mapa Oficinas'!$A$7:$C$46,2,FALSE)</f>
        <v>Interior - Río Negro</v>
      </c>
      <c r="S2467" t="str">
        <f>VLOOKUP($O2467,'Mapa Oficinas'!$A$7:$C$46,3,FALSE)</f>
        <v>Bariloche</v>
      </c>
    </row>
    <row r="2468" spans="1:19" x14ac:dyDescent="0.2">
      <c r="A2468" s="1">
        <v>46078</v>
      </c>
      <c r="B2468" t="s">
        <v>1106</v>
      </c>
      <c r="D2468" t="s">
        <v>1107</v>
      </c>
      <c r="E2468" t="s">
        <v>16</v>
      </c>
      <c r="F2468" t="s">
        <v>17</v>
      </c>
      <c r="G2468" s="14">
        <v>207000</v>
      </c>
      <c r="H2468" s="14">
        <v>200000</v>
      </c>
      <c r="I2468" t="s">
        <v>22</v>
      </c>
      <c r="J2468" t="s">
        <v>22</v>
      </c>
      <c r="K2468" t="s">
        <v>1108</v>
      </c>
      <c r="L2468" t="s">
        <v>277</v>
      </c>
      <c r="M2468" t="s">
        <v>19</v>
      </c>
      <c r="N2468">
        <v>2</v>
      </c>
      <c r="O2468" t="s">
        <v>103</v>
      </c>
      <c r="P2468" t="s">
        <v>21</v>
      </c>
      <c r="Q2468" t="s">
        <v>30</v>
      </c>
      <c r="R2468" t="str">
        <f>VLOOKUP($O2468,'Mapa Oficinas'!$A$7:$C$46,2,FALSE)</f>
        <v>CABA</v>
      </c>
      <c r="S2468" t="str">
        <f>VLOOKUP($O2468,'Mapa Oficinas'!$A$7:$C$46,3,FALSE)</f>
        <v>Barrio Parque</v>
      </c>
    </row>
    <row r="2469" spans="1:19" x14ac:dyDescent="0.2">
      <c r="A2469" s="1">
        <v>46078</v>
      </c>
      <c r="B2469" t="s">
        <v>1120</v>
      </c>
      <c r="D2469" t="s">
        <v>1121</v>
      </c>
      <c r="E2469" t="s">
        <v>16</v>
      </c>
      <c r="F2469" t="s">
        <v>17</v>
      </c>
      <c r="G2469" s="14">
        <v>235000</v>
      </c>
      <c r="H2469" s="14">
        <v>235000</v>
      </c>
      <c r="I2469" t="s">
        <v>22</v>
      </c>
      <c r="J2469" t="s">
        <v>22</v>
      </c>
      <c r="K2469" t="s">
        <v>1122</v>
      </c>
      <c r="L2469" t="s">
        <v>79</v>
      </c>
      <c r="M2469" t="s">
        <v>19</v>
      </c>
      <c r="N2469">
        <v>1</v>
      </c>
      <c r="O2469" t="s">
        <v>142</v>
      </c>
      <c r="P2469" t="s">
        <v>146</v>
      </c>
      <c r="Q2469" t="s">
        <v>30</v>
      </c>
      <c r="R2469" t="str">
        <f>VLOOKUP($O2469,'Mapa Oficinas'!$A$7:$C$46,2,FALSE)</f>
        <v>Zona Norte (GBA)</v>
      </c>
      <c r="S2469" t="str">
        <f>VLOOKUP($O2469,'Mapa Oficinas'!$A$7:$C$46,3,FALSE)</f>
        <v>Nordelta</v>
      </c>
    </row>
    <row r="2470" spans="1:19" x14ac:dyDescent="0.2">
      <c r="A2470" s="1">
        <v>46078</v>
      </c>
      <c r="B2470" t="s">
        <v>1109</v>
      </c>
      <c r="D2470" t="s">
        <v>1110</v>
      </c>
      <c r="E2470" t="s">
        <v>16</v>
      </c>
      <c r="F2470" t="s">
        <v>17</v>
      </c>
      <c r="G2470" s="14">
        <v>440000</v>
      </c>
      <c r="H2470" s="14">
        <v>365000</v>
      </c>
      <c r="I2470" t="s">
        <v>22</v>
      </c>
      <c r="J2470" t="s">
        <v>22</v>
      </c>
      <c r="K2470" t="s">
        <v>1110</v>
      </c>
      <c r="L2470" t="s">
        <v>1111</v>
      </c>
      <c r="M2470" t="s">
        <v>28</v>
      </c>
      <c r="N2470">
        <v>1</v>
      </c>
      <c r="O2470" t="s">
        <v>142</v>
      </c>
      <c r="P2470" t="s">
        <v>146</v>
      </c>
      <c r="Q2470" t="s">
        <v>30</v>
      </c>
      <c r="R2470" t="str">
        <f>VLOOKUP($O2470,'Mapa Oficinas'!$A$7:$C$46,2,FALSE)</f>
        <v>Zona Norte (GBA)</v>
      </c>
      <c r="S2470" t="str">
        <f>VLOOKUP($O2470,'Mapa Oficinas'!$A$7:$C$46,3,FALSE)</f>
        <v>Nordelta</v>
      </c>
    </row>
    <row r="2471" spans="1:19" x14ac:dyDescent="0.2">
      <c r="A2471" s="1">
        <v>46079</v>
      </c>
      <c r="B2471" t="s">
        <v>1086</v>
      </c>
      <c r="D2471" t="s">
        <v>1087</v>
      </c>
      <c r="E2471" t="s">
        <v>16</v>
      </c>
      <c r="F2471" t="s">
        <v>17</v>
      </c>
      <c r="G2471" s="14">
        <v>92000</v>
      </c>
      <c r="H2471" s="14">
        <v>89000</v>
      </c>
      <c r="I2471" t="s">
        <v>22</v>
      </c>
      <c r="J2471" t="s">
        <v>22</v>
      </c>
      <c r="K2471" t="s">
        <v>1088</v>
      </c>
      <c r="L2471" t="s">
        <v>1089</v>
      </c>
      <c r="M2471" t="s">
        <v>28</v>
      </c>
      <c r="N2471">
        <v>2</v>
      </c>
      <c r="O2471" t="s">
        <v>227</v>
      </c>
      <c r="P2471" t="s">
        <v>21</v>
      </c>
      <c r="Q2471" t="s">
        <v>30</v>
      </c>
      <c r="R2471" t="str">
        <f>VLOOKUP($O2471,'Mapa Oficinas'!$A$7:$C$46,2,FALSE)</f>
        <v>Zona Oeste (GBA)</v>
      </c>
      <c r="S2471" t="str">
        <f>VLOOKUP($O2471,'Mapa Oficinas'!$A$7:$C$46,3,FALSE)</f>
        <v>Parque Leloir</v>
      </c>
    </row>
    <row r="2472" spans="1:19" x14ac:dyDescent="0.2">
      <c r="A2472" s="1">
        <v>46079</v>
      </c>
      <c r="B2472" t="s">
        <v>1095</v>
      </c>
      <c r="D2472" t="s">
        <v>1096</v>
      </c>
      <c r="E2472" t="s">
        <v>16</v>
      </c>
      <c r="F2472" t="s">
        <v>17</v>
      </c>
      <c r="G2472" s="14">
        <v>140000</v>
      </c>
      <c r="H2472" s="14">
        <v>132000</v>
      </c>
      <c r="I2472" t="s">
        <v>22</v>
      </c>
      <c r="J2472" t="s">
        <v>22</v>
      </c>
      <c r="K2472" t="s">
        <v>1097</v>
      </c>
      <c r="L2472" t="s">
        <v>277</v>
      </c>
      <c r="M2472" t="s">
        <v>19</v>
      </c>
      <c r="N2472">
        <v>2</v>
      </c>
      <c r="O2472" t="s">
        <v>20</v>
      </c>
      <c r="P2472" t="s">
        <v>21</v>
      </c>
      <c r="Q2472" t="s">
        <v>30</v>
      </c>
      <c r="R2472" t="str">
        <f>VLOOKUP($O2472,'Mapa Oficinas'!$A$7:$C$46,2,FALSE)</f>
        <v>CABA</v>
      </c>
      <c r="S2472" t="str">
        <f>VLOOKUP($O2472,'Mapa Oficinas'!$A$7:$C$46,3,FALSE)</f>
        <v>Palermo</v>
      </c>
    </row>
    <row r="2473" spans="1:19" x14ac:dyDescent="0.2">
      <c r="A2473" s="1">
        <v>46079</v>
      </c>
      <c r="B2473" t="s">
        <v>1091</v>
      </c>
      <c r="D2473" t="s">
        <v>1092</v>
      </c>
      <c r="E2473" t="s">
        <v>16</v>
      </c>
      <c r="F2473" t="s">
        <v>17</v>
      </c>
      <c r="G2473" s="14">
        <v>155000</v>
      </c>
      <c r="H2473" s="14">
        <v>150000</v>
      </c>
      <c r="I2473" t="s">
        <v>22</v>
      </c>
      <c r="J2473" t="s">
        <v>22</v>
      </c>
      <c r="K2473" t="s">
        <v>1093</v>
      </c>
      <c r="L2473" t="s">
        <v>1094</v>
      </c>
      <c r="M2473" t="s">
        <v>72</v>
      </c>
      <c r="N2473">
        <v>2</v>
      </c>
      <c r="O2473" t="s">
        <v>103</v>
      </c>
      <c r="P2473" t="s">
        <v>21</v>
      </c>
      <c r="Q2473" t="s">
        <v>30</v>
      </c>
      <c r="R2473" t="str">
        <f>VLOOKUP($O2473,'Mapa Oficinas'!$A$7:$C$46,2,FALSE)</f>
        <v>CABA</v>
      </c>
      <c r="S2473" t="str">
        <f>VLOOKUP($O2473,'Mapa Oficinas'!$A$7:$C$46,3,FALSE)</f>
        <v>Barrio Parque</v>
      </c>
    </row>
    <row r="2474" spans="1:19" x14ac:dyDescent="0.2">
      <c r="A2474" s="1">
        <v>46079</v>
      </c>
      <c r="B2474" t="s">
        <v>1082</v>
      </c>
      <c r="D2474" t="s">
        <v>1083</v>
      </c>
      <c r="E2474" t="s">
        <v>16</v>
      </c>
      <c r="F2474" t="s">
        <v>38</v>
      </c>
      <c r="G2474" s="14">
        <v>240000</v>
      </c>
      <c r="H2474" s="14">
        <v>235000</v>
      </c>
      <c r="I2474" t="s">
        <v>22</v>
      </c>
      <c r="J2474" t="s">
        <v>22</v>
      </c>
      <c r="K2474" t="s">
        <v>1084</v>
      </c>
      <c r="L2474" t="s">
        <v>1085</v>
      </c>
      <c r="M2474" t="s">
        <v>28</v>
      </c>
      <c r="N2474">
        <v>2</v>
      </c>
      <c r="O2474" t="s">
        <v>40</v>
      </c>
      <c r="P2474" t="s">
        <v>44</v>
      </c>
      <c r="Q2474" t="s">
        <v>30</v>
      </c>
      <c r="R2474" t="str">
        <f>VLOOKUP($O2474,'Mapa Oficinas'!$A$7:$C$46,2,FALSE)</f>
        <v>Zona Norte (GBA)</v>
      </c>
      <c r="S2474" t="str">
        <f>VLOOKUP($O2474,'Mapa Oficinas'!$A$7:$C$46,3,FALSE)</f>
        <v>Pilar</v>
      </c>
    </row>
    <row r="2475" spans="1:19" x14ac:dyDescent="0.2">
      <c r="A2475" s="1">
        <v>46079</v>
      </c>
      <c r="B2475" t="s">
        <v>1098</v>
      </c>
      <c r="D2475" t="s">
        <v>1099</v>
      </c>
      <c r="E2475" t="s">
        <v>16</v>
      </c>
      <c r="F2475" t="s">
        <v>17</v>
      </c>
      <c r="G2475" s="14">
        <v>285000</v>
      </c>
      <c r="H2475" s="14">
        <v>265000</v>
      </c>
      <c r="I2475" t="s">
        <v>22</v>
      </c>
      <c r="J2475" t="s">
        <v>22</v>
      </c>
      <c r="K2475" t="s">
        <v>1100</v>
      </c>
      <c r="L2475" t="s">
        <v>277</v>
      </c>
      <c r="M2475" t="s">
        <v>19</v>
      </c>
      <c r="N2475">
        <v>2</v>
      </c>
      <c r="O2475" t="s">
        <v>116</v>
      </c>
      <c r="P2475" t="s">
        <v>21</v>
      </c>
      <c r="Q2475" t="s">
        <v>30</v>
      </c>
      <c r="R2475" t="str">
        <f>VLOOKUP($O2475,'Mapa Oficinas'!$A$7:$C$46,2,FALSE)</f>
        <v>CABA</v>
      </c>
      <c r="S2475" t="str">
        <f>VLOOKUP($O2475,'Mapa Oficinas'!$A$7:$C$46,3,FALSE)</f>
        <v>Puerto Madero</v>
      </c>
    </row>
    <row r="2476" spans="1:19" x14ac:dyDescent="0.2">
      <c r="A2476" s="1">
        <v>46080</v>
      </c>
      <c r="B2476" t="s">
        <v>1020</v>
      </c>
      <c r="D2476" t="s">
        <v>1021</v>
      </c>
      <c r="E2476" t="s">
        <v>16</v>
      </c>
      <c r="F2476" t="s">
        <v>58</v>
      </c>
      <c r="G2476" s="14">
        <v>53000</v>
      </c>
      <c r="H2476" s="14">
        <v>50000</v>
      </c>
      <c r="I2476" t="s">
        <v>22</v>
      </c>
      <c r="J2476" t="s">
        <v>22</v>
      </c>
      <c r="K2476" t="s">
        <v>1022</v>
      </c>
      <c r="L2476" t="s">
        <v>486</v>
      </c>
      <c r="M2476" t="s">
        <v>19</v>
      </c>
      <c r="N2476">
        <v>2</v>
      </c>
      <c r="O2476" t="s">
        <v>50</v>
      </c>
      <c r="P2476" t="s">
        <v>21</v>
      </c>
      <c r="Q2476" t="s">
        <v>30</v>
      </c>
      <c r="R2476" t="str">
        <f>VLOOKUP($O2476,'Mapa Oficinas'!$A$7:$C$46,2,FALSE)</f>
        <v>CABA</v>
      </c>
      <c r="S2476" t="str">
        <f>VLOOKUP($O2476,'Mapa Oficinas'!$A$7:$C$46,3,FALSE)</f>
        <v>Villa Urquiza</v>
      </c>
    </row>
    <row r="2477" spans="1:19" x14ac:dyDescent="0.2">
      <c r="A2477" s="1">
        <v>46080</v>
      </c>
      <c r="B2477" t="s">
        <v>1058</v>
      </c>
      <c r="D2477" t="s">
        <v>1059</v>
      </c>
      <c r="E2477" t="s">
        <v>16</v>
      </c>
      <c r="F2477" t="s">
        <v>47</v>
      </c>
      <c r="G2477" s="14">
        <v>59500</v>
      </c>
      <c r="H2477" s="14">
        <v>54000</v>
      </c>
      <c r="I2477" t="s">
        <v>22</v>
      </c>
      <c r="J2477" t="s">
        <v>22</v>
      </c>
      <c r="K2477" t="s">
        <v>1060</v>
      </c>
      <c r="L2477" t="s">
        <v>221</v>
      </c>
      <c r="M2477" t="s">
        <v>19</v>
      </c>
      <c r="N2477">
        <v>2</v>
      </c>
      <c r="O2477" t="s">
        <v>103</v>
      </c>
      <c r="P2477" t="s">
        <v>21</v>
      </c>
      <c r="Q2477" t="s">
        <v>30</v>
      </c>
      <c r="R2477" t="str">
        <f>VLOOKUP($O2477,'Mapa Oficinas'!$A$7:$C$46,2,FALSE)</f>
        <v>CABA</v>
      </c>
      <c r="S2477" t="str">
        <f>VLOOKUP($O2477,'Mapa Oficinas'!$A$7:$C$46,3,FALSE)</f>
        <v>Barrio Parque</v>
      </c>
    </row>
    <row r="2478" spans="1:19" x14ac:dyDescent="0.2">
      <c r="A2478" s="1">
        <v>46080</v>
      </c>
      <c r="B2478" t="s">
        <v>1041</v>
      </c>
      <c r="D2478" t="s">
        <v>1042</v>
      </c>
      <c r="E2478" t="s">
        <v>16</v>
      </c>
      <c r="F2478" t="s">
        <v>82</v>
      </c>
      <c r="G2478" s="14">
        <v>58000</v>
      </c>
      <c r="H2478" s="14">
        <v>57000</v>
      </c>
      <c r="I2478" t="s">
        <v>22</v>
      </c>
      <c r="J2478" t="s">
        <v>22</v>
      </c>
      <c r="K2478" t="s">
        <v>1043</v>
      </c>
      <c r="L2478" t="s">
        <v>84</v>
      </c>
      <c r="M2478" t="s">
        <v>19</v>
      </c>
      <c r="N2478">
        <v>2</v>
      </c>
      <c r="O2478" t="s">
        <v>85</v>
      </c>
      <c r="P2478" t="s">
        <v>21</v>
      </c>
      <c r="Q2478" t="s">
        <v>30</v>
      </c>
      <c r="R2478" t="str">
        <f>VLOOKUP($O2478,'Mapa Oficinas'!$A$7:$C$46,2,FALSE)</f>
        <v>Interior - Jujuy</v>
      </c>
      <c r="S2478" t="str">
        <f>VLOOKUP($O2478,'Mapa Oficinas'!$A$7:$C$46,3,FALSE)</f>
        <v>Capital Jujuy</v>
      </c>
    </row>
    <row r="2479" spans="1:19" x14ac:dyDescent="0.2">
      <c r="A2479" s="1">
        <v>46080</v>
      </c>
      <c r="B2479" t="s">
        <v>1023</v>
      </c>
      <c r="D2479" t="s">
        <v>1024</v>
      </c>
      <c r="E2479" t="s">
        <v>16</v>
      </c>
      <c r="F2479" t="s">
        <v>47</v>
      </c>
      <c r="G2479" s="14">
        <v>70000</v>
      </c>
      <c r="H2479" s="14">
        <v>77000</v>
      </c>
      <c r="I2479" t="s">
        <v>22</v>
      </c>
      <c r="J2479" t="s">
        <v>22</v>
      </c>
      <c r="K2479" t="s">
        <v>1025</v>
      </c>
      <c r="L2479" t="s">
        <v>1026</v>
      </c>
      <c r="M2479" t="s">
        <v>19</v>
      </c>
      <c r="N2479">
        <v>2</v>
      </c>
      <c r="O2479" t="s">
        <v>50</v>
      </c>
      <c r="P2479" t="s">
        <v>41</v>
      </c>
      <c r="Q2479" t="s">
        <v>30</v>
      </c>
      <c r="R2479" t="str">
        <f>VLOOKUP($O2479,'Mapa Oficinas'!$A$7:$C$46,2,FALSE)</f>
        <v>CABA</v>
      </c>
      <c r="S2479" t="str">
        <f>VLOOKUP($O2479,'Mapa Oficinas'!$A$7:$C$46,3,FALSE)</f>
        <v>Villa Urquiza</v>
      </c>
    </row>
    <row r="2480" spans="1:19" x14ac:dyDescent="0.2">
      <c r="A2480" s="1">
        <v>46080</v>
      </c>
      <c r="B2480" t="s">
        <v>1038</v>
      </c>
      <c r="D2480" t="s">
        <v>1039</v>
      </c>
      <c r="E2480" t="s">
        <v>16</v>
      </c>
      <c r="F2480" t="s">
        <v>17</v>
      </c>
      <c r="G2480" s="14">
        <v>93000</v>
      </c>
      <c r="H2480" s="14">
        <v>87000</v>
      </c>
      <c r="I2480" t="s">
        <v>22</v>
      </c>
      <c r="J2480" t="s">
        <v>22</v>
      </c>
      <c r="K2480" t="s">
        <v>1040</v>
      </c>
      <c r="L2480" t="s">
        <v>221</v>
      </c>
      <c r="M2480" t="s">
        <v>19</v>
      </c>
      <c r="N2480">
        <v>2</v>
      </c>
      <c r="O2480" t="s">
        <v>201</v>
      </c>
      <c r="P2480" t="s">
        <v>21</v>
      </c>
      <c r="Q2480" t="s">
        <v>30</v>
      </c>
      <c r="R2480" t="str">
        <f>VLOOKUP($O2480,'Mapa Oficinas'!$A$7:$C$46,2,FALSE)</f>
        <v>CABA</v>
      </c>
      <c r="S2480" t="str">
        <f>VLOOKUP($O2480,'Mapa Oficinas'!$A$7:$C$46,3,FALSE)</f>
        <v>Recoleta</v>
      </c>
    </row>
    <row r="2481" spans="1:19" x14ac:dyDescent="0.2">
      <c r="A2481" s="1">
        <v>46080</v>
      </c>
      <c r="B2481" t="s">
        <v>1018</v>
      </c>
      <c r="D2481" t="s">
        <v>1018</v>
      </c>
      <c r="E2481" t="s">
        <v>16</v>
      </c>
      <c r="F2481" t="s">
        <v>17</v>
      </c>
      <c r="G2481" s="14">
        <v>88000</v>
      </c>
      <c r="H2481" s="14">
        <v>88000</v>
      </c>
      <c r="I2481" t="s">
        <v>22</v>
      </c>
      <c r="J2481" t="s">
        <v>22</v>
      </c>
      <c r="K2481" t="s">
        <v>1018</v>
      </c>
      <c r="L2481" t="s">
        <v>1019</v>
      </c>
      <c r="M2481" t="s">
        <v>28</v>
      </c>
      <c r="N2481">
        <v>2</v>
      </c>
      <c r="O2481" t="s">
        <v>50</v>
      </c>
      <c r="P2481" t="s">
        <v>41</v>
      </c>
      <c r="Q2481" t="s">
        <v>30</v>
      </c>
      <c r="R2481" t="str">
        <f>VLOOKUP($O2481,'Mapa Oficinas'!$A$7:$C$46,2,FALSE)</f>
        <v>CABA</v>
      </c>
      <c r="S2481" t="str">
        <f>VLOOKUP($O2481,'Mapa Oficinas'!$A$7:$C$46,3,FALSE)</f>
        <v>Villa Urquiza</v>
      </c>
    </row>
    <row r="2482" spans="1:19" x14ac:dyDescent="0.2">
      <c r="A2482" s="1">
        <v>46080</v>
      </c>
      <c r="B2482" t="s">
        <v>1078</v>
      </c>
      <c r="D2482" t="s">
        <v>1079</v>
      </c>
      <c r="E2482" t="s">
        <v>16</v>
      </c>
      <c r="F2482" t="s">
        <v>17</v>
      </c>
      <c r="G2482" s="14">
        <v>105000</v>
      </c>
      <c r="H2482" s="14">
        <v>95000</v>
      </c>
      <c r="I2482" t="s">
        <v>22</v>
      </c>
      <c r="J2482" t="s">
        <v>22</v>
      </c>
      <c r="K2482" t="s">
        <v>1080</v>
      </c>
      <c r="L2482" t="s">
        <v>282</v>
      </c>
      <c r="M2482" t="s">
        <v>19</v>
      </c>
      <c r="N2482">
        <v>2</v>
      </c>
      <c r="O2482" t="s">
        <v>116</v>
      </c>
      <c r="P2482" t="s">
        <v>21</v>
      </c>
      <c r="Q2482" t="s">
        <v>30</v>
      </c>
      <c r="R2482" t="str">
        <f>VLOOKUP($O2482,'Mapa Oficinas'!$A$7:$C$46,2,FALSE)</f>
        <v>CABA</v>
      </c>
      <c r="S2482" t="str">
        <f>VLOOKUP($O2482,'Mapa Oficinas'!$A$7:$C$46,3,FALSE)</f>
        <v>Puerto Madero</v>
      </c>
    </row>
    <row r="2483" spans="1:19" x14ac:dyDescent="0.2">
      <c r="A2483" s="1">
        <v>46080</v>
      </c>
      <c r="B2483" t="s">
        <v>1068</v>
      </c>
      <c r="D2483" t="s">
        <v>1069</v>
      </c>
      <c r="E2483" t="s">
        <v>16</v>
      </c>
      <c r="F2483" t="s">
        <v>17</v>
      </c>
      <c r="G2483" s="14">
        <v>115000</v>
      </c>
      <c r="H2483" s="14">
        <v>111000</v>
      </c>
      <c r="I2483" t="s">
        <v>22</v>
      </c>
      <c r="J2483" t="s">
        <v>22</v>
      </c>
      <c r="K2483" t="s">
        <v>1070</v>
      </c>
      <c r="L2483" t="s">
        <v>79</v>
      </c>
      <c r="M2483" t="s">
        <v>19</v>
      </c>
      <c r="N2483">
        <v>2</v>
      </c>
      <c r="O2483" t="s">
        <v>103</v>
      </c>
      <c r="P2483" t="s">
        <v>276</v>
      </c>
      <c r="Q2483" t="s">
        <v>30</v>
      </c>
      <c r="R2483" t="str">
        <f>VLOOKUP($O2483,'Mapa Oficinas'!$A$7:$C$46,2,FALSE)</f>
        <v>CABA</v>
      </c>
      <c r="S2483" t="str">
        <f>VLOOKUP($O2483,'Mapa Oficinas'!$A$7:$C$46,3,FALSE)</f>
        <v>Barrio Parque</v>
      </c>
    </row>
    <row r="2484" spans="1:19" x14ac:dyDescent="0.2">
      <c r="A2484" s="1">
        <v>46080</v>
      </c>
      <c r="B2484" t="s">
        <v>1031</v>
      </c>
      <c r="D2484" t="s">
        <v>1032</v>
      </c>
      <c r="E2484" t="s">
        <v>16</v>
      </c>
      <c r="F2484" t="s">
        <v>17</v>
      </c>
      <c r="G2484" s="14">
        <v>116000</v>
      </c>
      <c r="H2484" s="14">
        <v>115000</v>
      </c>
      <c r="I2484" t="s">
        <v>22</v>
      </c>
      <c r="J2484" t="s">
        <v>22</v>
      </c>
      <c r="K2484" t="s">
        <v>1033</v>
      </c>
      <c r="L2484" t="s">
        <v>191</v>
      </c>
      <c r="M2484" t="s">
        <v>19</v>
      </c>
      <c r="N2484">
        <v>2</v>
      </c>
      <c r="O2484" t="s">
        <v>223</v>
      </c>
      <c r="P2484" t="s">
        <v>276</v>
      </c>
      <c r="Q2484" t="s">
        <v>30</v>
      </c>
      <c r="R2484" t="str">
        <f>VLOOKUP($O2484,'Mapa Oficinas'!$A$7:$C$46,2,FALSE)</f>
        <v>Zona Norte (GBA)</v>
      </c>
      <c r="S2484" t="str">
        <f>VLOOKUP($O2484,'Mapa Oficinas'!$A$7:$C$46,3,FALSE)</f>
        <v>San Isidro</v>
      </c>
    </row>
    <row r="2485" spans="1:19" x14ac:dyDescent="0.2">
      <c r="A2485" s="1">
        <v>46080</v>
      </c>
      <c r="B2485" t="s">
        <v>1071</v>
      </c>
      <c r="D2485" t="s">
        <v>1072</v>
      </c>
      <c r="E2485" t="s">
        <v>16</v>
      </c>
      <c r="F2485" t="s">
        <v>17</v>
      </c>
      <c r="G2485" s="14">
        <v>149000</v>
      </c>
      <c r="H2485" s="14">
        <v>142000</v>
      </c>
      <c r="I2485" t="s">
        <v>22</v>
      </c>
      <c r="J2485" t="s">
        <v>22</v>
      </c>
      <c r="K2485" t="s">
        <v>1073</v>
      </c>
      <c r="L2485" t="s">
        <v>195</v>
      </c>
      <c r="M2485" t="s">
        <v>19</v>
      </c>
      <c r="N2485">
        <v>2</v>
      </c>
      <c r="O2485" t="s">
        <v>103</v>
      </c>
      <c r="P2485" t="s">
        <v>21</v>
      </c>
      <c r="Q2485" t="s">
        <v>30</v>
      </c>
      <c r="R2485" t="str">
        <f>VLOOKUP($O2485,'Mapa Oficinas'!$A$7:$C$46,2,FALSE)</f>
        <v>CABA</v>
      </c>
      <c r="S2485" t="str">
        <f>VLOOKUP($O2485,'Mapa Oficinas'!$A$7:$C$46,3,FALSE)</f>
        <v>Barrio Parque</v>
      </c>
    </row>
    <row r="2486" spans="1:19" x14ac:dyDescent="0.2">
      <c r="A2486" s="1">
        <v>46080</v>
      </c>
      <c r="B2486" t="s">
        <v>1034</v>
      </c>
      <c r="D2486" t="s">
        <v>1035</v>
      </c>
      <c r="E2486" t="s">
        <v>16</v>
      </c>
      <c r="F2486" t="s">
        <v>17</v>
      </c>
      <c r="G2486" s="14">
        <v>159000</v>
      </c>
      <c r="H2486" s="14">
        <v>153000</v>
      </c>
      <c r="I2486" t="s">
        <v>22</v>
      </c>
      <c r="J2486" t="s">
        <v>22</v>
      </c>
      <c r="K2486" t="s">
        <v>1036</v>
      </c>
      <c r="L2486" t="s">
        <v>398</v>
      </c>
      <c r="M2486" t="s">
        <v>19</v>
      </c>
      <c r="N2486">
        <v>2</v>
      </c>
      <c r="O2486" t="s">
        <v>20</v>
      </c>
      <c r="P2486" t="s">
        <v>21</v>
      </c>
      <c r="Q2486" t="s">
        <v>30</v>
      </c>
      <c r="R2486" t="str">
        <f>VLOOKUP($O2486,'Mapa Oficinas'!$A$7:$C$46,2,FALSE)</f>
        <v>CABA</v>
      </c>
      <c r="S2486" t="str">
        <f>VLOOKUP($O2486,'Mapa Oficinas'!$A$7:$C$46,3,FALSE)</f>
        <v>Palermo</v>
      </c>
    </row>
    <row r="2487" spans="1:19" x14ac:dyDescent="0.2">
      <c r="A2487" s="1">
        <v>46080</v>
      </c>
      <c r="B2487" t="s">
        <v>1048</v>
      </c>
      <c r="D2487" t="s">
        <v>1049</v>
      </c>
      <c r="E2487" t="s">
        <v>16</v>
      </c>
      <c r="F2487" t="s">
        <v>47</v>
      </c>
      <c r="G2487" s="14">
        <v>160000</v>
      </c>
      <c r="H2487" s="14">
        <v>153850</v>
      </c>
      <c r="I2487" t="s">
        <v>22</v>
      </c>
      <c r="J2487" t="s">
        <v>22</v>
      </c>
      <c r="K2487" t="s">
        <v>1050</v>
      </c>
      <c r="L2487" t="s">
        <v>1051</v>
      </c>
      <c r="M2487" t="s">
        <v>28</v>
      </c>
      <c r="N2487">
        <v>2</v>
      </c>
      <c r="O2487" t="s">
        <v>40</v>
      </c>
      <c r="P2487" t="s">
        <v>21</v>
      </c>
      <c r="Q2487" t="s">
        <v>30</v>
      </c>
      <c r="R2487" t="str">
        <f>VLOOKUP($O2487,'Mapa Oficinas'!$A$7:$C$46,2,FALSE)</f>
        <v>Zona Norte (GBA)</v>
      </c>
      <c r="S2487" t="str">
        <f>VLOOKUP($O2487,'Mapa Oficinas'!$A$7:$C$46,3,FALSE)</f>
        <v>Pilar</v>
      </c>
    </row>
    <row r="2488" spans="1:19" x14ac:dyDescent="0.2">
      <c r="A2488" s="1">
        <v>46080</v>
      </c>
      <c r="B2488">
        <v>10666</v>
      </c>
      <c r="D2488" t="s">
        <v>1074</v>
      </c>
      <c r="E2488" t="s">
        <v>16</v>
      </c>
      <c r="F2488" t="s">
        <v>17</v>
      </c>
      <c r="G2488" s="14">
        <v>162000</v>
      </c>
      <c r="H2488" s="14">
        <v>162000</v>
      </c>
      <c r="I2488" t="s">
        <v>22</v>
      </c>
      <c r="J2488" t="s">
        <v>22</v>
      </c>
      <c r="K2488" t="s">
        <v>1075</v>
      </c>
      <c r="L2488" t="s">
        <v>79</v>
      </c>
      <c r="M2488" t="s">
        <v>19</v>
      </c>
      <c r="N2488">
        <v>1</v>
      </c>
      <c r="O2488" t="s">
        <v>103</v>
      </c>
      <c r="P2488" t="s">
        <v>146</v>
      </c>
      <c r="Q2488" t="s">
        <v>30</v>
      </c>
      <c r="R2488" t="str">
        <f>VLOOKUP($O2488,'Mapa Oficinas'!$A$7:$C$46,2,FALSE)</f>
        <v>CABA</v>
      </c>
      <c r="S2488" t="str">
        <f>VLOOKUP($O2488,'Mapa Oficinas'!$A$7:$C$46,3,FALSE)</f>
        <v>Barrio Parque</v>
      </c>
    </row>
    <row r="2489" spans="1:19" x14ac:dyDescent="0.2">
      <c r="A2489" s="1">
        <v>46080</v>
      </c>
      <c r="B2489" t="s">
        <v>1061</v>
      </c>
      <c r="D2489" t="s">
        <v>1062</v>
      </c>
      <c r="E2489" t="s">
        <v>16</v>
      </c>
      <c r="F2489" t="s">
        <v>17</v>
      </c>
      <c r="G2489" s="14">
        <v>177000</v>
      </c>
      <c r="H2489" s="14">
        <v>170500</v>
      </c>
      <c r="I2489" t="s">
        <v>22</v>
      </c>
      <c r="J2489" t="s">
        <v>22</v>
      </c>
      <c r="K2489" t="s">
        <v>1063</v>
      </c>
      <c r="L2489" t="s">
        <v>191</v>
      </c>
      <c r="M2489" t="s">
        <v>19</v>
      </c>
      <c r="N2489">
        <v>2</v>
      </c>
      <c r="O2489" t="s">
        <v>103</v>
      </c>
      <c r="P2489" t="s">
        <v>21</v>
      </c>
      <c r="Q2489" t="s">
        <v>30</v>
      </c>
      <c r="R2489" t="str">
        <f>VLOOKUP($O2489,'Mapa Oficinas'!$A$7:$C$46,2,FALSE)</f>
        <v>CABA</v>
      </c>
      <c r="S2489" t="str">
        <f>VLOOKUP($O2489,'Mapa Oficinas'!$A$7:$C$46,3,FALSE)</f>
        <v>Barrio Parque</v>
      </c>
    </row>
    <row r="2490" spans="1:19" x14ac:dyDescent="0.2">
      <c r="A2490" s="1">
        <v>46080</v>
      </c>
      <c r="B2490" t="s">
        <v>1052</v>
      </c>
      <c r="D2490" t="s">
        <v>1053</v>
      </c>
      <c r="E2490" t="s">
        <v>16</v>
      </c>
      <c r="F2490" t="s">
        <v>47</v>
      </c>
      <c r="G2490" s="14">
        <v>170000</v>
      </c>
      <c r="H2490" s="14">
        <v>175000</v>
      </c>
      <c r="I2490" t="s">
        <v>22</v>
      </c>
      <c r="J2490" t="s">
        <v>22</v>
      </c>
      <c r="K2490" t="s">
        <v>494</v>
      </c>
      <c r="L2490" t="s">
        <v>495</v>
      </c>
      <c r="M2490" t="s">
        <v>28</v>
      </c>
      <c r="N2490">
        <v>2</v>
      </c>
      <c r="O2490" t="s">
        <v>40</v>
      </c>
      <c r="P2490" t="s">
        <v>44</v>
      </c>
      <c r="Q2490" t="s">
        <v>30</v>
      </c>
      <c r="R2490" t="str">
        <f>VLOOKUP($O2490,'Mapa Oficinas'!$A$7:$C$46,2,FALSE)</f>
        <v>Zona Norte (GBA)</v>
      </c>
      <c r="S2490" t="str">
        <f>VLOOKUP($O2490,'Mapa Oficinas'!$A$7:$C$46,3,FALSE)</f>
        <v>Pilar</v>
      </c>
    </row>
    <row r="2491" spans="1:19" x14ac:dyDescent="0.2">
      <c r="A2491" s="1">
        <v>46080</v>
      </c>
      <c r="D2491" t="s">
        <v>1028</v>
      </c>
      <c r="E2491" t="s">
        <v>16</v>
      </c>
      <c r="F2491" t="s">
        <v>17</v>
      </c>
      <c r="G2491" s="14">
        <v>0</v>
      </c>
      <c r="H2491" s="14">
        <v>190000</v>
      </c>
      <c r="I2491" t="s">
        <v>22</v>
      </c>
      <c r="J2491" t="s">
        <v>22</v>
      </c>
      <c r="K2491" t="s">
        <v>1029</v>
      </c>
      <c r="L2491" t="s">
        <v>205</v>
      </c>
      <c r="M2491" t="s">
        <v>19</v>
      </c>
      <c r="N2491">
        <v>1</v>
      </c>
      <c r="O2491" t="s">
        <v>201</v>
      </c>
      <c r="P2491" t="s">
        <v>146</v>
      </c>
      <c r="Q2491" t="s">
        <v>30</v>
      </c>
      <c r="R2491" t="str">
        <f>VLOOKUP($O2491,'Mapa Oficinas'!$A$7:$C$46,2,FALSE)</f>
        <v>CABA</v>
      </c>
      <c r="S2491" t="str">
        <f>VLOOKUP($O2491,'Mapa Oficinas'!$A$7:$C$46,3,FALSE)</f>
        <v>Recoleta</v>
      </c>
    </row>
    <row r="2492" spans="1:19" x14ac:dyDescent="0.2">
      <c r="A2492" s="1">
        <v>46080</v>
      </c>
      <c r="B2492" t="s">
        <v>1055</v>
      </c>
      <c r="D2492" t="s">
        <v>1056</v>
      </c>
      <c r="E2492" t="s">
        <v>16</v>
      </c>
      <c r="F2492" t="s">
        <v>17</v>
      </c>
      <c r="G2492" s="14">
        <v>220000</v>
      </c>
      <c r="H2492" s="14">
        <v>195000</v>
      </c>
      <c r="I2492" t="s">
        <v>22</v>
      </c>
      <c r="J2492" t="s">
        <v>22</v>
      </c>
      <c r="K2492" t="s">
        <v>1057</v>
      </c>
      <c r="L2492" t="s">
        <v>102</v>
      </c>
      <c r="M2492" t="s">
        <v>72</v>
      </c>
      <c r="N2492">
        <v>2</v>
      </c>
      <c r="O2492" t="s">
        <v>103</v>
      </c>
      <c r="P2492" t="s">
        <v>21</v>
      </c>
      <c r="Q2492" t="s">
        <v>30</v>
      </c>
      <c r="R2492" t="str">
        <f>VLOOKUP($O2492,'Mapa Oficinas'!$A$7:$C$46,2,FALSE)</f>
        <v>CABA</v>
      </c>
      <c r="S2492" t="str">
        <f>VLOOKUP($O2492,'Mapa Oficinas'!$A$7:$C$46,3,FALSE)</f>
        <v>Barrio Parque</v>
      </c>
    </row>
    <row r="2493" spans="1:19" x14ac:dyDescent="0.2">
      <c r="A2493" s="1">
        <v>46080</v>
      </c>
      <c r="B2493" t="s">
        <v>1065</v>
      </c>
      <c r="D2493" t="s">
        <v>1066</v>
      </c>
      <c r="E2493" t="s">
        <v>16</v>
      </c>
      <c r="F2493" t="s">
        <v>58</v>
      </c>
      <c r="G2493" s="14">
        <v>349000</v>
      </c>
      <c r="H2493" s="14">
        <v>300000</v>
      </c>
      <c r="I2493" t="s">
        <v>22</v>
      </c>
      <c r="J2493" t="s">
        <v>22</v>
      </c>
      <c r="K2493" t="s">
        <v>1067</v>
      </c>
      <c r="L2493" t="s">
        <v>102</v>
      </c>
      <c r="M2493" t="s">
        <v>28</v>
      </c>
      <c r="N2493">
        <v>2</v>
      </c>
      <c r="O2493" t="s">
        <v>103</v>
      </c>
      <c r="P2493" t="s">
        <v>21</v>
      </c>
      <c r="Q2493" t="s">
        <v>30</v>
      </c>
      <c r="R2493" t="str">
        <f>VLOOKUP($O2493,'Mapa Oficinas'!$A$7:$C$46,2,FALSE)</f>
        <v>CABA</v>
      </c>
      <c r="S2493" t="str">
        <f>VLOOKUP($O2493,'Mapa Oficinas'!$A$7:$C$46,3,FALSE)</f>
        <v>Barrio Parque</v>
      </c>
    </row>
    <row r="2494" spans="1:19" x14ac:dyDescent="0.2">
      <c r="A2494" s="1">
        <v>46083</v>
      </c>
      <c r="B2494" t="s">
        <v>996</v>
      </c>
      <c r="D2494" t="s">
        <v>997</v>
      </c>
      <c r="E2494" t="s">
        <v>16</v>
      </c>
      <c r="F2494" t="s">
        <v>17</v>
      </c>
      <c r="G2494" s="14">
        <v>55000</v>
      </c>
      <c r="H2494" s="14">
        <v>47000</v>
      </c>
      <c r="I2494" t="s">
        <v>22</v>
      </c>
      <c r="J2494" t="s">
        <v>22</v>
      </c>
      <c r="K2494" t="s">
        <v>998</v>
      </c>
      <c r="L2494" t="s">
        <v>989</v>
      </c>
      <c r="M2494" t="s">
        <v>97</v>
      </c>
      <c r="N2494">
        <v>2</v>
      </c>
      <c r="O2494" t="s">
        <v>65</v>
      </c>
      <c r="P2494" t="s">
        <v>21</v>
      </c>
      <c r="Q2494" t="s">
        <v>30</v>
      </c>
      <c r="R2494" t="str">
        <f>VLOOKUP($O2494,'Mapa Oficinas'!$A$7:$C$46,2,FALSE)</f>
        <v>Interior - Mendoza</v>
      </c>
      <c r="S2494" t="str">
        <f>VLOOKUP($O2494,'Mapa Oficinas'!$A$7:$C$46,3,FALSE)</f>
        <v>Capital Mendoza</v>
      </c>
    </row>
    <row r="2495" spans="1:19" x14ac:dyDescent="0.2">
      <c r="A2495" s="1">
        <v>46083</v>
      </c>
      <c r="B2495" t="s">
        <v>1012</v>
      </c>
      <c r="D2495" t="s">
        <v>1013</v>
      </c>
      <c r="E2495" t="s">
        <v>16</v>
      </c>
      <c r="F2495" t="s">
        <v>17</v>
      </c>
      <c r="G2495" s="14">
        <v>143500</v>
      </c>
      <c r="H2495" s="14">
        <v>71750</v>
      </c>
      <c r="I2495" t="s">
        <v>22</v>
      </c>
      <c r="J2495" t="s">
        <v>22</v>
      </c>
      <c r="K2495" t="s">
        <v>1013</v>
      </c>
      <c r="L2495" t="s">
        <v>1014</v>
      </c>
      <c r="M2495" t="s">
        <v>19</v>
      </c>
      <c r="N2495">
        <v>1</v>
      </c>
      <c r="O2495" t="s">
        <v>20</v>
      </c>
      <c r="P2495" t="s">
        <v>146</v>
      </c>
      <c r="Q2495" t="s">
        <v>30</v>
      </c>
      <c r="R2495" t="str">
        <f>VLOOKUP($O2495,'Mapa Oficinas'!$A$7:$C$46,2,FALSE)</f>
        <v>CABA</v>
      </c>
      <c r="S2495" t="str">
        <f>VLOOKUP($O2495,'Mapa Oficinas'!$A$7:$C$46,3,FALSE)</f>
        <v>Palermo</v>
      </c>
    </row>
    <row r="2496" spans="1:19" x14ac:dyDescent="0.2">
      <c r="A2496" s="1">
        <v>46083</v>
      </c>
      <c r="B2496" t="s">
        <v>992</v>
      </c>
      <c r="D2496" t="s">
        <v>993</v>
      </c>
      <c r="E2496" t="s">
        <v>16</v>
      </c>
      <c r="F2496" t="s">
        <v>17</v>
      </c>
      <c r="G2496" s="14">
        <v>79000</v>
      </c>
      <c r="H2496" s="14">
        <v>74000</v>
      </c>
      <c r="I2496" t="s">
        <v>22</v>
      </c>
      <c r="J2496" t="s">
        <v>22</v>
      </c>
      <c r="K2496" t="s">
        <v>994</v>
      </c>
      <c r="L2496" t="s">
        <v>856</v>
      </c>
      <c r="M2496" t="s">
        <v>19</v>
      </c>
      <c r="N2496">
        <v>2</v>
      </c>
      <c r="O2496" t="s">
        <v>35</v>
      </c>
      <c r="P2496" t="s">
        <v>21</v>
      </c>
      <c r="Q2496" t="s">
        <v>30</v>
      </c>
      <c r="R2496" t="str">
        <f>VLOOKUP($O2496,'Mapa Oficinas'!$A$7:$C$46,2,FALSE)</f>
        <v>Zona Norte (GBA)</v>
      </c>
      <c r="S2496" t="str">
        <f>VLOOKUP($O2496,'Mapa Oficinas'!$A$7:$C$46,3,FALSE)</f>
        <v>Vicente López</v>
      </c>
    </row>
    <row r="2497" spans="1:19" x14ac:dyDescent="0.2">
      <c r="A2497" s="1">
        <v>46083</v>
      </c>
      <c r="B2497" t="s">
        <v>1005</v>
      </c>
      <c r="D2497" t="s">
        <v>1006</v>
      </c>
      <c r="E2497" t="s">
        <v>16</v>
      </c>
      <c r="F2497" t="s">
        <v>17</v>
      </c>
      <c r="G2497" s="14">
        <v>700000</v>
      </c>
      <c r="H2497" s="14">
        <v>92000</v>
      </c>
      <c r="I2497" t="s">
        <v>22</v>
      </c>
      <c r="J2497" t="s">
        <v>18</v>
      </c>
      <c r="K2497" t="s">
        <v>1007</v>
      </c>
      <c r="L2497" t="s">
        <v>217</v>
      </c>
      <c r="M2497" t="s">
        <v>19</v>
      </c>
      <c r="N2497">
        <v>1</v>
      </c>
      <c r="O2497" t="s">
        <v>781</v>
      </c>
      <c r="P2497" t="s">
        <v>146</v>
      </c>
      <c r="Q2497" t="s">
        <v>30</v>
      </c>
      <c r="R2497" t="str">
        <f>VLOOKUP($O2497,'Mapa Oficinas'!$A$7:$C$46,2,FALSE)</f>
        <v>CABA</v>
      </c>
      <c r="S2497" t="str">
        <f>VLOOKUP($O2497,'Mapa Oficinas'!$A$7:$C$46,3,FALSE)</f>
        <v>Palermo</v>
      </c>
    </row>
    <row r="2498" spans="1:19" x14ac:dyDescent="0.2">
      <c r="A2498" s="1">
        <v>46083</v>
      </c>
      <c r="B2498" t="s">
        <v>990</v>
      </c>
      <c r="D2498" t="s">
        <v>990</v>
      </c>
      <c r="E2498" t="s">
        <v>16</v>
      </c>
      <c r="F2498" t="s">
        <v>17</v>
      </c>
      <c r="G2498" s="14">
        <v>97000</v>
      </c>
      <c r="H2498" s="14">
        <v>97000</v>
      </c>
      <c r="I2498" t="s">
        <v>22</v>
      </c>
      <c r="J2498" t="s">
        <v>22</v>
      </c>
      <c r="K2498" t="s">
        <v>990</v>
      </c>
      <c r="L2498" t="s">
        <v>991</v>
      </c>
      <c r="M2498" t="s">
        <v>72</v>
      </c>
      <c r="N2498">
        <v>1</v>
      </c>
      <c r="O2498" t="s">
        <v>35</v>
      </c>
      <c r="P2498" t="s">
        <v>66</v>
      </c>
      <c r="Q2498" t="s">
        <v>30</v>
      </c>
      <c r="R2498" t="str">
        <f>VLOOKUP($O2498,'Mapa Oficinas'!$A$7:$C$46,2,FALSE)</f>
        <v>Zona Norte (GBA)</v>
      </c>
      <c r="S2498" t="str">
        <f>VLOOKUP($O2498,'Mapa Oficinas'!$A$7:$C$46,3,FALSE)</f>
        <v>Vicente López</v>
      </c>
    </row>
    <row r="2499" spans="1:19" x14ac:dyDescent="0.2">
      <c r="A2499" s="1">
        <v>46083</v>
      </c>
      <c r="B2499" t="s">
        <v>978</v>
      </c>
      <c r="D2499" t="s">
        <v>332</v>
      </c>
      <c r="E2499" t="s">
        <v>16</v>
      </c>
      <c r="F2499" t="s">
        <v>17</v>
      </c>
      <c r="G2499" s="14">
        <v>105000</v>
      </c>
      <c r="H2499" s="14">
        <v>97500</v>
      </c>
      <c r="I2499" t="s">
        <v>22</v>
      </c>
      <c r="J2499" t="s">
        <v>22</v>
      </c>
      <c r="K2499" t="s">
        <v>979</v>
      </c>
      <c r="L2499" t="s">
        <v>79</v>
      </c>
      <c r="M2499" t="s">
        <v>19</v>
      </c>
      <c r="N2499">
        <v>2</v>
      </c>
      <c r="O2499" t="s">
        <v>73</v>
      </c>
      <c r="P2499" t="s">
        <v>21</v>
      </c>
      <c r="Q2499" t="s">
        <v>30</v>
      </c>
      <c r="R2499" t="str">
        <f>VLOOKUP($O2499,'Mapa Oficinas'!$A$7:$C$46,2,FALSE)</f>
        <v>CABA</v>
      </c>
      <c r="S2499" t="str">
        <f>VLOOKUP($O2499,'Mapa Oficinas'!$A$7:$C$46,3,FALSE)</f>
        <v>Recoleta</v>
      </c>
    </row>
    <row r="2500" spans="1:19" x14ac:dyDescent="0.2">
      <c r="A2500" s="1">
        <v>46083</v>
      </c>
      <c r="B2500">
        <v>51</v>
      </c>
      <c r="D2500" t="s">
        <v>1002</v>
      </c>
      <c r="E2500" t="s">
        <v>16</v>
      </c>
      <c r="F2500" t="s">
        <v>17</v>
      </c>
      <c r="G2500" s="14">
        <v>105000</v>
      </c>
      <c r="H2500" s="14">
        <v>105000</v>
      </c>
      <c r="I2500" t="s">
        <v>22</v>
      </c>
      <c r="J2500" t="s">
        <v>22</v>
      </c>
      <c r="K2500" t="s">
        <v>1003</v>
      </c>
      <c r="L2500" t="s">
        <v>1004</v>
      </c>
      <c r="M2500" t="s">
        <v>19</v>
      </c>
      <c r="N2500">
        <v>1</v>
      </c>
      <c r="O2500" t="s">
        <v>116</v>
      </c>
      <c r="P2500" t="s">
        <v>146</v>
      </c>
      <c r="Q2500" t="s">
        <v>30</v>
      </c>
      <c r="R2500" t="str">
        <f>VLOOKUP($O2500,'Mapa Oficinas'!$A$7:$C$46,2,FALSE)</f>
        <v>CABA</v>
      </c>
      <c r="S2500" t="str">
        <f>VLOOKUP($O2500,'Mapa Oficinas'!$A$7:$C$46,3,FALSE)</f>
        <v>Puerto Madero</v>
      </c>
    </row>
    <row r="2501" spans="1:19" x14ac:dyDescent="0.2">
      <c r="A2501" s="1">
        <v>46083</v>
      </c>
      <c r="B2501" t="s">
        <v>999</v>
      </c>
      <c r="D2501" t="s">
        <v>1000</v>
      </c>
      <c r="E2501" t="s">
        <v>16</v>
      </c>
      <c r="F2501" t="s">
        <v>17</v>
      </c>
      <c r="G2501" s="14">
        <v>125000</v>
      </c>
      <c r="H2501" s="14">
        <v>123000</v>
      </c>
      <c r="I2501" t="s">
        <v>22</v>
      </c>
      <c r="J2501" t="s">
        <v>22</v>
      </c>
      <c r="K2501" t="s">
        <v>1001</v>
      </c>
      <c r="L2501" t="s">
        <v>318</v>
      </c>
      <c r="M2501" t="s">
        <v>19</v>
      </c>
      <c r="N2501">
        <v>2</v>
      </c>
      <c r="O2501" t="s">
        <v>40</v>
      </c>
      <c r="P2501" t="s">
        <v>21</v>
      </c>
      <c r="Q2501" t="s">
        <v>30</v>
      </c>
      <c r="R2501" t="str">
        <f>VLOOKUP($O2501,'Mapa Oficinas'!$A$7:$C$46,2,FALSE)</f>
        <v>Zona Norte (GBA)</v>
      </c>
      <c r="S2501" t="str">
        <f>VLOOKUP($O2501,'Mapa Oficinas'!$A$7:$C$46,3,FALSE)</f>
        <v>Pilar</v>
      </c>
    </row>
    <row r="2502" spans="1:19" x14ac:dyDescent="0.2">
      <c r="A2502" s="1">
        <v>46083</v>
      </c>
      <c r="B2502" t="s">
        <v>980</v>
      </c>
      <c r="D2502" t="s">
        <v>981</v>
      </c>
      <c r="E2502" t="s">
        <v>16</v>
      </c>
      <c r="F2502" t="s">
        <v>134</v>
      </c>
      <c r="G2502" s="14">
        <v>156424</v>
      </c>
      <c r="H2502" s="14">
        <v>164464</v>
      </c>
      <c r="I2502" t="s">
        <v>22</v>
      </c>
      <c r="J2502" t="s">
        <v>22</v>
      </c>
      <c r="K2502" t="s">
        <v>294</v>
      </c>
      <c r="L2502" t="s">
        <v>136</v>
      </c>
      <c r="M2502" t="s">
        <v>19</v>
      </c>
      <c r="N2502">
        <v>2</v>
      </c>
      <c r="O2502" t="s">
        <v>130</v>
      </c>
      <c r="P2502" t="s">
        <v>41</v>
      </c>
      <c r="Q2502" t="s">
        <v>30</v>
      </c>
      <c r="R2502" t="str">
        <f>VLOOKUP($O2502,'Mapa Oficinas'!$A$7:$C$46,2,FALSE)</f>
        <v>Interior - Río Negro</v>
      </c>
      <c r="S2502" t="str">
        <f>VLOOKUP($O2502,'Mapa Oficinas'!$A$7:$C$46,3,FALSE)</f>
        <v>Bariloche</v>
      </c>
    </row>
    <row r="2503" spans="1:19" x14ac:dyDescent="0.2">
      <c r="A2503" s="1">
        <v>46083</v>
      </c>
      <c r="B2503" t="s">
        <v>982</v>
      </c>
      <c r="D2503" t="s">
        <v>983</v>
      </c>
      <c r="E2503" t="s">
        <v>16</v>
      </c>
      <c r="F2503" t="s">
        <v>134</v>
      </c>
      <c r="G2503" s="14">
        <v>295000</v>
      </c>
      <c r="H2503" s="14">
        <v>286000</v>
      </c>
      <c r="I2503" t="s">
        <v>22</v>
      </c>
      <c r="J2503" t="s">
        <v>22</v>
      </c>
      <c r="K2503" t="s">
        <v>984</v>
      </c>
      <c r="L2503" t="s">
        <v>985</v>
      </c>
      <c r="M2503" t="s">
        <v>28</v>
      </c>
      <c r="N2503">
        <v>2</v>
      </c>
      <c r="O2503" t="s">
        <v>130</v>
      </c>
      <c r="P2503" t="s">
        <v>41</v>
      </c>
      <c r="Q2503" t="s">
        <v>30</v>
      </c>
      <c r="R2503" t="str">
        <f>VLOOKUP($O2503,'Mapa Oficinas'!$A$7:$C$46,2,FALSE)</f>
        <v>Interior - Río Negro</v>
      </c>
      <c r="S2503" t="str">
        <f>VLOOKUP($O2503,'Mapa Oficinas'!$A$7:$C$46,3,FALSE)</f>
        <v>Bariloche</v>
      </c>
    </row>
    <row r="2504" spans="1:19" x14ac:dyDescent="0.2">
      <c r="A2504" s="1">
        <v>46084</v>
      </c>
      <c r="B2504" t="s">
        <v>964</v>
      </c>
      <c r="D2504" t="s">
        <v>965</v>
      </c>
      <c r="E2504" t="s">
        <v>16</v>
      </c>
      <c r="F2504" t="s">
        <v>17</v>
      </c>
      <c r="G2504" s="14">
        <v>110000</v>
      </c>
      <c r="H2504" s="14">
        <v>102000</v>
      </c>
      <c r="I2504" t="s">
        <v>22</v>
      </c>
      <c r="J2504" t="s">
        <v>22</v>
      </c>
      <c r="K2504" t="s">
        <v>966</v>
      </c>
      <c r="L2504" t="s">
        <v>967</v>
      </c>
      <c r="M2504" t="s">
        <v>19</v>
      </c>
      <c r="N2504">
        <v>2</v>
      </c>
      <c r="O2504" t="s">
        <v>227</v>
      </c>
      <c r="P2504" t="s">
        <v>21</v>
      </c>
      <c r="Q2504" t="s">
        <v>30</v>
      </c>
      <c r="R2504" t="str">
        <f>VLOOKUP($O2504,'Mapa Oficinas'!$A$7:$C$46,2,FALSE)</f>
        <v>Zona Oeste (GBA)</v>
      </c>
      <c r="S2504" t="str">
        <f>VLOOKUP($O2504,'Mapa Oficinas'!$A$7:$C$46,3,FALSE)</f>
        <v>Parque Leloir</v>
      </c>
    </row>
    <row r="2505" spans="1:19" x14ac:dyDescent="0.2">
      <c r="A2505" s="1">
        <v>46084</v>
      </c>
      <c r="B2505" t="s">
        <v>974</v>
      </c>
      <c r="D2505" t="s">
        <v>975</v>
      </c>
      <c r="E2505" t="s">
        <v>16</v>
      </c>
      <c r="F2505" t="s">
        <v>17</v>
      </c>
      <c r="G2505" s="14">
        <v>118000</v>
      </c>
      <c r="H2505" s="14">
        <v>118000</v>
      </c>
      <c r="I2505" t="s">
        <v>22</v>
      </c>
      <c r="J2505" t="s">
        <v>22</v>
      </c>
      <c r="K2505" t="s">
        <v>976</v>
      </c>
      <c r="L2505" t="s">
        <v>977</v>
      </c>
      <c r="M2505" t="s">
        <v>28</v>
      </c>
      <c r="N2505">
        <v>2</v>
      </c>
      <c r="O2505" t="s">
        <v>55</v>
      </c>
      <c r="P2505" t="s">
        <v>41</v>
      </c>
      <c r="Q2505" t="s">
        <v>30</v>
      </c>
      <c r="R2505" t="str">
        <f>VLOOKUP($O2505,'Mapa Oficinas'!$A$7:$C$46,2,FALSE)</f>
        <v>Interior - Santa Fe</v>
      </c>
      <c r="S2505" t="str">
        <f>VLOOKUP($O2505,'Mapa Oficinas'!$A$7:$C$46,3,FALSE)</f>
        <v>Capital Santa Fe</v>
      </c>
    </row>
    <row r="2506" spans="1:19" x14ac:dyDescent="0.2">
      <c r="A2506" s="1">
        <v>46084</v>
      </c>
      <c r="B2506" t="s">
        <v>971</v>
      </c>
      <c r="D2506" t="s">
        <v>972</v>
      </c>
      <c r="E2506" t="s">
        <v>16</v>
      </c>
      <c r="F2506" t="s">
        <v>17</v>
      </c>
      <c r="G2506" s="14">
        <v>350000</v>
      </c>
      <c r="H2506" s="14">
        <v>320000</v>
      </c>
      <c r="I2506" t="s">
        <v>22</v>
      </c>
      <c r="J2506" t="s">
        <v>22</v>
      </c>
      <c r="K2506" t="s">
        <v>973</v>
      </c>
      <c r="L2506" t="s">
        <v>717</v>
      </c>
      <c r="M2506" t="s">
        <v>13</v>
      </c>
      <c r="N2506">
        <v>2</v>
      </c>
      <c r="O2506" t="s">
        <v>29</v>
      </c>
      <c r="P2506" t="s">
        <v>44</v>
      </c>
      <c r="Q2506" t="s">
        <v>30</v>
      </c>
      <c r="R2506" t="str">
        <f>VLOOKUP($O2506,'Mapa Oficinas'!$A$7:$C$46,2,FALSE)</f>
        <v>CABA</v>
      </c>
      <c r="S2506" t="str">
        <f>VLOOKUP($O2506,'Mapa Oficinas'!$A$7:$C$46,3,FALSE)</f>
        <v>Núñez</v>
      </c>
    </row>
    <row r="2507" spans="1:19" x14ac:dyDescent="0.2">
      <c r="A2507" s="1">
        <v>46085</v>
      </c>
      <c r="B2507" t="s">
        <v>957</v>
      </c>
      <c r="D2507" t="s">
        <v>958</v>
      </c>
      <c r="E2507" t="s">
        <v>16</v>
      </c>
      <c r="F2507" t="s">
        <v>17</v>
      </c>
      <c r="G2507" s="14">
        <v>79900</v>
      </c>
      <c r="H2507" s="14">
        <v>75000</v>
      </c>
      <c r="I2507" t="s">
        <v>22</v>
      </c>
      <c r="J2507" t="s">
        <v>22</v>
      </c>
      <c r="K2507" t="s">
        <v>959</v>
      </c>
      <c r="L2507" t="s">
        <v>960</v>
      </c>
      <c r="M2507" t="s">
        <v>19</v>
      </c>
      <c r="N2507">
        <v>2</v>
      </c>
      <c r="O2507" t="s">
        <v>35</v>
      </c>
      <c r="P2507" t="s">
        <v>21</v>
      </c>
      <c r="Q2507" t="s">
        <v>30</v>
      </c>
      <c r="R2507" t="str">
        <f>VLOOKUP($O2507,'Mapa Oficinas'!$A$7:$C$46,2,FALSE)</f>
        <v>Zona Norte (GBA)</v>
      </c>
      <c r="S2507" t="str">
        <f>VLOOKUP($O2507,'Mapa Oficinas'!$A$7:$C$46,3,FALSE)</f>
        <v>Vicente López</v>
      </c>
    </row>
    <row r="2508" spans="1:19" x14ac:dyDescent="0.2">
      <c r="A2508" s="1">
        <v>46085</v>
      </c>
      <c r="B2508" t="s">
        <v>961</v>
      </c>
      <c r="D2508" t="s">
        <v>962</v>
      </c>
      <c r="E2508" t="s">
        <v>16</v>
      </c>
      <c r="F2508" t="s">
        <v>17</v>
      </c>
      <c r="G2508" s="14">
        <v>159900</v>
      </c>
      <c r="H2508" s="14">
        <v>155000</v>
      </c>
      <c r="I2508" t="s">
        <v>22</v>
      </c>
      <c r="J2508" t="s">
        <v>22</v>
      </c>
      <c r="K2508" t="s">
        <v>963</v>
      </c>
      <c r="L2508" t="s">
        <v>277</v>
      </c>
      <c r="M2508" t="s">
        <v>19</v>
      </c>
      <c r="N2508">
        <v>2</v>
      </c>
      <c r="O2508" t="s">
        <v>103</v>
      </c>
      <c r="P2508" t="s">
        <v>21</v>
      </c>
      <c r="Q2508" t="s">
        <v>30</v>
      </c>
      <c r="R2508" t="str">
        <f>VLOOKUP($O2508,'Mapa Oficinas'!$A$7:$C$46,2,FALSE)</f>
        <v>CABA</v>
      </c>
      <c r="S2508" t="str">
        <f>VLOOKUP($O2508,'Mapa Oficinas'!$A$7:$C$46,3,FALSE)</f>
        <v>Barrio Parque</v>
      </c>
    </row>
    <row r="2509" spans="1:19" x14ac:dyDescent="0.2">
      <c r="A2509" s="1">
        <v>46086</v>
      </c>
      <c r="B2509" t="s">
        <v>923</v>
      </c>
      <c r="D2509" t="s">
        <v>924</v>
      </c>
      <c r="E2509" t="s">
        <v>16</v>
      </c>
      <c r="F2509" t="s">
        <v>47</v>
      </c>
      <c r="G2509" s="14">
        <v>75000</v>
      </c>
      <c r="H2509" s="14">
        <v>63000</v>
      </c>
      <c r="I2509" t="s">
        <v>22</v>
      </c>
      <c r="J2509" t="s">
        <v>22</v>
      </c>
      <c r="K2509" t="s">
        <v>925</v>
      </c>
      <c r="L2509" t="s">
        <v>926</v>
      </c>
      <c r="M2509" t="s">
        <v>28</v>
      </c>
      <c r="N2509">
        <v>2</v>
      </c>
      <c r="O2509" t="s">
        <v>252</v>
      </c>
      <c r="P2509" t="s">
        <v>21</v>
      </c>
      <c r="Q2509" t="s">
        <v>30</v>
      </c>
      <c r="R2509" t="str">
        <f>VLOOKUP($O2509,'Mapa Oficinas'!$A$7:$C$46,2,FALSE)</f>
        <v>CABA</v>
      </c>
      <c r="S2509" t="str">
        <f>VLOOKUP($O2509,'Mapa Oficinas'!$A$7:$C$46,3,FALSE)</f>
        <v>Belgrano</v>
      </c>
    </row>
    <row r="2510" spans="1:19" x14ac:dyDescent="0.2">
      <c r="A2510" s="1">
        <v>46086</v>
      </c>
      <c r="B2510" t="s">
        <v>950</v>
      </c>
      <c r="D2510" t="s">
        <v>951</v>
      </c>
      <c r="E2510" t="s">
        <v>16</v>
      </c>
      <c r="F2510" t="s">
        <v>47</v>
      </c>
      <c r="G2510" s="14">
        <v>109000</v>
      </c>
      <c r="H2510" s="14">
        <v>100000</v>
      </c>
      <c r="I2510" t="s">
        <v>22</v>
      </c>
      <c r="J2510" t="s">
        <v>22</v>
      </c>
      <c r="K2510" t="s">
        <v>952</v>
      </c>
      <c r="L2510" t="s">
        <v>953</v>
      </c>
      <c r="M2510" t="s">
        <v>28</v>
      </c>
      <c r="N2510">
        <v>1</v>
      </c>
      <c r="O2510" t="s">
        <v>171</v>
      </c>
      <c r="P2510" t="s">
        <v>66</v>
      </c>
      <c r="Q2510" t="s">
        <v>30</v>
      </c>
      <c r="R2510" t="str">
        <f>VLOOKUP($O2510,'Mapa Oficinas'!$A$7:$C$46,2,FALSE)</f>
        <v>Zona Sur (GBA)</v>
      </c>
      <c r="S2510" t="str">
        <f>VLOOKUP($O2510,'Mapa Oficinas'!$A$7:$C$46,3,FALSE)</f>
        <v>La Plata</v>
      </c>
    </row>
    <row r="2511" spans="1:19" x14ac:dyDescent="0.2">
      <c r="A2511" s="1">
        <v>46086</v>
      </c>
      <c r="B2511" t="s">
        <v>954</v>
      </c>
      <c r="D2511" t="s">
        <v>955</v>
      </c>
      <c r="E2511" t="s">
        <v>16</v>
      </c>
      <c r="F2511" t="s">
        <v>38</v>
      </c>
      <c r="G2511" s="14">
        <v>130000</v>
      </c>
      <c r="H2511" s="14">
        <v>127000</v>
      </c>
      <c r="I2511" t="s">
        <v>22</v>
      </c>
      <c r="J2511" t="s">
        <v>22</v>
      </c>
      <c r="K2511" t="s">
        <v>956</v>
      </c>
      <c r="L2511" t="s">
        <v>298</v>
      </c>
      <c r="M2511" t="s">
        <v>19</v>
      </c>
      <c r="N2511">
        <v>2</v>
      </c>
      <c r="O2511" t="s">
        <v>261</v>
      </c>
      <c r="P2511" t="s">
        <v>44</v>
      </c>
      <c r="Q2511" t="s">
        <v>30</v>
      </c>
      <c r="R2511" t="str">
        <f>VLOOKUP($O2511,'Mapa Oficinas'!$A$7:$C$46,2,FALSE)</f>
        <v>CABA</v>
      </c>
      <c r="S2511" t="str">
        <f>VLOOKUP($O2511,'Mapa Oficinas'!$A$7:$C$46,3,FALSE)</f>
        <v>Núñez</v>
      </c>
    </row>
    <row r="2512" spans="1:19" x14ac:dyDescent="0.2">
      <c r="A2512" s="1">
        <v>46086</v>
      </c>
      <c r="B2512" t="s">
        <v>948</v>
      </c>
      <c r="D2512" t="s">
        <v>948</v>
      </c>
      <c r="E2512" t="s">
        <v>16</v>
      </c>
      <c r="F2512" t="s">
        <v>38</v>
      </c>
      <c r="G2512" s="14">
        <v>145000</v>
      </c>
      <c r="H2512" s="14">
        <v>145000</v>
      </c>
      <c r="I2512" t="s">
        <v>22</v>
      </c>
      <c r="J2512" t="s">
        <v>22</v>
      </c>
      <c r="K2512" t="s">
        <v>949</v>
      </c>
      <c r="L2512" t="s">
        <v>258</v>
      </c>
      <c r="M2512" t="s">
        <v>28</v>
      </c>
      <c r="N2512">
        <v>2</v>
      </c>
      <c r="O2512" t="s">
        <v>40</v>
      </c>
      <c r="P2512" t="s">
        <v>44</v>
      </c>
      <c r="Q2512" t="s">
        <v>30</v>
      </c>
      <c r="R2512" t="str">
        <f>VLOOKUP($O2512,'Mapa Oficinas'!$A$7:$C$46,2,FALSE)</f>
        <v>Zona Norte (GBA)</v>
      </c>
      <c r="S2512" t="str">
        <f>VLOOKUP($O2512,'Mapa Oficinas'!$A$7:$C$46,3,FALSE)</f>
        <v>Pilar</v>
      </c>
    </row>
    <row r="2513" spans="1:19" x14ac:dyDescent="0.2">
      <c r="A2513" s="1">
        <v>46086</v>
      </c>
      <c r="B2513" t="s">
        <v>937</v>
      </c>
      <c r="D2513" t="s">
        <v>937</v>
      </c>
      <c r="E2513" t="s">
        <v>16</v>
      </c>
      <c r="F2513" t="s">
        <v>17</v>
      </c>
      <c r="G2513" s="14">
        <v>145000</v>
      </c>
      <c r="H2513" s="14">
        <v>145000</v>
      </c>
      <c r="I2513" t="s">
        <v>22</v>
      </c>
      <c r="J2513" t="s">
        <v>22</v>
      </c>
      <c r="L2513" t="s">
        <v>258</v>
      </c>
      <c r="M2513" t="s">
        <v>28</v>
      </c>
      <c r="N2513">
        <v>2</v>
      </c>
      <c r="O2513" t="s">
        <v>389</v>
      </c>
      <c r="P2513" t="s">
        <v>36</v>
      </c>
      <c r="Q2513" t="s">
        <v>30</v>
      </c>
      <c r="R2513" t="str">
        <f>VLOOKUP($O2513,'Mapa Oficinas'!$A$7:$C$46,2,FALSE)</f>
        <v>Zona Norte (GBA)</v>
      </c>
      <c r="S2513" t="str">
        <f>VLOOKUP($O2513,'Mapa Oficinas'!$A$7:$C$46,3,FALSE)</f>
        <v>Escobar</v>
      </c>
    </row>
    <row r="2514" spans="1:19" x14ac:dyDescent="0.2">
      <c r="A2514" s="1">
        <v>46086</v>
      </c>
      <c r="B2514" t="s">
        <v>927</v>
      </c>
      <c r="D2514" t="s">
        <v>928</v>
      </c>
      <c r="E2514" t="s">
        <v>16</v>
      </c>
      <c r="F2514" t="s">
        <v>17</v>
      </c>
      <c r="G2514" s="14">
        <v>195000</v>
      </c>
      <c r="H2514" s="14">
        <v>182000</v>
      </c>
      <c r="I2514" t="s">
        <v>22</v>
      </c>
      <c r="J2514" t="s">
        <v>22</v>
      </c>
      <c r="K2514" t="s">
        <v>929</v>
      </c>
      <c r="L2514" t="s">
        <v>191</v>
      </c>
      <c r="M2514" t="s">
        <v>19</v>
      </c>
      <c r="N2514">
        <v>2</v>
      </c>
      <c r="O2514" t="s">
        <v>201</v>
      </c>
      <c r="P2514" t="s">
        <v>21</v>
      </c>
      <c r="Q2514" t="s">
        <v>30</v>
      </c>
      <c r="R2514" t="str">
        <f>VLOOKUP($O2514,'Mapa Oficinas'!$A$7:$C$46,2,FALSE)</f>
        <v>CABA</v>
      </c>
      <c r="S2514" t="str">
        <f>VLOOKUP($O2514,'Mapa Oficinas'!$A$7:$C$46,3,FALSE)</f>
        <v>Recoleta</v>
      </c>
    </row>
    <row r="2515" spans="1:19" x14ac:dyDescent="0.2">
      <c r="A2515" s="1">
        <v>46086</v>
      </c>
      <c r="B2515" t="s">
        <v>939</v>
      </c>
      <c r="D2515" t="s">
        <v>940</v>
      </c>
      <c r="E2515" t="s">
        <v>16</v>
      </c>
      <c r="F2515" t="s">
        <v>38</v>
      </c>
      <c r="G2515" s="14">
        <v>430000</v>
      </c>
      <c r="H2515" s="14">
        <v>395000</v>
      </c>
      <c r="I2515" t="s">
        <v>22</v>
      </c>
      <c r="J2515" t="s">
        <v>22</v>
      </c>
      <c r="K2515" t="s">
        <v>941</v>
      </c>
      <c r="L2515" t="s">
        <v>942</v>
      </c>
      <c r="M2515" t="s">
        <v>19</v>
      </c>
      <c r="N2515">
        <v>2</v>
      </c>
      <c r="O2515" t="s">
        <v>40</v>
      </c>
      <c r="P2515" t="s">
        <v>44</v>
      </c>
      <c r="Q2515" t="s">
        <v>30</v>
      </c>
      <c r="R2515" t="str">
        <f>VLOOKUP($O2515,'Mapa Oficinas'!$A$7:$C$46,2,FALSE)</f>
        <v>Zona Norte (GBA)</v>
      </c>
      <c r="S2515" t="str">
        <f>VLOOKUP($O2515,'Mapa Oficinas'!$A$7:$C$46,3,FALSE)</f>
        <v>Pilar</v>
      </c>
    </row>
    <row r="2516" spans="1:19" x14ac:dyDescent="0.2">
      <c r="A2516" s="1">
        <v>46087</v>
      </c>
      <c r="B2516" t="s">
        <v>919</v>
      </c>
      <c r="D2516" t="s">
        <v>917</v>
      </c>
      <c r="E2516" t="s">
        <v>16</v>
      </c>
      <c r="F2516" t="s">
        <v>82</v>
      </c>
      <c r="G2516" s="14">
        <v>40700</v>
      </c>
      <c r="H2516" s="14">
        <v>38000</v>
      </c>
      <c r="I2516" t="s">
        <v>22</v>
      </c>
      <c r="J2516" t="s">
        <v>22</v>
      </c>
      <c r="K2516" t="s">
        <v>918</v>
      </c>
      <c r="L2516" t="s">
        <v>915</v>
      </c>
      <c r="M2516" t="s">
        <v>97</v>
      </c>
      <c r="N2516">
        <v>2</v>
      </c>
      <c r="O2516" t="s">
        <v>98</v>
      </c>
      <c r="P2516" t="s">
        <v>41</v>
      </c>
      <c r="Q2516" t="s">
        <v>30</v>
      </c>
      <c r="R2516" t="str">
        <f>VLOOKUP($O2516,'Mapa Oficinas'!$A$7:$C$46,2,FALSE)</f>
        <v>Interior - Neuquén</v>
      </c>
      <c r="S2516" t="str">
        <f>VLOOKUP($O2516,'Mapa Oficinas'!$A$7:$C$46,3,FALSE)</f>
        <v>Villa La Angostura</v>
      </c>
    </row>
    <row r="2517" spans="1:19" x14ac:dyDescent="0.2">
      <c r="A2517" s="1">
        <v>46087</v>
      </c>
      <c r="B2517" t="s">
        <v>916</v>
      </c>
      <c r="D2517" t="s">
        <v>917</v>
      </c>
      <c r="E2517" t="s">
        <v>16</v>
      </c>
      <c r="F2517" t="s">
        <v>82</v>
      </c>
      <c r="G2517" s="14">
        <v>40700</v>
      </c>
      <c r="H2517" s="14">
        <v>40704</v>
      </c>
      <c r="I2517" t="s">
        <v>22</v>
      </c>
      <c r="J2517" t="s">
        <v>22</v>
      </c>
      <c r="K2517" t="s">
        <v>918</v>
      </c>
      <c r="L2517" t="s">
        <v>915</v>
      </c>
      <c r="M2517" t="s">
        <v>97</v>
      </c>
      <c r="N2517">
        <v>2</v>
      </c>
      <c r="O2517" t="s">
        <v>98</v>
      </c>
      <c r="P2517" t="s">
        <v>41</v>
      </c>
      <c r="Q2517" t="s">
        <v>30</v>
      </c>
      <c r="R2517" t="str">
        <f>VLOOKUP($O2517,'Mapa Oficinas'!$A$7:$C$46,2,FALSE)</f>
        <v>Interior - Neuquén</v>
      </c>
      <c r="S2517" t="str">
        <f>VLOOKUP($O2517,'Mapa Oficinas'!$A$7:$C$46,3,FALSE)</f>
        <v>Villa La Angostura</v>
      </c>
    </row>
    <row r="2518" spans="1:19" x14ac:dyDescent="0.2">
      <c r="A2518" s="1">
        <v>46087</v>
      </c>
      <c r="D2518" t="s">
        <v>886</v>
      </c>
      <c r="E2518" t="s">
        <v>16</v>
      </c>
      <c r="F2518" t="s">
        <v>17</v>
      </c>
      <c r="G2518" s="14">
        <v>57000</v>
      </c>
      <c r="H2518" s="14">
        <v>57000</v>
      </c>
      <c r="I2518" t="s">
        <v>22</v>
      </c>
      <c r="J2518" t="s">
        <v>22</v>
      </c>
      <c r="K2518" t="s">
        <v>887</v>
      </c>
      <c r="L2518" t="s">
        <v>888</v>
      </c>
      <c r="M2518" t="s">
        <v>19</v>
      </c>
      <c r="N2518">
        <v>1</v>
      </c>
      <c r="O2518" t="s">
        <v>201</v>
      </c>
      <c r="P2518" t="s">
        <v>146</v>
      </c>
      <c r="Q2518" t="s">
        <v>30</v>
      </c>
      <c r="R2518" t="str">
        <f>VLOOKUP($O2518,'Mapa Oficinas'!$A$7:$C$46,2,FALSE)</f>
        <v>CABA</v>
      </c>
      <c r="S2518" t="str">
        <f>VLOOKUP($O2518,'Mapa Oficinas'!$A$7:$C$46,3,FALSE)</f>
        <v>Recoleta</v>
      </c>
    </row>
    <row r="2519" spans="1:19" x14ac:dyDescent="0.2">
      <c r="A2519" s="1">
        <v>46087</v>
      </c>
      <c r="B2519" t="s">
        <v>877</v>
      </c>
      <c r="D2519" t="s">
        <v>878</v>
      </c>
      <c r="E2519" t="s">
        <v>16</v>
      </c>
      <c r="F2519" t="s">
        <v>17</v>
      </c>
      <c r="G2519" s="14">
        <v>98000</v>
      </c>
      <c r="H2519" s="14">
        <v>80000</v>
      </c>
      <c r="I2519" t="s">
        <v>22</v>
      </c>
      <c r="J2519" t="s">
        <v>22</v>
      </c>
      <c r="K2519" t="s">
        <v>879</v>
      </c>
      <c r="L2519" t="s">
        <v>191</v>
      </c>
      <c r="M2519" t="s">
        <v>19</v>
      </c>
      <c r="N2519">
        <v>2</v>
      </c>
      <c r="O2519" t="s">
        <v>201</v>
      </c>
      <c r="P2519" t="s">
        <v>21</v>
      </c>
      <c r="Q2519" t="s">
        <v>30</v>
      </c>
      <c r="R2519" t="str">
        <f>VLOOKUP($O2519,'Mapa Oficinas'!$A$7:$C$46,2,FALSE)</f>
        <v>CABA</v>
      </c>
      <c r="S2519" t="str">
        <f>VLOOKUP($O2519,'Mapa Oficinas'!$A$7:$C$46,3,FALSE)</f>
        <v>Recoleta</v>
      </c>
    </row>
    <row r="2520" spans="1:19" x14ac:dyDescent="0.2">
      <c r="A2520" s="1">
        <v>46087</v>
      </c>
      <c r="B2520" t="s">
        <v>891</v>
      </c>
      <c r="D2520" t="s">
        <v>892</v>
      </c>
      <c r="E2520" t="s">
        <v>16</v>
      </c>
      <c r="F2520" t="s">
        <v>47</v>
      </c>
      <c r="G2520" s="14">
        <v>69900</v>
      </c>
      <c r="H2520" s="14">
        <v>83000</v>
      </c>
      <c r="I2520" t="s">
        <v>22</v>
      </c>
      <c r="J2520" t="s">
        <v>22</v>
      </c>
      <c r="K2520" t="s">
        <v>893</v>
      </c>
      <c r="L2520" t="s">
        <v>894</v>
      </c>
      <c r="M2520" t="s">
        <v>19</v>
      </c>
      <c r="N2520">
        <v>2</v>
      </c>
      <c r="O2520" t="s">
        <v>686</v>
      </c>
      <c r="P2520" t="s">
        <v>21</v>
      </c>
      <c r="Q2520" t="s">
        <v>30</v>
      </c>
      <c r="R2520" t="str">
        <f>VLOOKUP($O2520,'Mapa Oficinas'!$A$7:$C$46,2,FALSE)</f>
        <v>CABA</v>
      </c>
      <c r="S2520" t="str">
        <f>VLOOKUP($O2520,'Mapa Oficinas'!$A$7:$C$46,3,FALSE)</f>
        <v>Retiro</v>
      </c>
    </row>
    <row r="2521" spans="1:19" x14ac:dyDescent="0.2">
      <c r="A2521" s="1">
        <v>46087</v>
      </c>
      <c r="B2521" t="s">
        <v>880</v>
      </c>
      <c r="D2521" t="s">
        <v>881</v>
      </c>
      <c r="E2521" t="s">
        <v>16</v>
      </c>
      <c r="F2521" t="s">
        <v>17</v>
      </c>
      <c r="G2521" s="14">
        <v>114000</v>
      </c>
      <c r="H2521" s="14">
        <v>93000</v>
      </c>
      <c r="I2521" t="s">
        <v>22</v>
      </c>
      <c r="J2521" t="s">
        <v>22</v>
      </c>
      <c r="K2521" t="s">
        <v>882</v>
      </c>
      <c r="L2521" t="s">
        <v>867</v>
      </c>
      <c r="M2521" t="s">
        <v>19</v>
      </c>
      <c r="N2521">
        <v>2</v>
      </c>
      <c r="O2521" t="s">
        <v>201</v>
      </c>
      <c r="P2521" t="s">
        <v>21</v>
      </c>
      <c r="Q2521" t="s">
        <v>30</v>
      </c>
      <c r="R2521" t="str">
        <f>VLOOKUP($O2521,'Mapa Oficinas'!$A$7:$C$46,2,FALSE)</f>
        <v>CABA</v>
      </c>
      <c r="S2521" t="str">
        <f>VLOOKUP($O2521,'Mapa Oficinas'!$A$7:$C$46,3,FALSE)</f>
        <v>Recoleta</v>
      </c>
    </row>
    <row r="2522" spans="1:19" x14ac:dyDescent="0.2">
      <c r="A2522" s="1">
        <v>46087</v>
      </c>
      <c r="B2522" t="s">
        <v>889</v>
      </c>
      <c r="D2522" t="s">
        <v>890</v>
      </c>
      <c r="E2522" t="s">
        <v>16</v>
      </c>
      <c r="F2522" t="s">
        <v>17</v>
      </c>
      <c r="G2522" s="14">
        <v>115000</v>
      </c>
      <c r="H2522" s="14">
        <v>113000</v>
      </c>
      <c r="I2522" t="s">
        <v>22</v>
      </c>
      <c r="J2522" t="s">
        <v>22</v>
      </c>
      <c r="K2522" t="s">
        <v>720</v>
      </c>
      <c r="L2522" t="s">
        <v>330</v>
      </c>
      <c r="M2522" t="s">
        <v>19</v>
      </c>
      <c r="N2522">
        <v>2</v>
      </c>
      <c r="O2522" t="s">
        <v>547</v>
      </c>
      <c r="P2522" t="s">
        <v>276</v>
      </c>
      <c r="Q2522" t="s">
        <v>30</v>
      </c>
      <c r="R2522" t="str">
        <f>VLOOKUP($O2522,'Mapa Oficinas'!$A$7:$C$46,2,FALSE)</f>
        <v>CABA</v>
      </c>
      <c r="S2522" t="str">
        <f>VLOOKUP($O2522,'Mapa Oficinas'!$A$7:$C$46,3,FALSE)</f>
        <v>Núñez</v>
      </c>
    </row>
    <row r="2523" spans="1:19" x14ac:dyDescent="0.2">
      <c r="A2523" s="1">
        <v>46087</v>
      </c>
      <c r="D2523" t="s">
        <v>910</v>
      </c>
      <c r="E2523" t="s">
        <v>16</v>
      </c>
      <c r="F2523" t="s">
        <v>38</v>
      </c>
      <c r="G2523" s="14">
        <v>0</v>
      </c>
      <c r="H2523" s="14">
        <v>125000</v>
      </c>
      <c r="I2523" t="s">
        <v>22</v>
      </c>
      <c r="J2523" t="s">
        <v>22</v>
      </c>
      <c r="K2523" t="s">
        <v>911</v>
      </c>
      <c r="L2523" t="s">
        <v>912</v>
      </c>
      <c r="M2523" t="s">
        <v>97</v>
      </c>
      <c r="N2523">
        <v>2</v>
      </c>
      <c r="O2523" t="s">
        <v>40</v>
      </c>
      <c r="P2523" t="s">
        <v>44</v>
      </c>
      <c r="Q2523" t="s">
        <v>30</v>
      </c>
      <c r="R2523" t="str">
        <f>VLOOKUP($O2523,'Mapa Oficinas'!$A$7:$C$46,2,FALSE)</f>
        <v>Zona Norte (GBA)</v>
      </c>
      <c r="S2523" t="str">
        <f>VLOOKUP($O2523,'Mapa Oficinas'!$A$7:$C$46,3,FALSE)</f>
        <v>Pilar</v>
      </c>
    </row>
    <row r="2524" spans="1:19" x14ac:dyDescent="0.2">
      <c r="A2524" s="1">
        <v>46087</v>
      </c>
      <c r="B2524" t="s">
        <v>906</v>
      </c>
      <c r="D2524" t="s">
        <v>907</v>
      </c>
      <c r="E2524" t="s">
        <v>16</v>
      </c>
      <c r="F2524" t="s">
        <v>53</v>
      </c>
      <c r="G2524" s="14">
        <v>125000</v>
      </c>
      <c r="H2524" s="14">
        <v>126000</v>
      </c>
      <c r="I2524" t="s">
        <v>22</v>
      </c>
      <c r="J2524" t="s">
        <v>18</v>
      </c>
      <c r="K2524" t="s">
        <v>908</v>
      </c>
      <c r="L2524" t="s">
        <v>909</v>
      </c>
      <c r="M2524" t="s">
        <v>28</v>
      </c>
      <c r="N2524">
        <v>2</v>
      </c>
      <c r="O2524" t="s">
        <v>246</v>
      </c>
      <c r="P2524" t="s">
        <v>21</v>
      </c>
      <c r="Q2524" t="s">
        <v>30</v>
      </c>
      <c r="R2524" t="str">
        <f>VLOOKUP($O2524,'Mapa Oficinas'!$A$7:$C$46,2,FALSE)</f>
        <v>Interior - Salta</v>
      </c>
      <c r="S2524" t="str">
        <f>VLOOKUP($O2524,'Mapa Oficinas'!$A$7:$C$46,3,FALSE)</f>
        <v>San Lorenzo Chico</v>
      </c>
    </row>
    <row r="2525" spans="1:19" x14ac:dyDescent="0.2">
      <c r="A2525" s="1">
        <v>46087</v>
      </c>
      <c r="B2525" t="s">
        <v>920</v>
      </c>
      <c r="D2525" t="s">
        <v>921</v>
      </c>
      <c r="E2525" t="s">
        <v>16</v>
      </c>
      <c r="F2525" t="s">
        <v>38</v>
      </c>
      <c r="G2525" s="14">
        <v>149000</v>
      </c>
      <c r="H2525" s="14">
        <v>130000</v>
      </c>
      <c r="I2525" t="s">
        <v>22</v>
      </c>
      <c r="J2525" t="s">
        <v>22</v>
      </c>
      <c r="K2525" t="s">
        <v>922</v>
      </c>
      <c r="L2525" t="s">
        <v>79</v>
      </c>
      <c r="M2525" t="s">
        <v>72</v>
      </c>
      <c r="N2525">
        <v>2</v>
      </c>
      <c r="O2525" t="s">
        <v>261</v>
      </c>
      <c r="P2525" t="s">
        <v>276</v>
      </c>
      <c r="Q2525" t="s">
        <v>30</v>
      </c>
      <c r="R2525" t="str">
        <f>VLOOKUP($O2525,'Mapa Oficinas'!$A$7:$C$46,2,FALSE)</f>
        <v>CABA</v>
      </c>
      <c r="S2525" t="str">
        <f>VLOOKUP($O2525,'Mapa Oficinas'!$A$7:$C$46,3,FALSE)</f>
        <v>Núñez</v>
      </c>
    </row>
    <row r="2526" spans="1:19" x14ac:dyDescent="0.2">
      <c r="A2526" s="1">
        <v>46087</v>
      </c>
      <c r="D2526" t="s">
        <v>895</v>
      </c>
      <c r="E2526" t="s">
        <v>16</v>
      </c>
      <c r="F2526" t="s">
        <v>896</v>
      </c>
      <c r="G2526" s="14">
        <v>132000</v>
      </c>
      <c r="H2526" s="14">
        <v>130000</v>
      </c>
      <c r="I2526" t="s">
        <v>22</v>
      </c>
      <c r="J2526" t="s">
        <v>22</v>
      </c>
      <c r="K2526" t="s">
        <v>897</v>
      </c>
      <c r="L2526" t="s">
        <v>260</v>
      </c>
      <c r="M2526" t="s">
        <v>28</v>
      </c>
      <c r="N2526">
        <v>2</v>
      </c>
      <c r="O2526" t="s">
        <v>98</v>
      </c>
      <c r="P2526" t="s">
        <v>21</v>
      </c>
      <c r="Q2526" t="s">
        <v>30</v>
      </c>
      <c r="R2526" t="str">
        <f>VLOOKUP($O2526,'Mapa Oficinas'!$A$7:$C$46,2,FALSE)</f>
        <v>Interior - Neuquén</v>
      </c>
      <c r="S2526" t="str">
        <f>VLOOKUP($O2526,'Mapa Oficinas'!$A$7:$C$46,3,FALSE)</f>
        <v>Villa La Angostura</v>
      </c>
    </row>
    <row r="2527" spans="1:19" x14ac:dyDescent="0.2">
      <c r="A2527" s="1">
        <v>46087</v>
      </c>
      <c r="B2527" t="s">
        <v>883</v>
      </c>
      <c r="D2527" t="s">
        <v>884</v>
      </c>
      <c r="E2527" t="s">
        <v>16</v>
      </c>
      <c r="F2527" t="s">
        <v>17</v>
      </c>
      <c r="G2527" s="14">
        <v>165000</v>
      </c>
      <c r="H2527" s="14">
        <v>158000</v>
      </c>
      <c r="I2527" t="s">
        <v>22</v>
      </c>
      <c r="J2527" t="s">
        <v>22</v>
      </c>
      <c r="K2527" t="s">
        <v>885</v>
      </c>
      <c r="L2527" t="s">
        <v>318</v>
      </c>
      <c r="M2527" t="s">
        <v>72</v>
      </c>
      <c r="N2527">
        <v>2</v>
      </c>
      <c r="O2527" t="s">
        <v>103</v>
      </c>
      <c r="P2527" t="s">
        <v>36</v>
      </c>
      <c r="Q2527" t="s">
        <v>30</v>
      </c>
      <c r="R2527" t="str">
        <f>VLOOKUP($O2527,'Mapa Oficinas'!$A$7:$C$46,2,FALSE)</f>
        <v>CABA</v>
      </c>
      <c r="S2527" t="str">
        <f>VLOOKUP($O2527,'Mapa Oficinas'!$A$7:$C$46,3,FALSE)</f>
        <v>Barrio Parque</v>
      </c>
    </row>
    <row r="2528" spans="1:19" x14ac:dyDescent="0.2">
      <c r="A2528" s="1">
        <v>46087</v>
      </c>
      <c r="B2528" t="s">
        <v>883</v>
      </c>
      <c r="D2528" t="s">
        <v>884</v>
      </c>
      <c r="E2528" t="s">
        <v>16</v>
      </c>
      <c r="F2528" t="s">
        <v>17</v>
      </c>
      <c r="G2528" s="14">
        <v>165000</v>
      </c>
      <c r="H2528" s="14">
        <v>158000</v>
      </c>
      <c r="I2528" t="s">
        <v>22</v>
      </c>
      <c r="J2528" t="s">
        <v>22</v>
      </c>
      <c r="K2528" t="s">
        <v>885</v>
      </c>
      <c r="L2528" t="s">
        <v>318</v>
      </c>
      <c r="M2528" t="s">
        <v>72</v>
      </c>
      <c r="N2528">
        <v>2</v>
      </c>
      <c r="O2528" t="s">
        <v>781</v>
      </c>
      <c r="P2528" t="s">
        <v>36</v>
      </c>
      <c r="Q2528" t="s">
        <v>30</v>
      </c>
      <c r="R2528" t="str">
        <f>VLOOKUP($O2528,'Mapa Oficinas'!$A$7:$C$46,2,FALSE)</f>
        <v>CABA</v>
      </c>
      <c r="S2528" t="str">
        <f>VLOOKUP($O2528,'Mapa Oficinas'!$A$7:$C$46,3,FALSE)</f>
        <v>Palermo</v>
      </c>
    </row>
    <row r="2529" spans="1:19" x14ac:dyDescent="0.2">
      <c r="A2529" s="1">
        <v>46087</v>
      </c>
      <c r="B2529" t="s">
        <v>898</v>
      </c>
      <c r="D2529" t="s">
        <v>899</v>
      </c>
      <c r="E2529" t="s">
        <v>16</v>
      </c>
      <c r="F2529" t="s">
        <v>17</v>
      </c>
      <c r="G2529" s="14">
        <v>240000</v>
      </c>
      <c r="H2529" s="14">
        <v>230000</v>
      </c>
      <c r="I2529" t="s">
        <v>22</v>
      </c>
      <c r="J2529" t="s">
        <v>22</v>
      </c>
      <c r="K2529" t="s">
        <v>900</v>
      </c>
      <c r="L2529" t="s">
        <v>564</v>
      </c>
      <c r="M2529" t="s">
        <v>72</v>
      </c>
      <c r="N2529">
        <v>2</v>
      </c>
      <c r="O2529" t="s">
        <v>781</v>
      </c>
      <c r="P2529" t="s">
        <v>21</v>
      </c>
      <c r="Q2529" t="s">
        <v>30</v>
      </c>
      <c r="R2529" t="str">
        <f>VLOOKUP($O2529,'Mapa Oficinas'!$A$7:$C$46,2,FALSE)</f>
        <v>CABA</v>
      </c>
      <c r="S2529" t="str">
        <f>VLOOKUP($O2529,'Mapa Oficinas'!$A$7:$C$46,3,FALSE)</f>
        <v>Palermo</v>
      </c>
    </row>
    <row r="2530" spans="1:19" x14ac:dyDescent="0.2">
      <c r="A2530" s="1">
        <v>46087</v>
      </c>
      <c r="B2530" t="s">
        <v>874</v>
      </c>
      <c r="D2530" t="s">
        <v>875</v>
      </c>
      <c r="E2530" t="s">
        <v>16</v>
      </c>
      <c r="F2530" t="s">
        <v>17</v>
      </c>
      <c r="G2530" s="14">
        <v>310000</v>
      </c>
      <c r="H2530" s="14">
        <v>263000</v>
      </c>
      <c r="I2530" t="s">
        <v>22</v>
      </c>
      <c r="J2530" t="s">
        <v>22</v>
      </c>
      <c r="K2530" t="s">
        <v>876</v>
      </c>
      <c r="L2530" t="s">
        <v>79</v>
      </c>
      <c r="M2530" t="s">
        <v>19</v>
      </c>
      <c r="N2530">
        <v>2</v>
      </c>
      <c r="O2530" t="s">
        <v>201</v>
      </c>
      <c r="P2530" t="s">
        <v>21</v>
      </c>
      <c r="Q2530" t="s">
        <v>30</v>
      </c>
      <c r="R2530" t="str">
        <f>VLOOKUP($O2530,'Mapa Oficinas'!$A$7:$C$46,2,FALSE)</f>
        <v>CABA</v>
      </c>
      <c r="S2530" t="str">
        <f>VLOOKUP($O2530,'Mapa Oficinas'!$A$7:$C$46,3,FALSE)</f>
        <v>Recoleta</v>
      </c>
    </row>
    <row r="2531" spans="1:19" x14ac:dyDescent="0.2">
      <c r="A2531" s="1">
        <v>46088</v>
      </c>
      <c r="B2531" t="s">
        <v>870</v>
      </c>
      <c r="D2531" t="s">
        <v>871</v>
      </c>
      <c r="E2531" t="s">
        <v>16</v>
      </c>
      <c r="F2531" t="s">
        <v>17</v>
      </c>
      <c r="G2531" s="14">
        <v>199900</v>
      </c>
      <c r="H2531" s="14">
        <v>195000</v>
      </c>
      <c r="I2531" t="s">
        <v>22</v>
      </c>
      <c r="J2531" t="s">
        <v>22</v>
      </c>
      <c r="K2531" t="s">
        <v>872</v>
      </c>
      <c r="L2531" t="s">
        <v>873</v>
      </c>
      <c r="M2531" t="s">
        <v>28</v>
      </c>
      <c r="N2531">
        <v>2</v>
      </c>
      <c r="O2531" t="s">
        <v>227</v>
      </c>
      <c r="P2531" t="s">
        <v>21</v>
      </c>
      <c r="Q2531" t="s">
        <v>30</v>
      </c>
      <c r="R2531" t="str">
        <f>VLOOKUP($O2531,'Mapa Oficinas'!$A$7:$C$46,2,FALSE)</f>
        <v>Zona Oeste (GBA)</v>
      </c>
      <c r="S2531" t="str">
        <f>VLOOKUP($O2531,'Mapa Oficinas'!$A$7:$C$46,3,FALSE)</f>
        <v>Parque Leloir</v>
      </c>
    </row>
    <row r="2532" spans="1:19" x14ac:dyDescent="0.2">
      <c r="A2532" s="1">
        <v>46090</v>
      </c>
      <c r="B2532" t="s">
        <v>848</v>
      </c>
      <c r="D2532" t="s">
        <v>849</v>
      </c>
      <c r="E2532" t="s">
        <v>16</v>
      </c>
      <c r="F2532" t="s">
        <v>17</v>
      </c>
      <c r="G2532" s="14">
        <v>40000</v>
      </c>
      <c r="H2532" s="14">
        <v>36000</v>
      </c>
      <c r="I2532" t="s">
        <v>22</v>
      </c>
      <c r="J2532" t="s">
        <v>22</v>
      </c>
      <c r="K2532" t="s">
        <v>850</v>
      </c>
      <c r="L2532" t="s">
        <v>851</v>
      </c>
      <c r="M2532" t="s">
        <v>28</v>
      </c>
      <c r="N2532">
        <v>2</v>
      </c>
      <c r="O2532" t="s">
        <v>65</v>
      </c>
      <c r="P2532" t="s">
        <v>21</v>
      </c>
      <c r="Q2532" t="s">
        <v>30</v>
      </c>
      <c r="R2532" t="str">
        <f>VLOOKUP($O2532,'Mapa Oficinas'!$A$7:$C$46,2,FALSE)</f>
        <v>Interior - Mendoza</v>
      </c>
      <c r="S2532" t="str">
        <f>VLOOKUP($O2532,'Mapa Oficinas'!$A$7:$C$46,3,FALSE)</f>
        <v>Capital Mendoza</v>
      </c>
    </row>
    <row r="2533" spans="1:19" x14ac:dyDescent="0.2">
      <c r="A2533" s="1">
        <v>46090</v>
      </c>
      <c r="B2533" t="s">
        <v>828</v>
      </c>
      <c r="D2533" t="s">
        <v>829</v>
      </c>
      <c r="E2533" t="s">
        <v>16</v>
      </c>
      <c r="F2533" t="s">
        <v>17</v>
      </c>
      <c r="G2533" s="14">
        <v>45000</v>
      </c>
      <c r="H2533" s="14">
        <v>43000</v>
      </c>
      <c r="I2533" t="s">
        <v>22</v>
      </c>
      <c r="J2533" t="s">
        <v>22</v>
      </c>
      <c r="K2533" t="s">
        <v>830</v>
      </c>
      <c r="L2533" t="s">
        <v>71</v>
      </c>
      <c r="M2533" t="s">
        <v>19</v>
      </c>
      <c r="N2533">
        <v>2</v>
      </c>
      <c r="O2533" t="s">
        <v>201</v>
      </c>
      <c r="P2533" t="s">
        <v>276</v>
      </c>
      <c r="Q2533" t="s">
        <v>30</v>
      </c>
      <c r="R2533" t="str">
        <f>VLOOKUP($O2533,'Mapa Oficinas'!$A$7:$C$46,2,FALSE)</f>
        <v>CABA</v>
      </c>
      <c r="S2533" t="str">
        <f>VLOOKUP($O2533,'Mapa Oficinas'!$A$7:$C$46,3,FALSE)</f>
        <v>Recoleta</v>
      </c>
    </row>
    <row r="2534" spans="1:19" x14ac:dyDescent="0.2">
      <c r="A2534" s="1">
        <v>46090</v>
      </c>
      <c r="B2534" t="s">
        <v>834</v>
      </c>
      <c r="D2534" t="s">
        <v>835</v>
      </c>
      <c r="E2534" t="s">
        <v>16</v>
      </c>
      <c r="F2534" t="s">
        <v>82</v>
      </c>
      <c r="G2534" s="14">
        <v>55000</v>
      </c>
      <c r="H2534" s="14">
        <v>50000</v>
      </c>
      <c r="I2534" t="s">
        <v>22</v>
      </c>
      <c r="J2534" t="s">
        <v>22</v>
      </c>
      <c r="K2534" t="s">
        <v>836</v>
      </c>
      <c r="L2534" t="s">
        <v>84</v>
      </c>
      <c r="M2534" t="s">
        <v>28</v>
      </c>
      <c r="N2534">
        <v>2</v>
      </c>
      <c r="O2534" t="s">
        <v>85</v>
      </c>
      <c r="P2534" t="s">
        <v>41</v>
      </c>
      <c r="Q2534" t="s">
        <v>30</v>
      </c>
      <c r="R2534" t="str">
        <f>VLOOKUP($O2534,'Mapa Oficinas'!$A$7:$C$46,2,FALSE)</f>
        <v>Interior - Jujuy</v>
      </c>
      <c r="S2534" t="str">
        <f>VLOOKUP($O2534,'Mapa Oficinas'!$A$7:$C$46,3,FALSE)</f>
        <v>Capital Jujuy</v>
      </c>
    </row>
    <row r="2535" spans="1:19" x14ac:dyDescent="0.2">
      <c r="A2535" s="1">
        <v>46090</v>
      </c>
      <c r="B2535" t="s">
        <v>853</v>
      </c>
      <c r="D2535" t="s">
        <v>854</v>
      </c>
      <c r="E2535" t="s">
        <v>16</v>
      </c>
      <c r="F2535" t="s">
        <v>17</v>
      </c>
      <c r="G2535" s="14">
        <v>79000</v>
      </c>
      <c r="H2535" s="14">
        <v>78000</v>
      </c>
      <c r="I2535" t="s">
        <v>22</v>
      </c>
      <c r="J2535" t="s">
        <v>22</v>
      </c>
      <c r="K2535" t="s">
        <v>855</v>
      </c>
      <c r="L2535" t="s">
        <v>856</v>
      </c>
      <c r="M2535" t="s">
        <v>19</v>
      </c>
      <c r="N2535">
        <v>2</v>
      </c>
      <c r="O2535" t="s">
        <v>781</v>
      </c>
      <c r="P2535" t="s">
        <v>21</v>
      </c>
      <c r="Q2535" t="s">
        <v>30</v>
      </c>
      <c r="R2535" t="str">
        <f>VLOOKUP($O2535,'Mapa Oficinas'!$A$7:$C$46,2,FALSE)</f>
        <v>CABA</v>
      </c>
      <c r="S2535" t="str">
        <f>VLOOKUP($O2535,'Mapa Oficinas'!$A$7:$C$46,3,FALSE)</f>
        <v>Palermo</v>
      </c>
    </row>
    <row r="2536" spans="1:19" x14ac:dyDescent="0.2">
      <c r="A2536" s="1">
        <v>46090</v>
      </c>
      <c r="B2536" t="s">
        <v>837</v>
      </c>
      <c r="D2536" t="s">
        <v>838</v>
      </c>
      <c r="E2536" t="s">
        <v>16</v>
      </c>
      <c r="F2536" t="s">
        <v>17</v>
      </c>
      <c r="G2536" s="14">
        <v>90000</v>
      </c>
      <c r="H2536" s="14">
        <v>83000</v>
      </c>
      <c r="I2536" t="s">
        <v>22</v>
      </c>
      <c r="J2536" t="s">
        <v>22</v>
      </c>
      <c r="K2536" t="s">
        <v>839</v>
      </c>
      <c r="L2536" t="s">
        <v>191</v>
      </c>
      <c r="M2536" t="s">
        <v>19</v>
      </c>
      <c r="N2536">
        <v>2</v>
      </c>
      <c r="O2536" t="s">
        <v>73</v>
      </c>
      <c r="P2536" t="s">
        <v>21</v>
      </c>
      <c r="Q2536" t="s">
        <v>30</v>
      </c>
      <c r="R2536" t="str">
        <f>VLOOKUP($O2536,'Mapa Oficinas'!$A$7:$C$46,2,FALSE)</f>
        <v>CABA</v>
      </c>
      <c r="S2536" t="str">
        <f>VLOOKUP($O2536,'Mapa Oficinas'!$A$7:$C$46,3,FALSE)</f>
        <v>Recoleta</v>
      </c>
    </row>
    <row r="2537" spans="1:19" x14ac:dyDescent="0.2">
      <c r="A2537" s="1">
        <v>46090</v>
      </c>
      <c r="B2537" t="s">
        <v>852</v>
      </c>
      <c r="D2537" t="s">
        <v>852</v>
      </c>
      <c r="E2537" t="s">
        <v>16</v>
      </c>
      <c r="F2537" t="s">
        <v>58</v>
      </c>
      <c r="G2537" s="14">
        <v>83400</v>
      </c>
      <c r="H2537" s="14">
        <v>83400</v>
      </c>
      <c r="I2537" t="s">
        <v>22</v>
      </c>
      <c r="J2537" t="s">
        <v>22</v>
      </c>
      <c r="L2537" t="s">
        <v>170</v>
      </c>
      <c r="M2537" t="s">
        <v>28</v>
      </c>
      <c r="N2537">
        <v>1</v>
      </c>
      <c r="O2537" t="s">
        <v>171</v>
      </c>
      <c r="P2537" t="s">
        <v>66</v>
      </c>
      <c r="Q2537" t="s">
        <v>30</v>
      </c>
      <c r="R2537" t="str">
        <f>VLOOKUP($O2537,'Mapa Oficinas'!$A$7:$C$46,2,FALSE)</f>
        <v>Zona Sur (GBA)</v>
      </c>
      <c r="S2537" t="str">
        <f>VLOOKUP($O2537,'Mapa Oficinas'!$A$7:$C$46,3,FALSE)</f>
        <v>La Plata</v>
      </c>
    </row>
    <row r="2538" spans="1:19" x14ac:dyDescent="0.2">
      <c r="A2538" s="1">
        <v>46090</v>
      </c>
      <c r="B2538">
        <v>10690</v>
      </c>
      <c r="D2538" t="s">
        <v>868</v>
      </c>
      <c r="E2538" t="s">
        <v>16</v>
      </c>
      <c r="F2538" t="s">
        <v>17</v>
      </c>
      <c r="G2538" s="14">
        <v>125000</v>
      </c>
      <c r="H2538" s="14">
        <v>125000</v>
      </c>
      <c r="I2538" t="s">
        <v>22</v>
      </c>
      <c r="J2538" t="s">
        <v>22</v>
      </c>
      <c r="K2538" t="s">
        <v>869</v>
      </c>
      <c r="L2538" t="s">
        <v>318</v>
      </c>
      <c r="M2538" t="s">
        <v>19</v>
      </c>
      <c r="N2538">
        <v>1</v>
      </c>
      <c r="O2538" t="s">
        <v>103</v>
      </c>
      <c r="P2538" t="s">
        <v>146</v>
      </c>
      <c r="Q2538" t="s">
        <v>30</v>
      </c>
      <c r="R2538" t="str">
        <f>VLOOKUP($O2538,'Mapa Oficinas'!$A$7:$C$46,2,FALSE)</f>
        <v>CABA</v>
      </c>
      <c r="S2538" t="str">
        <f>VLOOKUP($O2538,'Mapa Oficinas'!$A$7:$C$46,3,FALSE)</f>
        <v>Barrio Parque</v>
      </c>
    </row>
    <row r="2539" spans="1:19" x14ac:dyDescent="0.2">
      <c r="A2539" s="1">
        <v>46090</v>
      </c>
      <c r="B2539" t="s">
        <v>860</v>
      </c>
      <c r="D2539" t="s">
        <v>861</v>
      </c>
      <c r="E2539" t="s">
        <v>16</v>
      </c>
      <c r="F2539" t="s">
        <v>17</v>
      </c>
      <c r="G2539" s="14">
        <v>155000</v>
      </c>
      <c r="H2539" s="14">
        <v>140000</v>
      </c>
      <c r="I2539" t="s">
        <v>22</v>
      </c>
      <c r="J2539" t="s">
        <v>22</v>
      </c>
      <c r="K2539" t="s">
        <v>862</v>
      </c>
      <c r="L2539" t="s">
        <v>195</v>
      </c>
      <c r="M2539" t="s">
        <v>19</v>
      </c>
      <c r="N2539">
        <v>2</v>
      </c>
      <c r="O2539" t="s">
        <v>103</v>
      </c>
      <c r="P2539" t="s">
        <v>21</v>
      </c>
      <c r="Q2539" t="s">
        <v>30</v>
      </c>
      <c r="R2539" t="str">
        <f>VLOOKUP($O2539,'Mapa Oficinas'!$A$7:$C$46,2,FALSE)</f>
        <v>CABA</v>
      </c>
      <c r="S2539" t="str">
        <f>VLOOKUP($O2539,'Mapa Oficinas'!$A$7:$C$46,3,FALSE)</f>
        <v>Barrio Parque</v>
      </c>
    </row>
    <row r="2540" spans="1:19" x14ac:dyDescent="0.2">
      <c r="A2540" s="1">
        <v>46090</v>
      </c>
      <c r="B2540" t="s">
        <v>831</v>
      </c>
      <c r="D2540" t="s">
        <v>832</v>
      </c>
      <c r="E2540" t="s">
        <v>16</v>
      </c>
      <c r="F2540" t="s">
        <v>17</v>
      </c>
      <c r="G2540" s="14">
        <v>159000</v>
      </c>
      <c r="H2540" s="14">
        <v>152500</v>
      </c>
      <c r="I2540" t="s">
        <v>22</v>
      </c>
      <c r="J2540" t="s">
        <v>22</v>
      </c>
      <c r="K2540" t="s">
        <v>833</v>
      </c>
      <c r="L2540" t="s">
        <v>799</v>
      </c>
      <c r="M2540" t="s">
        <v>72</v>
      </c>
      <c r="N2540">
        <v>2</v>
      </c>
      <c r="O2540" t="s">
        <v>618</v>
      </c>
      <c r="P2540" t="s">
        <v>21</v>
      </c>
      <c r="Q2540" t="s">
        <v>30</v>
      </c>
      <c r="R2540" t="str">
        <f>VLOOKUP($O2540,'Mapa Oficinas'!$A$7:$C$46,2,FALSE)</f>
        <v>CABA</v>
      </c>
      <c r="S2540" t="str">
        <f>VLOOKUP($O2540,'Mapa Oficinas'!$A$7:$C$46,3,FALSE)</f>
        <v>Caballito</v>
      </c>
    </row>
    <row r="2541" spans="1:19" x14ac:dyDescent="0.2">
      <c r="A2541" s="1">
        <v>46090</v>
      </c>
      <c r="B2541" t="s">
        <v>863</v>
      </c>
      <c r="D2541" t="s">
        <v>864</v>
      </c>
      <c r="E2541" t="s">
        <v>16</v>
      </c>
      <c r="F2541" t="s">
        <v>17</v>
      </c>
      <c r="G2541" s="14">
        <v>172000</v>
      </c>
      <c r="H2541" s="14">
        <v>164000</v>
      </c>
      <c r="I2541" t="s">
        <v>22</v>
      </c>
      <c r="J2541" t="s">
        <v>22</v>
      </c>
      <c r="K2541" t="s">
        <v>865</v>
      </c>
      <c r="L2541" t="s">
        <v>277</v>
      </c>
      <c r="M2541" t="s">
        <v>19</v>
      </c>
      <c r="N2541">
        <v>2</v>
      </c>
      <c r="O2541" t="s">
        <v>103</v>
      </c>
      <c r="P2541" t="s">
        <v>276</v>
      </c>
      <c r="Q2541" t="s">
        <v>30</v>
      </c>
      <c r="R2541" t="str">
        <f>VLOOKUP($O2541,'Mapa Oficinas'!$A$7:$C$46,2,FALSE)</f>
        <v>CABA</v>
      </c>
      <c r="S2541" t="str">
        <f>VLOOKUP($O2541,'Mapa Oficinas'!$A$7:$C$46,3,FALSE)</f>
        <v>Barrio Parque</v>
      </c>
    </row>
    <row r="2542" spans="1:19" x14ac:dyDescent="0.2">
      <c r="A2542" s="1">
        <v>46090</v>
      </c>
      <c r="B2542">
        <v>10689</v>
      </c>
      <c r="D2542" t="s">
        <v>866</v>
      </c>
      <c r="E2542" t="s">
        <v>16</v>
      </c>
      <c r="F2542" t="s">
        <v>17</v>
      </c>
      <c r="G2542" s="14">
        <v>212500</v>
      </c>
      <c r="H2542" s="14">
        <v>212500</v>
      </c>
      <c r="I2542" t="s">
        <v>22</v>
      </c>
      <c r="J2542" t="s">
        <v>22</v>
      </c>
      <c r="K2542" t="s">
        <v>866</v>
      </c>
      <c r="L2542" t="s">
        <v>867</v>
      </c>
      <c r="M2542" t="s">
        <v>19</v>
      </c>
      <c r="N2542">
        <v>1</v>
      </c>
      <c r="O2542" t="s">
        <v>103</v>
      </c>
      <c r="P2542" t="s">
        <v>146</v>
      </c>
      <c r="Q2542" t="s">
        <v>30</v>
      </c>
      <c r="R2542" t="str">
        <f>VLOOKUP($O2542,'Mapa Oficinas'!$A$7:$C$46,2,FALSE)</f>
        <v>CABA</v>
      </c>
      <c r="S2542" t="str">
        <f>VLOOKUP($O2542,'Mapa Oficinas'!$A$7:$C$46,3,FALSE)</f>
        <v>Barrio Parque</v>
      </c>
    </row>
    <row r="2543" spans="1:19" x14ac:dyDescent="0.2">
      <c r="A2543" s="1">
        <v>46090</v>
      </c>
      <c r="B2543" t="s">
        <v>844</v>
      </c>
      <c r="D2543" t="s">
        <v>845</v>
      </c>
      <c r="E2543" t="s">
        <v>16</v>
      </c>
      <c r="F2543" t="s">
        <v>17</v>
      </c>
      <c r="G2543" s="14">
        <v>270000</v>
      </c>
      <c r="H2543" s="14">
        <v>248000</v>
      </c>
      <c r="I2543" t="s">
        <v>22</v>
      </c>
      <c r="J2543" t="s">
        <v>22</v>
      </c>
      <c r="K2543" t="s">
        <v>846</v>
      </c>
      <c r="L2543" t="s">
        <v>847</v>
      </c>
      <c r="M2543" t="s">
        <v>28</v>
      </c>
      <c r="N2543">
        <v>2</v>
      </c>
      <c r="O2543" t="s">
        <v>142</v>
      </c>
      <c r="P2543" t="s">
        <v>41</v>
      </c>
      <c r="Q2543" t="s">
        <v>30</v>
      </c>
      <c r="R2543" t="str">
        <f>VLOOKUP($O2543,'Mapa Oficinas'!$A$7:$C$46,2,FALSE)</f>
        <v>Zona Norte (GBA)</v>
      </c>
      <c r="S2543" t="str">
        <f>VLOOKUP($O2543,'Mapa Oficinas'!$A$7:$C$46,3,FALSE)</f>
        <v>Nordelta</v>
      </c>
    </row>
    <row r="2544" spans="1:19" x14ac:dyDescent="0.2">
      <c r="A2544" s="1">
        <v>46090</v>
      </c>
      <c r="B2544">
        <v>9032026</v>
      </c>
      <c r="D2544" t="s">
        <v>843</v>
      </c>
      <c r="E2544" t="s">
        <v>16</v>
      </c>
      <c r="F2544" t="s">
        <v>134</v>
      </c>
      <c r="G2544" s="14">
        <v>400000</v>
      </c>
      <c r="H2544" s="14">
        <v>400000</v>
      </c>
      <c r="I2544" t="s">
        <v>22</v>
      </c>
      <c r="J2544" t="s">
        <v>22</v>
      </c>
      <c r="L2544" t="s">
        <v>595</v>
      </c>
      <c r="M2544" t="s">
        <v>28</v>
      </c>
      <c r="N2544">
        <v>1</v>
      </c>
      <c r="O2544" t="s">
        <v>130</v>
      </c>
      <c r="P2544" t="s">
        <v>131</v>
      </c>
      <c r="Q2544" t="s">
        <v>30</v>
      </c>
      <c r="R2544" t="str">
        <f>VLOOKUP($O2544,'Mapa Oficinas'!$A$7:$C$46,2,FALSE)</f>
        <v>Interior - Río Negro</v>
      </c>
      <c r="S2544" t="str">
        <f>VLOOKUP($O2544,'Mapa Oficinas'!$A$7:$C$46,3,FALSE)</f>
        <v>Bariloche</v>
      </c>
    </row>
    <row r="2545" spans="1:19" x14ac:dyDescent="0.2">
      <c r="A2545" s="1">
        <v>46090</v>
      </c>
      <c r="B2545" t="s">
        <v>857</v>
      </c>
      <c r="D2545" t="s">
        <v>858</v>
      </c>
      <c r="E2545" t="s">
        <v>16</v>
      </c>
      <c r="F2545" t="s">
        <v>17</v>
      </c>
      <c r="G2545" s="14">
        <v>1479246</v>
      </c>
      <c r="H2545" s="14">
        <v>1360906</v>
      </c>
      <c r="I2545" t="s">
        <v>22</v>
      </c>
      <c r="J2545" t="s">
        <v>22</v>
      </c>
      <c r="K2545" t="s">
        <v>859</v>
      </c>
      <c r="L2545" t="s">
        <v>191</v>
      </c>
      <c r="M2545" t="s">
        <v>97</v>
      </c>
      <c r="N2545">
        <v>2</v>
      </c>
      <c r="O2545" t="s">
        <v>103</v>
      </c>
      <c r="P2545" t="s">
        <v>21</v>
      </c>
      <c r="Q2545" t="s">
        <v>30</v>
      </c>
      <c r="R2545" t="str">
        <f>VLOOKUP($O2545,'Mapa Oficinas'!$A$7:$C$46,2,FALSE)</f>
        <v>CABA</v>
      </c>
      <c r="S2545" t="str">
        <f>VLOOKUP($O2545,'Mapa Oficinas'!$A$7:$C$46,3,FALSE)</f>
        <v>Barrio Parque</v>
      </c>
    </row>
    <row r="2546" spans="1:19" x14ac:dyDescent="0.2">
      <c r="A2546" s="1">
        <v>46091</v>
      </c>
      <c r="B2546" t="s">
        <v>789</v>
      </c>
      <c r="D2546" t="s">
        <v>790</v>
      </c>
      <c r="E2546" t="s">
        <v>16</v>
      </c>
      <c r="F2546" t="s">
        <v>58</v>
      </c>
      <c r="G2546" s="14">
        <v>55000</v>
      </c>
      <c r="H2546" s="14">
        <v>50000</v>
      </c>
      <c r="I2546" t="s">
        <v>22</v>
      </c>
      <c r="J2546" t="s">
        <v>22</v>
      </c>
      <c r="K2546" t="s">
        <v>791</v>
      </c>
      <c r="L2546" t="s">
        <v>792</v>
      </c>
      <c r="M2546" t="s">
        <v>28</v>
      </c>
      <c r="N2546">
        <v>2</v>
      </c>
      <c r="O2546" t="s">
        <v>50</v>
      </c>
      <c r="P2546" t="s">
        <v>21</v>
      </c>
      <c r="Q2546" t="s">
        <v>30</v>
      </c>
      <c r="R2546" t="str">
        <f>VLOOKUP($O2546,'Mapa Oficinas'!$A$7:$C$46,2,FALSE)</f>
        <v>CABA</v>
      </c>
      <c r="S2546" t="str">
        <f>VLOOKUP($O2546,'Mapa Oficinas'!$A$7:$C$46,3,FALSE)</f>
        <v>Villa Urquiza</v>
      </c>
    </row>
    <row r="2547" spans="1:19" x14ac:dyDescent="0.2">
      <c r="A2547" s="1">
        <v>46091</v>
      </c>
      <c r="B2547" t="s">
        <v>793</v>
      </c>
      <c r="D2547" t="s">
        <v>794</v>
      </c>
      <c r="E2547" t="s">
        <v>16</v>
      </c>
      <c r="F2547" t="s">
        <v>47</v>
      </c>
      <c r="G2547" s="14">
        <v>55000</v>
      </c>
      <c r="H2547" s="14">
        <v>55000</v>
      </c>
      <c r="I2547" t="s">
        <v>22</v>
      </c>
      <c r="J2547" t="s">
        <v>22</v>
      </c>
      <c r="K2547" t="s">
        <v>795</v>
      </c>
      <c r="L2547" t="s">
        <v>164</v>
      </c>
      <c r="M2547" t="s">
        <v>19</v>
      </c>
      <c r="N2547">
        <v>2</v>
      </c>
      <c r="O2547" t="s">
        <v>198</v>
      </c>
      <c r="P2547" t="s">
        <v>21</v>
      </c>
      <c r="Q2547" t="s">
        <v>30</v>
      </c>
      <c r="R2547" t="str">
        <f>VLOOKUP($O2547,'Mapa Oficinas'!$A$7:$C$46,2,FALSE)</f>
        <v>CABA</v>
      </c>
      <c r="S2547" t="str">
        <f>VLOOKUP($O2547,'Mapa Oficinas'!$A$7:$C$46,3,FALSE)</f>
        <v>Caballito</v>
      </c>
    </row>
    <row r="2548" spans="1:19" x14ac:dyDescent="0.2">
      <c r="A2548" s="1">
        <v>46091</v>
      </c>
      <c r="B2548" t="s">
        <v>796</v>
      </c>
      <c r="D2548" t="s">
        <v>797</v>
      </c>
      <c r="E2548" t="s">
        <v>16</v>
      </c>
      <c r="F2548" t="s">
        <v>17</v>
      </c>
      <c r="G2548" s="14">
        <v>120000</v>
      </c>
      <c r="H2548" s="14">
        <v>110000</v>
      </c>
      <c r="I2548" t="s">
        <v>22</v>
      </c>
      <c r="J2548" t="s">
        <v>22</v>
      </c>
      <c r="K2548" t="s">
        <v>798</v>
      </c>
      <c r="L2548" t="s">
        <v>799</v>
      </c>
      <c r="M2548" t="s">
        <v>19</v>
      </c>
      <c r="N2548">
        <v>2</v>
      </c>
      <c r="O2548" t="s">
        <v>206</v>
      </c>
      <c r="P2548" t="s">
        <v>21</v>
      </c>
      <c r="Q2548" t="s">
        <v>30</v>
      </c>
      <c r="R2548" t="str">
        <f>VLOOKUP($O2548,'Mapa Oficinas'!$A$7:$C$46,2,FALSE)</f>
        <v>CABA</v>
      </c>
      <c r="S2548" t="str">
        <f>VLOOKUP($O2548,'Mapa Oficinas'!$A$7:$C$46,3,FALSE)</f>
        <v>Belgrano</v>
      </c>
    </row>
    <row r="2549" spans="1:19" x14ac:dyDescent="0.2">
      <c r="A2549" s="1">
        <v>46091</v>
      </c>
      <c r="B2549" t="s">
        <v>818</v>
      </c>
      <c r="D2549" t="s">
        <v>819</v>
      </c>
      <c r="E2549" t="s">
        <v>16</v>
      </c>
      <c r="F2549" t="s">
        <v>53</v>
      </c>
      <c r="G2549" s="14">
        <v>140000</v>
      </c>
      <c r="H2549" s="14">
        <v>135000</v>
      </c>
      <c r="I2549" t="s">
        <v>22</v>
      </c>
      <c r="J2549" t="s">
        <v>22</v>
      </c>
      <c r="K2549" t="s">
        <v>820</v>
      </c>
      <c r="L2549" t="s">
        <v>821</v>
      </c>
      <c r="M2549" t="s">
        <v>28</v>
      </c>
      <c r="N2549">
        <v>2</v>
      </c>
      <c r="O2549" t="s">
        <v>151</v>
      </c>
      <c r="P2549" t="s">
        <v>21</v>
      </c>
      <c r="Q2549" t="s">
        <v>30</v>
      </c>
      <c r="R2549" t="str">
        <f>VLOOKUP($O2549,'Mapa Oficinas'!$A$7:$C$46,2,FALSE)</f>
        <v>Interior - Neuquén</v>
      </c>
      <c r="S2549" t="str">
        <f>VLOOKUP($O2549,'Mapa Oficinas'!$A$7:$C$46,3,FALSE)</f>
        <v>Capital Neuquén</v>
      </c>
    </row>
    <row r="2550" spans="1:19" x14ac:dyDescent="0.2">
      <c r="A2550" s="1">
        <v>46091</v>
      </c>
      <c r="B2550" t="s">
        <v>811</v>
      </c>
      <c r="D2550" t="s">
        <v>812</v>
      </c>
      <c r="E2550" t="s">
        <v>16</v>
      </c>
      <c r="F2550" t="s">
        <v>17</v>
      </c>
      <c r="G2550" s="14">
        <v>99000</v>
      </c>
      <c r="H2550" s="14">
        <v>154000</v>
      </c>
      <c r="I2550" t="s">
        <v>22</v>
      </c>
      <c r="J2550" t="s">
        <v>22</v>
      </c>
      <c r="K2550" t="s">
        <v>813</v>
      </c>
      <c r="L2550" t="s">
        <v>503</v>
      </c>
      <c r="M2550" t="s">
        <v>19</v>
      </c>
      <c r="N2550">
        <v>1</v>
      </c>
      <c r="O2550" t="s">
        <v>142</v>
      </c>
      <c r="P2550" t="s">
        <v>146</v>
      </c>
      <c r="Q2550" t="s">
        <v>30</v>
      </c>
      <c r="R2550" t="str">
        <f>VLOOKUP($O2550,'Mapa Oficinas'!$A$7:$C$46,2,FALSE)</f>
        <v>Zona Norte (GBA)</v>
      </c>
      <c r="S2550" t="str">
        <f>VLOOKUP($O2550,'Mapa Oficinas'!$A$7:$C$46,3,FALSE)</f>
        <v>Nordelta</v>
      </c>
    </row>
    <row r="2551" spans="1:19" x14ac:dyDescent="0.2">
      <c r="A2551" s="1">
        <v>46091</v>
      </c>
      <c r="B2551" t="s">
        <v>822</v>
      </c>
      <c r="D2551" t="s">
        <v>823</v>
      </c>
      <c r="E2551" t="s">
        <v>16</v>
      </c>
      <c r="F2551" t="s">
        <v>17</v>
      </c>
      <c r="G2551" s="14">
        <v>210000</v>
      </c>
      <c r="H2551" s="14">
        <v>175000</v>
      </c>
      <c r="I2551" t="s">
        <v>22</v>
      </c>
      <c r="J2551" t="s">
        <v>22</v>
      </c>
      <c r="K2551" t="s">
        <v>824</v>
      </c>
      <c r="L2551" t="s">
        <v>825</v>
      </c>
      <c r="M2551" t="s">
        <v>28</v>
      </c>
      <c r="N2551">
        <v>2</v>
      </c>
      <c r="O2551" t="s">
        <v>171</v>
      </c>
      <c r="P2551" t="s">
        <v>21</v>
      </c>
      <c r="Q2551" t="s">
        <v>30</v>
      </c>
      <c r="R2551" t="str">
        <f>VLOOKUP($O2551,'Mapa Oficinas'!$A$7:$C$46,2,FALSE)</f>
        <v>Zona Sur (GBA)</v>
      </c>
      <c r="S2551" t="str">
        <f>VLOOKUP($O2551,'Mapa Oficinas'!$A$7:$C$46,3,FALSE)</f>
        <v>La Plata</v>
      </c>
    </row>
    <row r="2552" spans="1:19" x14ac:dyDescent="0.2">
      <c r="A2552" s="1">
        <v>46091</v>
      </c>
      <c r="B2552" t="s">
        <v>814</v>
      </c>
      <c r="D2552" t="s">
        <v>815</v>
      </c>
      <c r="E2552" t="s">
        <v>16</v>
      </c>
      <c r="F2552" t="s">
        <v>17</v>
      </c>
      <c r="G2552" s="14">
        <v>190000</v>
      </c>
      <c r="H2552" s="14">
        <v>190000</v>
      </c>
      <c r="I2552" t="s">
        <v>22</v>
      </c>
      <c r="J2552" t="s">
        <v>22</v>
      </c>
      <c r="K2552" t="s">
        <v>816</v>
      </c>
      <c r="L2552" t="s">
        <v>817</v>
      </c>
      <c r="M2552" t="s">
        <v>300</v>
      </c>
      <c r="N2552">
        <v>1</v>
      </c>
      <c r="O2552" t="s">
        <v>65</v>
      </c>
      <c r="P2552" t="s">
        <v>131</v>
      </c>
      <c r="Q2552" t="s">
        <v>30</v>
      </c>
      <c r="R2552" t="str">
        <f>VLOOKUP($O2552,'Mapa Oficinas'!$A$7:$C$46,2,FALSE)</f>
        <v>Interior - Mendoza</v>
      </c>
      <c r="S2552" t="str">
        <f>VLOOKUP($O2552,'Mapa Oficinas'!$A$7:$C$46,3,FALSE)</f>
        <v>Capital Mendoza</v>
      </c>
    </row>
    <row r="2553" spans="1:19" x14ac:dyDescent="0.2">
      <c r="A2553" s="1">
        <v>46091</v>
      </c>
      <c r="B2553" t="s">
        <v>804</v>
      </c>
      <c r="D2553" t="s">
        <v>805</v>
      </c>
      <c r="E2553" t="s">
        <v>16</v>
      </c>
      <c r="F2553" t="s">
        <v>17</v>
      </c>
      <c r="G2553" s="14">
        <v>199000</v>
      </c>
      <c r="H2553" s="14">
        <v>199000</v>
      </c>
      <c r="I2553" t="s">
        <v>22</v>
      </c>
      <c r="J2553" t="s">
        <v>22</v>
      </c>
      <c r="K2553" t="s">
        <v>806</v>
      </c>
      <c r="L2553" t="s">
        <v>237</v>
      </c>
      <c r="M2553" t="s">
        <v>72</v>
      </c>
      <c r="N2553">
        <v>2</v>
      </c>
      <c r="O2553" t="s">
        <v>201</v>
      </c>
      <c r="P2553" t="s">
        <v>21</v>
      </c>
      <c r="Q2553" t="s">
        <v>30</v>
      </c>
      <c r="R2553" t="str">
        <f>VLOOKUP($O2553,'Mapa Oficinas'!$A$7:$C$46,2,FALSE)</f>
        <v>CABA</v>
      </c>
      <c r="S2553" t="str">
        <f>VLOOKUP($O2553,'Mapa Oficinas'!$A$7:$C$46,3,FALSE)</f>
        <v>Recoleta</v>
      </c>
    </row>
    <row r="2554" spans="1:19" x14ac:dyDescent="0.2">
      <c r="A2554" s="1">
        <v>46091</v>
      </c>
      <c r="B2554" t="s">
        <v>807</v>
      </c>
      <c r="D2554" t="s">
        <v>808</v>
      </c>
      <c r="E2554" t="s">
        <v>16</v>
      </c>
      <c r="F2554" t="s">
        <v>17</v>
      </c>
      <c r="G2554" s="14">
        <v>240000</v>
      </c>
      <c r="H2554" s="14">
        <v>240000</v>
      </c>
      <c r="I2554" t="s">
        <v>22</v>
      </c>
      <c r="J2554" t="s">
        <v>22</v>
      </c>
      <c r="K2554" t="s">
        <v>809</v>
      </c>
      <c r="L2554" t="s">
        <v>810</v>
      </c>
      <c r="M2554" t="s">
        <v>19</v>
      </c>
      <c r="N2554">
        <v>2</v>
      </c>
      <c r="O2554" t="s">
        <v>142</v>
      </c>
      <c r="P2554" t="s">
        <v>21</v>
      </c>
      <c r="Q2554" t="s">
        <v>30</v>
      </c>
      <c r="R2554" t="str">
        <f>VLOOKUP($O2554,'Mapa Oficinas'!$A$7:$C$46,2,FALSE)</f>
        <v>Zona Norte (GBA)</v>
      </c>
      <c r="S2554" t="str">
        <f>VLOOKUP($O2554,'Mapa Oficinas'!$A$7:$C$46,3,FALSE)</f>
        <v>Nordelta</v>
      </c>
    </row>
    <row r="2555" spans="1:19" x14ac:dyDescent="0.2">
      <c r="A2555" s="1">
        <v>46091</v>
      </c>
      <c r="B2555">
        <v>10722</v>
      </c>
      <c r="D2555" t="s">
        <v>826</v>
      </c>
      <c r="E2555" t="s">
        <v>16</v>
      </c>
      <c r="F2555" t="s">
        <v>17</v>
      </c>
      <c r="G2555" s="14">
        <v>515000</v>
      </c>
      <c r="H2555" s="14">
        <v>515000</v>
      </c>
      <c r="I2555" t="s">
        <v>22</v>
      </c>
      <c r="J2555" t="s">
        <v>22</v>
      </c>
      <c r="K2555" t="s">
        <v>827</v>
      </c>
      <c r="L2555" t="s">
        <v>117</v>
      </c>
      <c r="M2555" t="s">
        <v>19</v>
      </c>
      <c r="N2555">
        <v>1</v>
      </c>
      <c r="O2555" t="s">
        <v>103</v>
      </c>
      <c r="P2555" t="s">
        <v>146</v>
      </c>
      <c r="Q2555" t="s">
        <v>30</v>
      </c>
      <c r="R2555" t="str">
        <f>VLOOKUP($O2555,'Mapa Oficinas'!$A$7:$C$46,2,FALSE)</f>
        <v>CABA</v>
      </c>
      <c r="S2555" t="str">
        <f>VLOOKUP($O2555,'Mapa Oficinas'!$A$7:$C$46,3,FALSE)</f>
        <v>Barrio Parque</v>
      </c>
    </row>
    <row r="2556" spans="1:19" x14ac:dyDescent="0.2">
      <c r="A2556" s="1">
        <v>46092</v>
      </c>
      <c r="B2556" t="s">
        <v>756</v>
      </c>
      <c r="D2556" t="s">
        <v>757</v>
      </c>
      <c r="E2556" t="s">
        <v>16</v>
      </c>
      <c r="F2556" t="s">
        <v>82</v>
      </c>
      <c r="G2556" s="14">
        <v>36000</v>
      </c>
      <c r="H2556" s="14">
        <v>36000</v>
      </c>
      <c r="I2556" t="s">
        <v>22</v>
      </c>
      <c r="J2556" t="s">
        <v>22</v>
      </c>
      <c r="K2556" t="s">
        <v>758</v>
      </c>
      <c r="L2556" t="s">
        <v>759</v>
      </c>
      <c r="M2556" t="s">
        <v>97</v>
      </c>
      <c r="N2556">
        <v>2</v>
      </c>
      <c r="O2556" t="s">
        <v>55</v>
      </c>
      <c r="P2556" t="s">
        <v>21</v>
      </c>
      <c r="Q2556" t="s">
        <v>30</v>
      </c>
      <c r="R2556" t="str">
        <f>VLOOKUP($O2556,'Mapa Oficinas'!$A$7:$C$46,2,FALSE)</f>
        <v>Interior - Santa Fe</v>
      </c>
      <c r="S2556" t="str">
        <f>VLOOKUP($O2556,'Mapa Oficinas'!$A$7:$C$46,3,FALSE)</f>
        <v>Capital Santa Fe</v>
      </c>
    </row>
    <row r="2557" spans="1:19" x14ac:dyDescent="0.2">
      <c r="A2557" s="1">
        <v>46092</v>
      </c>
      <c r="B2557" t="s">
        <v>769</v>
      </c>
      <c r="D2557" t="s">
        <v>770</v>
      </c>
      <c r="E2557" t="s">
        <v>16</v>
      </c>
      <c r="F2557" t="s">
        <v>47</v>
      </c>
      <c r="G2557" s="14">
        <v>68000</v>
      </c>
      <c r="H2557" s="14">
        <v>46000</v>
      </c>
      <c r="I2557" t="s">
        <v>22</v>
      </c>
      <c r="J2557" t="s">
        <v>22</v>
      </c>
      <c r="K2557" t="s">
        <v>771</v>
      </c>
      <c r="L2557" t="s">
        <v>772</v>
      </c>
      <c r="M2557" t="s">
        <v>97</v>
      </c>
      <c r="N2557">
        <v>2</v>
      </c>
      <c r="O2557" t="s">
        <v>142</v>
      </c>
      <c r="P2557" t="s">
        <v>21</v>
      </c>
      <c r="Q2557" t="s">
        <v>30</v>
      </c>
      <c r="R2557" t="str">
        <f>VLOOKUP($O2557,'Mapa Oficinas'!$A$7:$C$46,2,FALSE)</f>
        <v>Zona Norte (GBA)</v>
      </c>
      <c r="S2557" t="str">
        <f>VLOOKUP($O2557,'Mapa Oficinas'!$A$7:$C$46,3,FALSE)</f>
        <v>Nordelta</v>
      </c>
    </row>
    <row r="2558" spans="1:19" x14ac:dyDescent="0.2">
      <c r="A2558" s="1">
        <v>46092</v>
      </c>
      <c r="B2558" t="s">
        <v>760</v>
      </c>
      <c r="D2558" t="s">
        <v>761</v>
      </c>
      <c r="E2558" t="s">
        <v>16</v>
      </c>
      <c r="F2558" t="s">
        <v>17</v>
      </c>
      <c r="G2558" s="14">
        <v>50000</v>
      </c>
      <c r="H2558" s="14">
        <v>49000</v>
      </c>
      <c r="I2558" t="s">
        <v>22</v>
      </c>
      <c r="J2558" t="s">
        <v>22</v>
      </c>
      <c r="K2558" t="s">
        <v>762</v>
      </c>
      <c r="L2558" t="s">
        <v>191</v>
      </c>
      <c r="M2558" t="s">
        <v>19</v>
      </c>
      <c r="N2558">
        <v>2</v>
      </c>
      <c r="O2558" t="s">
        <v>201</v>
      </c>
      <c r="P2558" t="s">
        <v>41</v>
      </c>
      <c r="Q2558" t="s">
        <v>30</v>
      </c>
      <c r="R2558" t="str">
        <f>VLOOKUP($O2558,'Mapa Oficinas'!$A$7:$C$46,2,FALSE)</f>
        <v>CABA</v>
      </c>
      <c r="S2558" t="str">
        <f>VLOOKUP($O2558,'Mapa Oficinas'!$A$7:$C$46,3,FALSE)</f>
        <v>Recoleta</v>
      </c>
    </row>
    <row r="2559" spans="1:19" x14ac:dyDescent="0.2">
      <c r="A2559" s="1">
        <v>46092</v>
      </c>
      <c r="B2559" t="s">
        <v>785</v>
      </c>
      <c r="D2559" t="s">
        <v>786</v>
      </c>
      <c r="E2559" t="s">
        <v>16</v>
      </c>
      <c r="F2559" t="s">
        <v>53</v>
      </c>
      <c r="G2559" s="14">
        <v>61500</v>
      </c>
      <c r="H2559" s="14">
        <v>61500</v>
      </c>
      <c r="I2559" t="s">
        <v>22</v>
      </c>
      <c r="J2559" t="s">
        <v>22</v>
      </c>
      <c r="K2559" t="s">
        <v>787</v>
      </c>
      <c r="L2559" t="s">
        <v>788</v>
      </c>
      <c r="M2559" t="s">
        <v>19</v>
      </c>
      <c r="N2559">
        <v>1</v>
      </c>
      <c r="O2559" t="s">
        <v>55</v>
      </c>
      <c r="P2559" t="s">
        <v>66</v>
      </c>
      <c r="Q2559" t="s">
        <v>30</v>
      </c>
      <c r="R2559" t="str">
        <f>VLOOKUP($O2559,'Mapa Oficinas'!$A$7:$C$46,2,FALSE)</f>
        <v>Interior - Santa Fe</v>
      </c>
      <c r="S2559" t="str">
        <f>VLOOKUP($O2559,'Mapa Oficinas'!$A$7:$C$46,3,FALSE)</f>
        <v>Capital Santa Fe</v>
      </c>
    </row>
    <row r="2560" spans="1:19" x14ac:dyDescent="0.2">
      <c r="A2560" s="1">
        <v>46092</v>
      </c>
      <c r="B2560" t="s">
        <v>753</v>
      </c>
      <c r="D2560" t="s">
        <v>754</v>
      </c>
      <c r="E2560" t="s">
        <v>16</v>
      </c>
      <c r="F2560" t="s">
        <v>58</v>
      </c>
      <c r="G2560" s="14">
        <v>67000</v>
      </c>
      <c r="H2560" s="14">
        <v>65000</v>
      </c>
      <c r="I2560" t="s">
        <v>22</v>
      </c>
      <c r="J2560" t="s">
        <v>22</v>
      </c>
      <c r="K2560" t="s">
        <v>755</v>
      </c>
      <c r="L2560" t="s">
        <v>71</v>
      </c>
      <c r="M2560" t="s">
        <v>19</v>
      </c>
      <c r="N2560">
        <v>2</v>
      </c>
      <c r="O2560" t="s">
        <v>50</v>
      </c>
      <c r="P2560" t="s">
        <v>21</v>
      </c>
      <c r="Q2560" t="s">
        <v>30</v>
      </c>
      <c r="R2560" t="str">
        <f>VLOOKUP($O2560,'Mapa Oficinas'!$A$7:$C$46,2,FALSE)</f>
        <v>CABA</v>
      </c>
      <c r="S2560" t="str">
        <f>VLOOKUP($O2560,'Mapa Oficinas'!$A$7:$C$46,3,FALSE)</f>
        <v>Villa Urquiza</v>
      </c>
    </row>
    <row r="2561" spans="1:19" x14ac:dyDescent="0.2">
      <c r="A2561" s="1">
        <v>46092</v>
      </c>
      <c r="B2561" t="s">
        <v>782</v>
      </c>
      <c r="D2561" t="s">
        <v>783</v>
      </c>
      <c r="E2561" t="s">
        <v>16</v>
      </c>
      <c r="F2561" t="s">
        <v>47</v>
      </c>
      <c r="G2561" s="14">
        <v>90000</v>
      </c>
      <c r="H2561" s="14">
        <v>90000</v>
      </c>
      <c r="I2561" t="s">
        <v>22</v>
      </c>
      <c r="J2561" t="s">
        <v>22</v>
      </c>
      <c r="K2561" t="s">
        <v>784</v>
      </c>
      <c r="L2561" t="s">
        <v>195</v>
      </c>
      <c r="M2561" t="s">
        <v>19</v>
      </c>
      <c r="N2561">
        <v>2</v>
      </c>
      <c r="O2561" t="s">
        <v>261</v>
      </c>
      <c r="P2561" t="s">
        <v>21</v>
      </c>
      <c r="Q2561" t="s">
        <v>30</v>
      </c>
      <c r="R2561" t="str">
        <f>VLOOKUP($O2561,'Mapa Oficinas'!$A$7:$C$46,2,FALSE)</f>
        <v>CABA</v>
      </c>
      <c r="S2561" t="str">
        <f>VLOOKUP($O2561,'Mapa Oficinas'!$A$7:$C$46,3,FALSE)</f>
        <v>Núñez</v>
      </c>
    </row>
    <row r="2562" spans="1:19" x14ac:dyDescent="0.2">
      <c r="A2562" s="1">
        <v>46092</v>
      </c>
      <c r="B2562" t="s">
        <v>778</v>
      </c>
      <c r="D2562" t="s">
        <v>778</v>
      </c>
      <c r="E2562" t="s">
        <v>16</v>
      </c>
      <c r="F2562" t="s">
        <v>17</v>
      </c>
      <c r="G2562" s="14">
        <v>198000</v>
      </c>
      <c r="H2562" s="14">
        <v>98000</v>
      </c>
      <c r="I2562" t="s">
        <v>22</v>
      </c>
      <c r="J2562" t="s">
        <v>22</v>
      </c>
      <c r="K2562" t="s">
        <v>778</v>
      </c>
      <c r="L2562" t="s">
        <v>217</v>
      </c>
      <c r="M2562" t="s">
        <v>19</v>
      </c>
      <c r="N2562">
        <v>1</v>
      </c>
      <c r="O2562" t="s">
        <v>35</v>
      </c>
      <c r="P2562" t="s">
        <v>131</v>
      </c>
      <c r="Q2562" t="s">
        <v>30</v>
      </c>
      <c r="R2562" t="str">
        <f>VLOOKUP($O2562,'Mapa Oficinas'!$A$7:$C$46,2,FALSE)</f>
        <v>Zona Norte (GBA)</v>
      </c>
      <c r="S2562" t="str">
        <f>VLOOKUP($O2562,'Mapa Oficinas'!$A$7:$C$46,3,FALSE)</f>
        <v>Vicente López</v>
      </c>
    </row>
    <row r="2563" spans="1:19" x14ac:dyDescent="0.2">
      <c r="A2563" s="1">
        <v>46092</v>
      </c>
      <c r="B2563" t="s">
        <v>773</v>
      </c>
      <c r="D2563" t="s">
        <v>332</v>
      </c>
      <c r="E2563" t="s">
        <v>16</v>
      </c>
      <c r="F2563" t="s">
        <v>47</v>
      </c>
      <c r="G2563" s="14">
        <v>105000</v>
      </c>
      <c r="H2563" s="14">
        <v>105000</v>
      </c>
      <c r="I2563" t="s">
        <v>22</v>
      </c>
      <c r="J2563" t="s">
        <v>22</v>
      </c>
      <c r="K2563" t="s">
        <v>774</v>
      </c>
      <c r="L2563" t="s">
        <v>79</v>
      </c>
      <c r="M2563" t="s">
        <v>19</v>
      </c>
      <c r="N2563">
        <v>2</v>
      </c>
      <c r="O2563" t="s">
        <v>142</v>
      </c>
      <c r="P2563" t="s">
        <v>21</v>
      </c>
      <c r="Q2563" t="s">
        <v>30</v>
      </c>
      <c r="R2563" t="str">
        <f>VLOOKUP($O2563,'Mapa Oficinas'!$A$7:$C$46,2,FALSE)</f>
        <v>Zona Norte (GBA)</v>
      </c>
      <c r="S2563" t="str">
        <f>VLOOKUP($O2563,'Mapa Oficinas'!$A$7:$C$46,3,FALSE)</f>
        <v>Nordelta</v>
      </c>
    </row>
    <row r="2564" spans="1:19" x14ac:dyDescent="0.2">
      <c r="A2564" s="1">
        <v>46092</v>
      </c>
      <c r="B2564" t="s">
        <v>766</v>
      </c>
      <c r="D2564" t="s">
        <v>767</v>
      </c>
      <c r="E2564" t="s">
        <v>16</v>
      </c>
      <c r="F2564" t="s">
        <v>17</v>
      </c>
      <c r="G2564" s="14">
        <v>148000</v>
      </c>
      <c r="H2564" s="14">
        <v>148000</v>
      </c>
      <c r="I2564" t="s">
        <v>22</v>
      </c>
      <c r="J2564" t="s">
        <v>22</v>
      </c>
      <c r="K2564" t="s">
        <v>768</v>
      </c>
      <c r="L2564" t="s">
        <v>79</v>
      </c>
      <c r="M2564" t="s">
        <v>19</v>
      </c>
      <c r="N2564">
        <v>2</v>
      </c>
      <c r="O2564" t="s">
        <v>201</v>
      </c>
      <c r="P2564" t="s">
        <v>21</v>
      </c>
      <c r="Q2564" t="s">
        <v>30</v>
      </c>
      <c r="R2564" t="str">
        <f>VLOOKUP($O2564,'Mapa Oficinas'!$A$7:$C$46,2,FALSE)</f>
        <v>CABA</v>
      </c>
      <c r="S2564" t="str">
        <f>VLOOKUP($O2564,'Mapa Oficinas'!$A$7:$C$46,3,FALSE)</f>
        <v>Recoleta</v>
      </c>
    </row>
    <row r="2565" spans="1:19" x14ac:dyDescent="0.2">
      <c r="A2565" s="1">
        <v>46092</v>
      </c>
      <c r="B2565" t="s">
        <v>779</v>
      </c>
      <c r="D2565" t="s">
        <v>278</v>
      </c>
      <c r="E2565" t="s">
        <v>16</v>
      </c>
      <c r="F2565" t="s">
        <v>17</v>
      </c>
      <c r="G2565" s="14">
        <v>170000</v>
      </c>
      <c r="H2565" s="14">
        <v>150000</v>
      </c>
      <c r="I2565" t="s">
        <v>22</v>
      </c>
      <c r="J2565" t="s">
        <v>22</v>
      </c>
      <c r="K2565" t="s">
        <v>780</v>
      </c>
      <c r="L2565" t="s">
        <v>117</v>
      </c>
      <c r="M2565" t="s">
        <v>19</v>
      </c>
      <c r="N2565">
        <v>2</v>
      </c>
      <c r="O2565" t="s">
        <v>781</v>
      </c>
      <c r="P2565" t="s">
        <v>276</v>
      </c>
      <c r="Q2565" t="s">
        <v>30</v>
      </c>
      <c r="R2565" t="str">
        <f>VLOOKUP($O2565,'Mapa Oficinas'!$A$7:$C$46,2,FALSE)</f>
        <v>CABA</v>
      </c>
      <c r="S2565" t="str">
        <f>VLOOKUP($O2565,'Mapa Oficinas'!$A$7:$C$46,3,FALSE)</f>
        <v>Palermo</v>
      </c>
    </row>
    <row r="2566" spans="1:19" x14ac:dyDescent="0.2">
      <c r="A2566" s="1">
        <v>46092</v>
      </c>
      <c r="B2566" t="s">
        <v>775</v>
      </c>
      <c r="D2566" t="s">
        <v>776</v>
      </c>
      <c r="E2566" t="s">
        <v>16</v>
      </c>
      <c r="F2566" t="s">
        <v>53</v>
      </c>
      <c r="G2566" s="14">
        <v>170000</v>
      </c>
      <c r="H2566" s="14">
        <v>150000</v>
      </c>
      <c r="I2566" t="s">
        <v>22</v>
      </c>
      <c r="J2566" t="s">
        <v>22</v>
      </c>
      <c r="K2566" t="s">
        <v>777</v>
      </c>
      <c r="L2566" t="s">
        <v>679</v>
      </c>
      <c r="M2566" t="s">
        <v>97</v>
      </c>
      <c r="N2566">
        <v>2</v>
      </c>
      <c r="O2566" t="s">
        <v>151</v>
      </c>
      <c r="P2566" t="s">
        <v>21</v>
      </c>
      <c r="Q2566" t="s">
        <v>30</v>
      </c>
      <c r="R2566" t="str">
        <f>VLOOKUP($O2566,'Mapa Oficinas'!$A$7:$C$46,2,FALSE)</f>
        <v>Interior - Neuquén</v>
      </c>
      <c r="S2566" t="str">
        <f>VLOOKUP($O2566,'Mapa Oficinas'!$A$7:$C$46,3,FALSE)</f>
        <v>Capital Neuquén</v>
      </c>
    </row>
    <row r="2567" spans="1:19" x14ac:dyDescent="0.2">
      <c r="A2567" s="1">
        <v>46092</v>
      </c>
      <c r="B2567" t="s">
        <v>750</v>
      </c>
      <c r="D2567" t="s">
        <v>751</v>
      </c>
      <c r="E2567" t="s">
        <v>16</v>
      </c>
      <c r="F2567" t="s">
        <v>17</v>
      </c>
      <c r="G2567" s="14">
        <v>199900</v>
      </c>
      <c r="H2567" s="14">
        <v>184000</v>
      </c>
      <c r="I2567" t="s">
        <v>22</v>
      </c>
      <c r="J2567" t="s">
        <v>22</v>
      </c>
      <c r="K2567" t="s">
        <v>752</v>
      </c>
      <c r="L2567" t="s">
        <v>191</v>
      </c>
      <c r="M2567" t="s">
        <v>19</v>
      </c>
      <c r="N2567">
        <v>2</v>
      </c>
      <c r="O2567" t="s">
        <v>103</v>
      </c>
      <c r="P2567" t="s">
        <v>276</v>
      </c>
      <c r="Q2567" t="s">
        <v>30</v>
      </c>
      <c r="R2567" t="str">
        <f>VLOOKUP($O2567,'Mapa Oficinas'!$A$7:$C$46,2,FALSE)</f>
        <v>CABA</v>
      </c>
      <c r="S2567" t="str">
        <f>VLOOKUP($O2567,'Mapa Oficinas'!$A$7:$C$46,3,FALSE)</f>
        <v>Barrio Parque</v>
      </c>
    </row>
    <row r="2568" spans="1:19" x14ac:dyDescent="0.2">
      <c r="A2568" s="1">
        <v>46092</v>
      </c>
      <c r="B2568" t="s">
        <v>747</v>
      </c>
      <c r="D2568" t="s">
        <v>748</v>
      </c>
      <c r="E2568" t="s">
        <v>16</v>
      </c>
      <c r="F2568" t="s">
        <v>17</v>
      </c>
      <c r="G2568" s="14">
        <v>190000</v>
      </c>
      <c r="H2568" s="14">
        <v>270000</v>
      </c>
      <c r="I2568" t="s">
        <v>22</v>
      </c>
      <c r="J2568" t="s">
        <v>22</v>
      </c>
      <c r="K2568" t="s">
        <v>749</v>
      </c>
      <c r="L2568" t="s">
        <v>282</v>
      </c>
      <c r="M2568" t="s">
        <v>19</v>
      </c>
      <c r="N2568">
        <v>2</v>
      </c>
      <c r="O2568" t="s">
        <v>198</v>
      </c>
      <c r="P2568" t="s">
        <v>21</v>
      </c>
      <c r="Q2568" t="s">
        <v>30</v>
      </c>
      <c r="R2568" t="str">
        <f>VLOOKUP($O2568,'Mapa Oficinas'!$A$7:$C$46,2,FALSE)</f>
        <v>CABA</v>
      </c>
      <c r="S2568" t="str">
        <f>VLOOKUP($O2568,'Mapa Oficinas'!$A$7:$C$46,3,FALSE)</f>
        <v>Caballito</v>
      </c>
    </row>
    <row r="2569" spans="1:19" x14ac:dyDescent="0.2">
      <c r="A2569" s="1">
        <v>46092</v>
      </c>
      <c r="B2569" t="s">
        <v>763</v>
      </c>
      <c r="D2569" t="s">
        <v>764</v>
      </c>
      <c r="E2569" t="s">
        <v>16</v>
      </c>
      <c r="F2569" t="s">
        <v>17</v>
      </c>
      <c r="G2569" s="14">
        <v>449000</v>
      </c>
      <c r="H2569" s="14">
        <v>405000</v>
      </c>
      <c r="I2569" t="s">
        <v>22</v>
      </c>
      <c r="J2569" t="s">
        <v>22</v>
      </c>
      <c r="K2569" t="s">
        <v>765</v>
      </c>
      <c r="L2569" t="s">
        <v>79</v>
      </c>
      <c r="M2569" t="s">
        <v>19</v>
      </c>
      <c r="N2569">
        <v>1</v>
      </c>
      <c r="O2569" t="s">
        <v>103</v>
      </c>
      <c r="P2569" t="s">
        <v>146</v>
      </c>
      <c r="Q2569" t="s">
        <v>30</v>
      </c>
      <c r="R2569" t="str">
        <f>VLOOKUP($O2569,'Mapa Oficinas'!$A$7:$C$46,2,FALSE)</f>
        <v>CABA</v>
      </c>
      <c r="S2569" t="str">
        <f>VLOOKUP($O2569,'Mapa Oficinas'!$A$7:$C$46,3,FALSE)</f>
        <v>Barrio Parque</v>
      </c>
    </row>
    <row r="2570" spans="1:19" x14ac:dyDescent="0.2">
      <c r="A2570" s="1">
        <v>46093</v>
      </c>
      <c r="B2570" t="s">
        <v>731</v>
      </c>
      <c r="D2570" t="s">
        <v>732</v>
      </c>
      <c r="E2570" t="s">
        <v>16</v>
      </c>
      <c r="F2570" t="s">
        <v>82</v>
      </c>
      <c r="G2570" s="14">
        <v>37000</v>
      </c>
      <c r="H2570" s="14">
        <v>37500</v>
      </c>
      <c r="I2570" t="s">
        <v>22</v>
      </c>
      <c r="J2570" t="s">
        <v>22</v>
      </c>
      <c r="K2570" t="s">
        <v>733</v>
      </c>
      <c r="L2570" t="s">
        <v>160</v>
      </c>
      <c r="M2570" t="s">
        <v>97</v>
      </c>
      <c r="N2570">
        <v>2</v>
      </c>
      <c r="O2570" t="s">
        <v>151</v>
      </c>
      <c r="P2570" t="s">
        <v>21</v>
      </c>
      <c r="Q2570" t="s">
        <v>30</v>
      </c>
      <c r="R2570" t="str">
        <f>VLOOKUP($O2570,'Mapa Oficinas'!$A$7:$C$46,2,FALSE)</f>
        <v>Interior - Neuquén</v>
      </c>
      <c r="S2570" t="str">
        <f>VLOOKUP($O2570,'Mapa Oficinas'!$A$7:$C$46,3,FALSE)</f>
        <v>Capital Neuquén</v>
      </c>
    </row>
    <row r="2571" spans="1:19" x14ac:dyDescent="0.2">
      <c r="A2571" s="1">
        <v>46093</v>
      </c>
      <c r="B2571" t="s">
        <v>710</v>
      </c>
      <c r="D2571" t="s">
        <v>711</v>
      </c>
      <c r="E2571" t="s">
        <v>16</v>
      </c>
      <c r="F2571" t="s">
        <v>134</v>
      </c>
      <c r="G2571" s="14">
        <v>64000</v>
      </c>
      <c r="H2571" s="14">
        <v>61000</v>
      </c>
      <c r="I2571" t="s">
        <v>22</v>
      </c>
      <c r="J2571" t="s">
        <v>22</v>
      </c>
      <c r="K2571" t="s">
        <v>712</v>
      </c>
      <c r="L2571" t="s">
        <v>713</v>
      </c>
      <c r="M2571" t="s">
        <v>97</v>
      </c>
      <c r="N2571">
        <v>2</v>
      </c>
      <c r="O2571" t="s">
        <v>130</v>
      </c>
      <c r="P2571" t="s">
        <v>21</v>
      </c>
      <c r="Q2571" t="s">
        <v>30</v>
      </c>
      <c r="R2571" t="str">
        <f>VLOOKUP($O2571,'Mapa Oficinas'!$A$7:$C$46,2,FALSE)</f>
        <v>Interior - Río Negro</v>
      </c>
      <c r="S2571" t="str">
        <f>VLOOKUP($O2571,'Mapa Oficinas'!$A$7:$C$46,3,FALSE)</f>
        <v>Bariloche</v>
      </c>
    </row>
    <row r="2572" spans="1:19" x14ac:dyDescent="0.2">
      <c r="A2572" s="1">
        <v>46093</v>
      </c>
      <c r="B2572" t="s">
        <v>714</v>
      </c>
      <c r="D2572" t="s">
        <v>715</v>
      </c>
      <c r="E2572" t="s">
        <v>16</v>
      </c>
      <c r="F2572" t="s">
        <v>17</v>
      </c>
      <c r="G2572" s="14">
        <v>69800</v>
      </c>
      <c r="H2572" s="14">
        <v>69000</v>
      </c>
      <c r="I2572" t="s">
        <v>22</v>
      </c>
      <c r="J2572" t="s">
        <v>22</v>
      </c>
      <c r="K2572" t="s">
        <v>716</v>
      </c>
      <c r="L2572" t="s">
        <v>226</v>
      </c>
      <c r="M2572" t="s">
        <v>19</v>
      </c>
      <c r="N2572">
        <v>2</v>
      </c>
      <c r="O2572" t="s">
        <v>227</v>
      </c>
      <c r="P2572" t="s">
        <v>276</v>
      </c>
      <c r="Q2572" t="s">
        <v>30</v>
      </c>
      <c r="R2572" t="str">
        <f>VLOOKUP($O2572,'Mapa Oficinas'!$A$7:$C$46,2,FALSE)</f>
        <v>Zona Oeste (GBA)</v>
      </c>
      <c r="S2572" t="str">
        <f>VLOOKUP($O2572,'Mapa Oficinas'!$A$7:$C$46,3,FALSE)</f>
        <v>Parque Leloir</v>
      </c>
    </row>
    <row r="2573" spans="1:19" x14ac:dyDescent="0.2">
      <c r="A2573" s="1">
        <v>46093</v>
      </c>
      <c r="B2573" t="s">
        <v>707</v>
      </c>
      <c r="D2573" t="s">
        <v>708</v>
      </c>
      <c r="E2573" t="s">
        <v>16</v>
      </c>
      <c r="F2573" t="s">
        <v>58</v>
      </c>
      <c r="G2573" s="14">
        <v>84900</v>
      </c>
      <c r="H2573" s="14">
        <v>79000</v>
      </c>
      <c r="I2573" t="s">
        <v>22</v>
      </c>
      <c r="J2573" t="s">
        <v>22</v>
      </c>
      <c r="K2573" t="s">
        <v>709</v>
      </c>
      <c r="L2573" t="s">
        <v>217</v>
      </c>
      <c r="M2573" t="s">
        <v>19</v>
      </c>
      <c r="N2573">
        <v>2</v>
      </c>
      <c r="O2573" t="s">
        <v>50</v>
      </c>
      <c r="P2573" t="s">
        <v>21</v>
      </c>
      <c r="Q2573" t="s">
        <v>30</v>
      </c>
      <c r="R2573" t="str">
        <f>VLOOKUP($O2573,'Mapa Oficinas'!$A$7:$C$46,2,FALSE)</f>
        <v>CABA</v>
      </c>
      <c r="S2573" t="str">
        <f>VLOOKUP($O2573,'Mapa Oficinas'!$A$7:$C$46,3,FALSE)</f>
        <v>Villa Urquiza</v>
      </c>
    </row>
    <row r="2574" spans="1:19" x14ac:dyDescent="0.2">
      <c r="A2574" s="1">
        <v>46093</v>
      </c>
      <c r="B2574" t="s">
        <v>737</v>
      </c>
      <c r="D2574" t="s">
        <v>738</v>
      </c>
      <c r="E2574" t="s">
        <v>16</v>
      </c>
      <c r="F2574" t="s">
        <v>47</v>
      </c>
      <c r="G2574" s="14">
        <v>85000</v>
      </c>
      <c r="H2574" s="14">
        <v>85000</v>
      </c>
      <c r="I2574" t="s">
        <v>22</v>
      </c>
      <c r="J2574" t="s">
        <v>22</v>
      </c>
      <c r="K2574" t="s">
        <v>739</v>
      </c>
      <c r="L2574" t="s">
        <v>740</v>
      </c>
      <c r="M2574" t="s">
        <v>97</v>
      </c>
      <c r="N2574">
        <v>2</v>
      </c>
      <c r="O2574" t="s">
        <v>78</v>
      </c>
      <c r="P2574" t="s">
        <v>21</v>
      </c>
      <c r="Q2574" t="s">
        <v>30</v>
      </c>
      <c r="R2574" t="str">
        <f>VLOOKUP($O2574,'Mapa Oficinas'!$A$7:$C$46,2,FALSE)</f>
        <v>CABA</v>
      </c>
      <c r="S2574" t="str">
        <f>VLOOKUP($O2574,'Mapa Oficinas'!$A$7:$C$46,3,FALSE)</f>
        <v>Palermo</v>
      </c>
    </row>
    <row r="2575" spans="1:19" x14ac:dyDescent="0.2">
      <c r="A2575" s="1">
        <v>46093</v>
      </c>
      <c r="B2575" t="s">
        <v>701</v>
      </c>
      <c r="D2575" t="s">
        <v>702</v>
      </c>
      <c r="E2575" t="s">
        <v>16</v>
      </c>
      <c r="F2575" t="s">
        <v>47</v>
      </c>
      <c r="G2575" s="14">
        <v>95000</v>
      </c>
      <c r="H2575" s="14">
        <v>89000</v>
      </c>
      <c r="I2575" t="s">
        <v>22</v>
      </c>
      <c r="J2575" t="s">
        <v>22</v>
      </c>
      <c r="K2575" t="s">
        <v>703</v>
      </c>
      <c r="L2575" t="s">
        <v>191</v>
      </c>
      <c r="M2575" t="s">
        <v>19</v>
      </c>
      <c r="N2575">
        <v>2</v>
      </c>
      <c r="O2575" t="s">
        <v>50</v>
      </c>
      <c r="P2575" t="s">
        <v>21</v>
      </c>
      <c r="Q2575" t="s">
        <v>30</v>
      </c>
      <c r="R2575" t="str">
        <f>VLOOKUP($O2575,'Mapa Oficinas'!$A$7:$C$46,2,FALSE)</f>
        <v>CABA</v>
      </c>
      <c r="S2575" t="str">
        <f>VLOOKUP($O2575,'Mapa Oficinas'!$A$7:$C$46,3,FALSE)</f>
        <v>Villa Urquiza</v>
      </c>
    </row>
    <row r="2576" spans="1:19" x14ac:dyDescent="0.2">
      <c r="A2576" s="1">
        <v>46093</v>
      </c>
      <c r="B2576" t="s">
        <v>734</v>
      </c>
      <c r="D2576" t="s">
        <v>735</v>
      </c>
      <c r="E2576" t="s">
        <v>16</v>
      </c>
      <c r="F2576" t="s">
        <v>17</v>
      </c>
      <c r="G2576" s="14">
        <v>109000</v>
      </c>
      <c r="H2576" s="14">
        <v>93000</v>
      </c>
      <c r="I2576" t="s">
        <v>22</v>
      </c>
      <c r="J2576" t="s">
        <v>22</v>
      </c>
      <c r="K2576" t="s">
        <v>736</v>
      </c>
      <c r="L2576" t="s">
        <v>111</v>
      </c>
      <c r="M2576" t="s">
        <v>72</v>
      </c>
      <c r="N2576">
        <v>2</v>
      </c>
      <c r="O2576" t="s">
        <v>78</v>
      </c>
      <c r="P2576" t="s">
        <v>21</v>
      </c>
      <c r="Q2576" t="s">
        <v>30</v>
      </c>
      <c r="R2576" t="str">
        <f>VLOOKUP($O2576,'Mapa Oficinas'!$A$7:$C$46,2,FALSE)</f>
        <v>CABA</v>
      </c>
      <c r="S2576" t="str">
        <f>VLOOKUP($O2576,'Mapa Oficinas'!$A$7:$C$46,3,FALSE)</f>
        <v>Palermo</v>
      </c>
    </row>
    <row r="2577" spans="1:19" x14ac:dyDescent="0.2">
      <c r="A2577" s="1">
        <v>46093</v>
      </c>
      <c r="B2577" t="s">
        <v>724</v>
      </c>
      <c r="D2577" t="s">
        <v>725</v>
      </c>
      <c r="E2577" t="s">
        <v>16</v>
      </c>
      <c r="F2577" t="s">
        <v>17</v>
      </c>
      <c r="G2577" s="14">
        <v>99900</v>
      </c>
      <c r="H2577" s="14">
        <v>95000</v>
      </c>
      <c r="I2577" t="s">
        <v>22</v>
      </c>
      <c r="J2577" t="s">
        <v>22</v>
      </c>
      <c r="K2577" t="s">
        <v>726</v>
      </c>
      <c r="L2577" t="s">
        <v>727</v>
      </c>
      <c r="M2577" t="s">
        <v>19</v>
      </c>
      <c r="N2577">
        <v>2</v>
      </c>
      <c r="O2577" t="s">
        <v>103</v>
      </c>
      <c r="P2577" t="s">
        <v>21</v>
      </c>
      <c r="Q2577" t="s">
        <v>30</v>
      </c>
      <c r="R2577" t="str">
        <f>VLOOKUP($O2577,'Mapa Oficinas'!$A$7:$C$46,2,FALSE)</f>
        <v>CABA</v>
      </c>
      <c r="S2577" t="str">
        <f>VLOOKUP($O2577,'Mapa Oficinas'!$A$7:$C$46,3,FALSE)</f>
        <v>Barrio Parque</v>
      </c>
    </row>
    <row r="2578" spans="1:19" x14ac:dyDescent="0.2">
      <c r="A2578" s="1">
        <v>46093</v>
      </c>
      <c r="B2578" t="s">
        <v>704</v>
      </c>
      <c r="D2578" t="s">
        <v>705</v>
      </c>
      <c r="E2578" t="s">
        <v>16</v>
      </c>
      <c r="F2578" t="s">
        <v>58</v>
      </c>
      <c r="G2578" s="14">
        <v>132000</v>
      </c>
      <c r="H2578" s="14">
        <v>120000</v>
      </c>
      <c r="I2578" t="s">
        <v>22</v>
      </c>
      <c r="J2578" t="s">
        <v>22</v>
      </c>
      <c r="K2578" t="s">
        <v>706</v>
      </c>
      <c r="L2578" t="s">
        <v>71</v>
      </c>
      <c r="M2578" t="s">
        <v>19</v>
      </c>
      <c r="N2578">
        <v>2</v>
      </c>
      <c r="O2578" t="s">
        <v>50</v>
      </c>
      <c r="P2578" t="s">
        <v>21</v>
      </c>
      <c r="Q2578" t="s">
        <v>30</v>
      </c>
      <c r="R2578" t="str">
        <f>VLOOKUP($O2578,'Mapa Oficinas'!$A$7:$C$46,2,FALSE)</f>
        <v>CABA</v>
      </c>
      <c r="S2578" t="str">
        <f>VLOOKUP($O2578,'Mapa Oficinas'!$A$7:$C$46,3,FALSE)</f>
        <v>Villa Urquiza</v>
      </c>
    </row>
    <row r="2579" spans="1:19" x14ac:dyDescent="0.2">
      <c r="A2579" s="1">
        <v>46093</v>
      </c>
      <c r="B2579" t="s">
        <v>718</v>
      </c>
      <c r="D2579" t="s">
        <v>719</v>
      </c>
      <c r="E2579" t="s">
        <v>16</v>
      </c>
      <c r="F2579" t="s">
        <v>17</v>
      </c>
      <c r="G2579" s="14">
        <v>130000</v>
      </c>
      <c r="H2579" s="14">
        <v>131000</v>
      </c>
      <c r="I2579" t="s">
        <v>22</v>
      </c>
      <c r="J2579" t="s">
        <v>22</v>
      </c>
      <c r="K2579" t="s">
        <v>720</v>
      </c>
      <c r="L2579" t="s">
        <v>330</v>
      </c>
      <c r="M2579" t="s">
        <v>19</v>
      </c>
      <c r="N2579">
        <v>2</v>
      </c>
      <c r="O2579" t="s">
        <v>547</v>
      </c>
      <c r="P2579" t="s">
        <v>21</v>
      </c>
      <c r="Q2579" t="s">
        <v>30</v>
      </c>
      <c r="R2579" t="str">
        <f>VLOOKUP($O2579,'Mapa Oficinas'!$A$7:$C$46,2,FALSE)</f>
        <v>CABA</v>
      </c>
      <c r="S2579" t="str">
        <f>VLOOKUP($O2579,'Mapa Oficinas'!$A$7:$C$46,3,FALSE)</f>
        <v>Núñez</v>
      </c>
    </row>
    <row r="2580" spans="1:19" x14ac:dyDescent="0.2">
      <c r="A2580" s="1">
        <v>46093</v>
      </c>
      <c r="B2580" t="s">
        <v>744</v>
      </c>
      <c r="D2580" t="s">
        <v>745</v>
      </c>
      <c r="E2580" t="s">
        <v>16</v>
      </c>
      <c r="F2580" t="s">
        <v>17</v>
      </c>
      <c r="G2580" s="14">
        <v>164900</v>
      </c>
      <c r="H2580" s="14">
        <v>164000</v>
      </c>
      <c r="I2580" t="s">
        <v>22</v>
      </c>
      <c r="J2580" t="s">
        <v>22</v>
      </c>
      <c r="K2580" t="s">
        <v>746</v>
      </c>
      <c r="L2580" t="s">
        <v>318</v>
      </c>
      <c r="M2580" t="s">
        <v>19</v>
      </c>
      <c r="N2580">
        <v>2</v>
      </c>
      <c r="O2580" t="s">
        <v>20</v>
      </c>
      <c r="P2580" t="s">
        <v>21</v>
      </c>
      <c r="Q2580" t="s">
        <v>30</v>
      </c>
      <c r="R2580" t="str">
        <f>VLOOKUP($O2580,'Mapa Oficinas'!$A$7:$C$46,2,FALSE)</f>
        <v>CABA</v>
      </c>
      <c r="S2580" t="str">
        <f>VLOOKUP($O2580,'Mapa Oficinas'!$A$7:$C$46,3,FALSE)</f>
        <v>Palermo</v>
      </c>
    </row>
    <row r="2581" spans="1:19" x14ac:dyDescent="0.2">
      <c r="A2581" s="1">
        <v>46093</v>
      </c>
      <c r="B2581" t="s">
        <v>721</v>
      </c>
      <c r="D2581" t="s">
        <v>722</v>
      </c>
      <c r="E2581" t="s">
        <v>16</v>
      </c>
      <c r="F2581" t="s">
        <v>38</v>
      </c>
      <c r="G2581" s="14">
        <v>230000</v>
      </c>
      <c r="H2581" s="14">
        <v>220000</v>
      </c>
      <c r="I2581" t="s">
        <v>22</v>
      </c>
      <c r="J2581" t="s">
        <v>22</v>
      </c>
      <c r="K2581" t="s">
        <v>723</v>
      </c>
      <c r="L2581" t="s">
        <v>495</v>
      </c>
      <c r="M2581" t="s">
        <v>28</v>
      </c>
      <c r="N2581">
        <v>2</v>
      </c>
      <c r="O2581" t="s">
        <v>40</v>
      </c>
      <c r="P2581" t="s">
        <v>44</v>
      </c>
      <c r="Q2581" t="s">
        <v>30</v>
      </c>
      <c r="R2581" t="str">
        <f>VLOOKUP($O2581,'Mapa Oficinas'!$A$7:$C$46,2,FALSE)</f>
        <v>Zona Norte (GBA)</v>
      </c>
      <c r="S2581" t="str">
        <f>VLOOKUP($O2581,'Mapa Oficinas'!$A$7:$C$46,3,FALSE)</f>
        <v>Pilar</v>
      </c>
    </row>
    <row r="2582" spans="1:19" x14ac:dyDescent="0.2">
      <c r="A2582" s="1">
        <v>46093</v>
      </c>
      <c r="B2582" t="s">
        <v>728</v>
      </c>
      <c r="D2582" t="s">
        <v>729</v>
      </c>
      <c r="E2582" t="s">
        <v>16</v>
      </c>
      <c r="F2582" t="s">
        <v>17</v>
      </c>
      <c r="G2582" s="14">
        <v>237000</v>
      </c>
      <c r="H2582" s="14">
        <v>228000</v>
      </c>
      <c r="I2582" t="s">
        <v>22</v>
      </c>
      <c r="J2582" t="s">
        <v>22</v>
      </c>
      <c r="K2582" t="s">
        <v>730</v>
      </c>
      <c r="L2582" t="s">
        <v>676</v>
      </c>
      <c r="M2582" t="s">
        <v>19</v>
      </c>
      <c r="N2582">
        <v>2</v>
      </c>
      <c r="O2582" t="s">
        <v>73</v>
      </c>
      <c r="P2582" t="s">
        <v>21</v>
      </c>
      <c r="Q2582" t="s">
        <v>30</v>
      </c>
      <c r="R2582" t="str">
        <f>VLOOKUP($O2582,'Mapa Oficinas'!$A$7:$C$46,2,FALSE)</f>
        <v>CABA</v>
      </c>
      <c r="S2582" t="str">
        <f>VLOOKUP($O2582,'Mapa Oficinas'!$A$7:$C$46,3,FALSE)</f>
        <v>Recoleta</v>
      </c>
    </row>
    <row r="2583" spans="1:19" x14ac:dyDescent="0.2">
      <c r="A2583" s="1">
        <v>46093</v>
      </c>
      <c r="B2583" t="s">
        <v>741</v>
      </c>
      <c r="D2583" t="s">
        <v>742</v>
      </c>
      <c r="E2583" t="s">
        <v>16</v>
      </c>
      <c r="F2583" t="s">
        <v>82</v>
      </c>
      <c r="G2583" s="14">
        <v>525000</v>
      </c>
      <c r="H2583" s="14">
        <v>495000</v>
      </c>
      <c r="I2583" t="s">
        <v>22</v>
      </c>
      <c r="J2583" t="s">
        <v>22</v>
      </c>
      <c r="K2583" t="s">
        <v>743</v>
      </c>
      <c r="L2583" t="s">
        <v>449</v>
      </c>
      <c r="M2583" t="s">
        <v>28</v>
      </c>
      <c r="N2583">
        <v>2</v>
      </c>
      <c r="O2583" t="s">
        <v>367</v>
      </c>
      <c r="P2583" t="s">
        <v>41</v>
      </c>
      <c r="Q2583" t="s">
        <v>30</v>
      </c>
      <c r="R2583" t="str">
        <f>VLOOKUP($O2583,'Mapa Oficinas'!$A$7:$C$46,2,FALSE)</f>
        <v>Interior - Neuquén</v>
      </c>
      <c r="S2583" t="str">
        <f>VLOOKUP($O2583,'Mapa Oficinas'!$A$7:$C$46,3,FALSE)</f>
        <v>San Martín de los Andes</v>
      </c>
    </row>
    <row r="2584" spans="1:19" x14ac:dyDescent="0.2">
      <c r="A2584" s="1">
        <v>46094</v>
      </c>
      <c r="B2584" t="s">
        <v>697</v>
      </c>
      <c r="D2584" t="s">
        <v>698</v>
      </c>
      <c r="E2584" t="s">
        <v>16</v>
      </c>
      <c r="F2584" t="s">
        <v>17</v>
      </c>
      <c r="G2584" s="14">
        <v>49900</v>
      </c>
      <c r="H2584" s="14">
        <v>47000</v>
      </c>
      <c r="I2584" t="s">
        <v>22</v>
      </c>
      <c r="J2584" t="s">
        <v>22</v>
      </c>
      <c r="K2584" t="s">
        <v>699</v>
      </c>
      <c r="L2584" t="s">
        <v>77</v>
      </c>
      <c r="M2584" t="s">
        <v>72</v>
      </c>
      <c r="N2584">
        <v>2</v>
      </c>
      <c r="O2584" t="s">
        <v>35</v>
      </c>
      <c r="P2584" t="s">
        <v>21</v>
      </c>
      <c r="Q2584" t="s">
        <v>30</v>
      </c>
      <c r="R2584" t="str">
        <f>VLOOKUP($O2584,'Mapa Oficinas'!$A$7:$C$46,2,FALSE)</f>
        <v>Zona Norte (GBA)</v>
      </c>
      <c r="S2584" t="str">
        <f>VLOOKUP($O2584,'Mapa Oficinas'!$A$7:$C$46,3,FALSE)</f>
        <v>Vicente López</v>
      </c>
    </row>
    <row r="2585" spans="1:19" x14ac:dyDescent="0.2">
      <c r="A2585" s="1">
        <v>46094</v>
      </c>
      <c r="B2585" t="s">
        <v>677</v>
      </c>
      <c r="D2585" t="s">
        <v>678</v>
      </c>
      <c r="E2585" t="s">
        <v>16</v>
      </c>
      <c r="F2585" t="s">
        <v>82</v>
      </c>
      <c r="G2585" s="14">
        <v>70000</v>
      </c>
      <c r="H2585" s="14">
        <v>69200</v>
      </c>
      <c r="I2585" t="s">
        <v>22</v>
      </c>
      <c r="J2585" t="s">
        <v>22</v>
      </c>
      <c r="L2585" t="s">
        <v>679</v>
      </c>
      <c r="M2585" t="s">
        <v>28</v>
      </c>
      <c r="N2585">
        <v>1</v>
      </c>
      <c r="O2585" t="s">
        <v>151</v>
      </c>
      <c r="P2585" t="s">
        <v>131</v>
      </c>
      <c r="Q2585" t="s">
        <v>30</v>
      </c>
      <c r="R2585" t="str">
        <f>VLOOKUP($O2585,'Mapa Oficinas'!$A$7:$C$46,2,FALSE)</f>
        <v>Interior - Neuquén</v>
      </c>
      <c r="S2585" t="str">
        <f>VLOOKUP($O2585,'Mapa Oficinas'!$A$7:$C$46,3,FALSE)</f>
        <v>Capital Neuquén</v>
      </c>
    </row>
    <row r="2586" spans="1:19" x14ac:dyDescent="0.2">
      <c r="A2586" s="1">
        <v>46094</v>
      </c>
      <c r="B2586" t="s">
        <v>680</v>
      </c>
      <c r="D2586" t="s">
        <v>681</v>
      </c>
      <c r="E2586" t="s">
        <v>16</v>
      </c>
      <c r="F2586" t="s">
        <v>82</v>
      </c>
      <c r="G2586" s="14">
        <v>75000</v>
      </c>
      <c r="H2586" s="14">
        <v>70000</v>
      </c>
      <c r="I2586" t="s">
        <v>22</v>
      </c>
      <c r="J2586" t="s">
        <v>22</v>
      </c>
      <c r="K2586" t="s">
        <v>682</v>
      </c>
      <c r="L2586" t="s">
        <v>683</v>
      </c>
      <c r="M2586" t="s">
        <v>28</v>
      </c>
      <c r="N2586">
        <v>2</v>
      </c>
      <c r="O2586" t="s">
        <v>55</v>
      </c>
      <c r="P2586" t="s">
        <v>41</v>
      </c>
      <c r="Q2586" t="s">
        <v>30</v>
      </c>
      <c r="R2586" t="str">
        <f>VLOOKUP($O2586,'Mapa Oficinas'!$A$7:$C$46,2,FALSE)</f>
        <v>Interior - Santa Fe</v>
      </c>
      <c r="S2586" t="str">
        <f>VLOOKUP($O2586,'Mapa Oficinas'!$A$7:$C$46,3,FALSE)</f>
        <v>Capital Santa Fe</v>
      </c>
    </row>
    <row r="2587" spans="1:19" x14ac:dyDescent="0.2">
      <c r="A2587" s="1">
        <v>46094</v>
      </c>
      <c r="B2587" t="s">
        <v>693</v>
      </c>
      <c r="D2587" t="s">
        <v>694</v>
      </c>
      <c r="E2587" t="s">
        <v>16</v>
      </c>
      <c r="F2587" t="s">
        <v>17</v>
      </c>
      <c r="G2587" s="14">
        <v>75000</v>
      </c>
      <c r="H2587" s="14">
        <v>73000</v>
      </c>
      <c r="I2587" t="s">
        <v>22</v>
      </c>
      <c r="J2587" t="s">
        <v>22</v>
      </c>
      <c r="K2587" t="s">
        <v>695</v>
      </c>
      <c r="L2587" t="s">
        <v>696</v>
      </c>
      <c r="M2587" t="s">
        <v>19</v>
      </c>
      <c r="N2587">
        <v>2</v>
      </c>
      <c r="O2587" t="s">
        <v>65</v>
      </c>
      <c r="P2587" t="s">
        <v>21</v>
      </c>
      <c r="Q2587" t="s">
        <v>30</v>
      </c>
      <c r="R2587" t="str">
        <f>VLOOKUP($O2587,'Mapa Oficinas'!$A$7:$C$46,2,FALSE)</f>
        <v>Interior - Mendoza</v>
      </c>
      <c r="S2587" t="str">
        <f>VLOOKUP($O2587,'Mapa Oficinas'!$A$7:$C$46,3,FALSE)</f>
        <v>Capital Mendoza</v>
      </c>
    </row>
    <row r="2588" spans="1:19" x14ac:dyDescent="0.2">
      <c r="A2588" s="1">
        <v>46094</v>
      </c>
      <c r="D2588" t="s">
        <v>684</v>
      </c>
      <c r="E2588" t="s">
        <v>16</v>
      </c>
      <c r="F2588" t="s">
        <v>82</v>
      </c>
      <c r="G2588" s="14">
        <v>162000</v>
      </c>
      <c r="H2588" s="14">
        <v>162000</v>
      </c>
      <c r="I2588" t="s">
        <v>22</v>
      </c>
      <c r="J2588" t="s">
        <v>22</v>
      </c>
      <c r="K2588" t="s">
        <v>685</v>
      </c>
      <c r="M2588" t="s">
        <v>28</v>
      </c>
      <c r="N2588">
        <v>1</v>
      </c>
      <c r="O2588" t="s">
        <v>686</v>
      </c>
      <c r="P2588" t="s">
        <v>146</v>
      </c>
      <c r="Q2588" t="s">
        <v>30</v>
      </c>
      <c r="R2588" t="str">
        <f>VLOOKUP($O2588,'Mapa Oficinas'!$A$7:$C$46,2,FALSE)</f>
        <v>CABA</v>
      </c>
      <c r="S2588" t="str">
        <f>VLOOKUP($O2588,'Mapa Oficinas'!$A$7:$C$46,3,FALSE)</f>
        <v>Retiro</v>
      </c>
    </row>
    <row r="2589" spans="1:19" x14ac:dyDescent="0.2">
      <c r="A2589" s="1">
        <v>46094</v>
      </c>
      <c r="B2589" t="s">
        <v>673</v>
      </c>
      <c r="D2589" t="s">
        <v>674</v>
      </c>
      <c r="E2589" t="s">
        <v>16</v>
      </c>
      <c r="F2589" t="s">
        <v>47</v>
      </c>
      <c r="G2589" s="14">
        <v>175000</v>
      </c>
      <c r="H2589" s="14">
        <v>170000</v>
      </c>
      <c r="I2589" t="s">
        <v>22</v>
      </c>
      <c r="J2589" t="s">
        <v>22</v>
      </c>
      <c r="K2589" t="s">
        <v>675</v>
      </c>
      <c r="L2589" t="s">
        <v>676</v>
      </c>
      <c r="M2589" t="s">
        <v>19</v>
      </c>
      <c r="N2589">
        <v>2</v>
      </c>
      <c r="O2589" t="s">
        <v>50</v>
      </c>
      <c r="P2589" t="s">
        <v>21</v>
      </c>
      <c r="Q2589" t="s">
        <v>30</v>
      </c>
      <c r="R2589" t="str">
        <f>VLOOKUP($O2589,'Mapa Oficinas'!$A$7:$C$46,2,FALSE)</f>
        <v>CABA</v>
      </c>
      <c r="S2589" t="str">
        <f>VLOOKUP($O2589,'Mapa Oficinas'!$A$7:$C$46,3,FALSE)</f>
        <v>Villa Urquiza</v>
      </c>
    </row>
    <row r="2590" spans="1:19" x14ac:dyDescent="0.2">
      <c r="A2590" s="1">
        <v>46094</v>
      </c>
      <c r="B2590" t="s">
        <v>690</v>
      </c>
      <c r="D2590" t="s">
        <v>691</v>
      </c>
      <c r="E2590" t="s">
        <v>16</v>
      </c>
      <c r="F2590" t="s">
        <v>17</v>
      </c>
      <c r="G2590" s="14">
        <v>224900</v>
      </c>
      <c r="H2590" s="14">
        <v>220000</v>
      </c>
      <c r="I2590" t="s">
        <v>22</v>
      </c>
      <c r="J2590" t="s">
        <v>22</v>
      </c>
      <c r="K2590" t="s">
        <v>692</v>
      </c>
      <c r="L2590" t="s">
        <v>495</v>
      </c>
      <c r="M2590" t="s">
        <v>28</v>
      </c>
      <c r="N2590">
        <v>2</v>
      </c>
      <c r="O2590" t="s">
        <v>389</v>
      </c>
      <c r="P2590" t="s">
        <v>36</v>
      </c>
      <c r="Q2590" t="s">
        <v>30</v>
      </c>
      <c r="R2590" t="str">
        <f>VLOOKUP($O2590,'Mapa Oficinas'!$A$7:$C$46,2,FALSE)</f>
        <v>Zona Norte (GBA)</v>
      </c>
      <c r="S2590" t="str">
        <f>VLOOKUP($O2590,'Mapa Oficinas'!$A$7:$C$46,3,FALSE)</f>
        <v>Escobar</v>
      </c>
    </row>
    <row r="2591" spans="1:19" x14ac:dyDescent="0.2">
      <c r="A2591" s="1">
        <v>46095</v>
      </c>
      <c r="B2591">
        <v>48</v>
      </c>
      <c r="D2591" t="s">
        <v>665</v>
      </c>
      <c r="E2591" t="s">
        <v>16</v>
      </c>
      <c r="F2591" t="s">
        <v>17</v>
      </c>
      <c r="G2591" s="14">
        <v>50000</v>
      </c>
      <c r="H2591" s="14">
        <v>52000</v>
      </c>
      <c r="I2591" t="s">
        <v>22</v>
      </c>
      <c r="J2591" t="s">
        <v>22</v>
      </c>
      <c r="K2591" t="s">
        <v>666</v>
      </c>
      <c r="L2591" t="s">
        <v>200</v>
      </c>
      <c r="M2591" t="s">
        <v>19</v>
      </c>
      <c r="N2591">
        <v>1</v>
      </c>
      <c r="O2591" t="s">
        <v>116</v>
      </c>
      <c r="P2591" t="s">
        <v>146</v>
      </c>
      <c r="Q2591" t="s">
        <v>30</v>
      </c>
      <c r="R2591" t="str">
        <f>VLOOKUP($O2591,'Mapa Oficinas'!$A$7:$C$46,2,FALSE)</f>
        <v>CABA</v>
      </c>
      <c r="S2591" t="str">
        <f>VLOOKUP($O2591,'Mapa Oficinas'!$A$7:$C$46,3,FALSE)</f>
        <v>Puerto Madero</v>
      </c>
    </row>
    <row r="2592" spans="1:19" x14ac:dyDescent="0.2">
      <c r="A2592" s="1">
        <v>46095</v>
      </c>
      <c r="B2592" t="s">
        <v>654</v>
      </c>
      <c r="D2592" t="s">
        <v>655</v>
      </c>
      <c r="E2592" t="s">
        <v>16</v>
      </c>
      <c r="F2592" t="s">
        <v>58</v>
      </c>
      <c r="G2592" s="14">
        <v>64900</v>
      </c>
      <c r="H2592" s="14">
        <v>62000</v>
      </c>
      <c r="I2592" t="s">
        <v>22</v>
      </c>
      <c r="J2592" t="s">
        <v>22</v>
      </c>
      <c r="K2592" t="s">
        <v>656</v>
      </c>
      <c r="L2592" t="s">
        <v>657</v>
      </c>
      <c r="M2592" t="s">
        <v>72</v>
      </c>
      <c r="N2592">
        <v>2</v>
      </c>
      <c r="O2592" t="s">
        <v>50</v>
      </c>
      <c r="P2592" t="s">
        <v>21</v>
      </c>
      <c r="Q2592" t="s">
        <v>30</v>
      </c>
      <c r="R2592" t="str">
        <f>VLOOKUP($O2592,'Mapa Oficinas'!$A$7:$C$46,2,FALSE)</f>
        <v>CABA</v>
      </c>
      <c r="S2592" t="str">
        <f>VLOOKUP($O2592,'Mapa Oficinas'!$A$7:$C$46,3,FALSE)</f>
        <v>Villa Urquiza</v>
      </c>
    </row>
    <row r="2593" spans="1:19" x14ac:dyDescent="0.2">
      <c r="A2593" s="1">
        <v>46095</v>
      </c>
      <c r="B2593" t="s">
        <v>659</v>
      </c>
      <c r="D2593" t="s">
        <v>660</v>
      </c>
      <c r="E2593" t="s">
        <v>16</v>
      </c>
      <c r="F2593" t="s">
        <v>38</v>
      </c>
      <c r="G2593" s="14">
        <v>70000</v>
      </c>
      <c r="H2593" s="14">
        <v>70000</v>
      </c>
      <c r="I2593" t="s">
        <v>22</v>
      </c>
      <c r="J2593" t="s">
        <v>22</v>
      </c>
      <c r="K2593" t="s">
        <v>599</v>
      </c>
      <c r="L2593" t="s">
        <v>600</v>
      </c>
      <c r="M2593" t="s">
        <v>19</v>
      </c>
      <c r="N2593">
        <v>2</v>
      </c>
      <c r="O2593" t="s">
        <v>85</v>
      </c>
      <c r="P2593" t="s">
        <v>41</v>
      </c>
      <c r="Q2593" t="s">
        <v>30</v>
      </c>
      <c r="R2593" t="str">
        <f>VLOOKUP($O2593,'Mapa Oficinas'!$A$7:$C$46,2,FALSE)</f>
        <v>Interior - Jujuy</v>
      </c>
      <c r="S2593" t="str">
        <f>VLOOKUP($O2593,'Mapa Oficinas'!$A$7:$C$46,3,FALSE)</f>
        <v>Capital Jujuy</v>
      </c>
    </row>
    <row r="2594" spans="1:19" x14ac:dyDescent="0.2">
      <c r="A2594" s="1">
        <v>46095</v>
      </c>
      <c r="B2594" t="s">
        <v>667</v>
      </c>
      <c r="D2594" t="s">
        <v>668</v>
      </c>
      <c r="E2594" t="s">
        <v>16</v>
      </c>
      <c r="F2594" t="s">
        <v>38</v>
      </c>
      <c r="G2594" s="14">
        <v>80000</v>
      </c>
      <c r="H2594" s="14">
        <v>72500</v>
      </c>
      <c r="I2594" t="s">
        <v>22</v>
      </c>
      <c r="J2594" t="s">
        <v>22</v>
      </c>
      <c r="K2594" t="s">
        <v>669</v>
      </c>
      <c r="L2594" t="s">
        <v>54</v>
      </c>
      <c r="M2594" t="s">
        <v>28</v>
      </c>
      <c r="N2594">
        <v>1</v>
      </c>
      <c r="O2594" t="s">
        <v>55</v>
      </c>
      <c r="P2594" t="s">
        <v>131</v>
      </c>
      <c r="Q2594" t="s">
        <v>30</v>
      </c>
      <c r="R2594" t="str">
        <f>VLOOKUP($O2594,'Mapa Oficinas'!$A$7:$C$46,2,FALSE)</f>
        <v>Interior - Santa Fe</v>
      </c>
      <c r="S2594" t="str">
        <f>VLOOKUP($O2594,'Mapa Oficinas'!$A$7:$C$46,3,FALSE)</f>
        <v>Capital Santa Fe</v>
      </c>
    </row>
    <row r="2595" spans="1:19" x14ac:dyDescent="0.2">
      <c r="A2595" s="1">
        <v>46095</v>
      </c>
      <c r="B2595" t="s">
        <v>661</v>
      </c>
      <c r="D2595" t="s">
        <v>662</v>
      </c>
      <c r="E2595" t="s">
        <v>16</v>
      </c>
      <c r="F2595" t="s">
        <v>38</v>
      </c>
      <c r="G2595" s="14">
        <v>110000</v>
      </c>
      <c r="H2595" s="14">
        <v>110000</v>
      </c>
      <c r="I2595" t="s">
        <v>22</v>
      </c>
      <c r="J2595" t="s">
        <v>22</v>
      </c>
      <c r="K2595" t="s">
        <v>663</v>
      </c>
      <c r="L2595" t="s">
        <v>600</v>
      </c>
      <c r="M2595" t="s">
        <v>28</v>
      </c>
      <c r="N2595">
        <v>2</v>
      </c>
      <c r="O2595" t="s">
        <v>85</v>
      </c>
      <c r="P2595" t="s">
        <v>41</v>
      </c>
      <c r="Q2595" t="s">
        <v>30</v>
      </c>
      <c r="R2595" t="str">
        <f>VLOOKUP($O2595,'Mapa Oficinas'!$A$7:$C$46,2,FALSE)</f>
        <v>Interior - Jujuy</v>
      </c>
      <c r="S2595" t="str">
        <f>VLOOKUP($O2595,'Mapa Oficinas'!$A$7:$C$46,3,FALSE)</f>
        <v>Capital Jujuy</v>
      </c>
    </row>
    <row r="2596" spans="1:19" x14ac:dyDescent="0.2">
      <c r="A2596" s="1">
        <v>46095</v>
      </c>
      <c r="B2596" t="s">
        <v>664</v>
      </c>
      <c r="D2596" t="s">
        <v>662</v>
      </c>
      <c r="E2596" t="s">
        <v>16</v>
      </c>
      <c r="F2596" t="s">
        <v>38</v>
      </c>
      <c r="G2596" s="14">
        <v>110000</v>
      </c>
      <c r="H2596" s="14">
        <v>110000</v>
      </c>
      <c r="I2596" t="s">
        <v>22</v>
      </c>
      <c r="J2596" t="s">
        <v>22</v>
      </c>
      <c r="K2596" t="s">
        <v>663</v>
      </c>
      <c r="L2596" t="s">
        <v>600</v>
      </c>
      <c r="M2596" t="s">
        <v>28</v>
      </c>
      <c r="N2596">
        <v>2</v>
      </c>
      <c r="O2596" t="s">
        <v>85</v>
      </c>
      <c r="P2596" t="s">
        <v>21</v>
      </c>
      <c r="Q2596" t="s">
        <v>30</v>
      </c>
      <c r="R2596" t="str">
        <f>VLOOKUP($O2596,'Mapa Oficinas'!$A$7:$C$46,2,FALSE)</f>
        <v>Interior - Jujuy</v>
      </c>
      <c r="S2596" t="str">
        <f>VLOOKUP($O2596,'Mapa Oficinas'!$A$7:$C$46,3,FALSE)</f>
        <v>Capital Jujuy</v>
      </c>
    </row>
    <row r="2597" spans="1:19" x14ac:dyDescent="0.2">
      <c r="A2597" s="1">
        <v>46095</v>
      </c>
      <c r="B2597" t="s">
        <v>670</v>
      </c>
      <c r="D2597" t="s">
        <v>671</v>
      </c>
      <c r="E2597" t="s">
        <v>16</v>
      </c>
      <c r="F2597" t="s">
        <v>17</v>
      </c>
      <c r="G2597" s="14">
        <v>158400</v>
      </c>
      <c r="H2597" s="14">
        <v>159000</v>
      </c>
      <c r="I2597" t="s">
        <v>22</v>
      </c>
      <c r="J2597" t="s">
        <v>22</v>
      </c>
      <c r="K2597" t="s">
        <v>672</v>
      </c>
      <c r="L2597" t="s">
        <v>102</v>
      </c>
      <c r="M2597" t="s">
        <v>97</v>
      </c>
      <c r="N2597">
        <v>2</v>
      </c>
      <c r="O2597" t="s">
        <v>547</v>
      </c>
      <c r="P2597" t="s">
        <v>21</v>
      </c>
      <c r="Q2597" t="s">
        <v>30</v>
      </c>
      <c r="R2597" t="str">
        <f>VLOOKUP($O2597,'Mapa Oficinas'!$A$7:$C$46,2,FALSE)</f>
        <v>CABA</v>
      </c>
      <c r="S2597" t="str">
        <f>VLOOKUP($O2597,'Mapa Oficinas'!$A$7:$C$46,3,FALSE)</f>
        <v>Núñez</v>
      </c>
    </row>
    <row r="2598" spans="1:19" x14ac:dyDescent="0.2">
      <c r="A2598" s="1">
        <v>46097</v>
      </c>
      <c r="B2598" t="s">
        <v>634</v>
      </c>
      <c r="D2598" t="s">
        <v>634</v>
      </c>
      <c r="E2598" t="s">
        <v>16</v>
      </c>
      <c r="F2598" t="s">
        <v>17</v>
      </c>
      <c r="G2598" s="14">
        <v>57000</v>
      </c>
      <c r="H2598" s="14">
        <v>54000</v>
      </c>
      <c r="I2598" t="s">
        <v>22</v>
      </c>
      <c r="J2598" t="s">
        <v>22</v>
      </c>
      <c r="K2598" t="s">
        <v>634</v>
      </c>
      <c r="L2598" t="s">
        <v>635</v>
      </c>
      <c r="M2598" t="s">
        <v>28</v>
      </c>
      <c r="N2598">
        <v>2</v>
      </c>
      <c r="O2598" t="s">
        <v>50</v>
      </c>
      <c r="P2598" t="s">
        <v>21</v>
      </c>
      <c r="Q2598" t="s">
        <v>30</v>
      </c>
      <c r="R2598" t="str">
        <f>VLOOKUP($O2598,'Mapa Oficinas'!$A$7:$C$46,2,FALSE)</f>
        <v>CABA</v>
      </c>
      <c r="S2598" t="str">
        <f>VLOOKUP($O2598,'Mapa Oficinas'!$A$7:$C$46,3,FALSE)</f>
        <v>Villa Urquiza</v>
      </c>
    </row>
    <row r="2599" spans="1:19" x14ac:dyDescent="0.2">
      <c r="A2599" s="1">
        <v>46097</v>
      </c>
      <c r="B2599" t="s">
        <v>614</v>
      </c>
      <c r="D2599" t="s">
        <v>615</v>
      </c>
      <c r="E2599" t="s">
        <v>16</v>
      </c>
      <c r="F2599" t="s">
        <v>17</v>
      </c>
      <c r="G2599" s="14">
        <v>65000</v>
      </c>
      <c r="H2599" s="14">
        <v>60000</v>
      </c>
      <c r="I2599" t="s">
        <v>22</v>
      </c>
      <c r="J2599" t="s">
        <v>22</v>
      </c>
      <c r="K2599" t="s">
        <v>616</v>
      </c>
      <c r="L2599" t="s">
        <v>617</v>
      </c>
      <c r="M2599" t="s">
        <v>19</v>
      </c>
      <c r="N2599">
        <v>2</v>
      </c>
      <c r="O2599" t="s">
        <v>618</v>
      </c>
      <c r="P2599" t="s">
        <v>21</v>
      </c>
      <c r="Q2599" t="s">
        <v>30</v>
      </c>
      <c r="R2599" t="str">
        <f>VLOOKUP($O2599,'Mapa Oficinas'!$A$7:$C$46,2,FALSE)</f>
        <v>CABA</v>
      </c>
      <c r="S2599" t="str">
        <f>VLOOKUP($O2599,'Mapa Oficinas'!$A$7:$C$46,3,FALSE)</f>
        <v>Caballito</v>
      </c>
    </row>
    <row r="2600" spans="1:19" x14ac:dyDescent="0.2">
      <c r="A2600" s="1">
        <v>46097</v>
      </c>
      <c r="B2600">
        <v>10723</v>
      </c>
      <c r="D2600" t="s">
        <v>619</v>
      </c>
      <c r="E2600" t="s">
        <v>16</v>
      </c>
      <c r="F2600" t="s">
        <v>17</v>
      </c>
      <c r="G2600" s="14">
        <v>72000</v>
      </c>
      <c r="H2600" s="14">
        <v>72000</v>
      </c>
      <c r="I2600" t="s">
        <v>22</v>
      </c>
      <c r="J2600" t="s">
        <v>22</v>
      </c>
      <c r="K2600" t="s">
        <v>620</v>
      </c>
      <c r="L2600" t="s">
        <v>277</v>
      </c>
      <c r="M2600" t="s">
        <v>19</v>
      </c>
      <c r="N2600">
        <v>1</v>
      </c>
      <c r="O2600" t="s">
        <v>103</v>
      </c>
      <c r="P2600" t="s">
        <v>146</v>
      </c>
      <c r="Q2600" t="s">
        <v>30</v>
      </c>
      <c r="R2600" t="str">
        <f>VLOOKUP($O2600,'Mapa Oficinas'!$A$7:$C$46,2,FALSE)</f>
        <v>CABA</v>
      </c>
      <c r="S2600" t="str">
        <f>VLOOKUP($O2600,'Mapa Oficinas'!$A$7:$C$46,3,FALSE)</f>
        <v>Barrio Parque</v>
      </c>
    </row>
    <row r="2601" spans="1:19" x14ac:dyDescent="0.2">
      <c r="A2601" s="1">
        <v>46097</v>
      </c>
      <c r="B2601" t="s">
        <v>650</v>
      </c>
      <c r="D2601" t="s">
        <v>651</v>
      </c>
      <c r="E2601" t="s">
        <v>16</v>
      </c>
      <c r="F2601" t="s">
        <v>17</v>
      </c>
      <c r="G2601" s="14">
        <v>79000</v>
      </c>
      <c r="H2601" s="14">
        <v>79000</v>
      </c>
      <c r="I2601" t="s">
        <v>22</v>
      </c>
      <c r="J2601" t="s">
        <v>22</v>
      </c>
      <c r="K2601" t="s">
        <v>652</v>
      </c>
      <c r="L2601" t="s">
        <v>71</v>
      </c>
      <c r="M2601" t="s">
        <v>19</v>
      </c>
      <c r="N2601">
        <v>2</v>
      </c>
      <c r="O2601" t="s">
        <v>261</v>
      </c>
      <c r="P2601" t="s">
        <v>21</v>
      </c>
      <c r="Q2601" t="s">
        <v>30</v>
      </c>
      <c r="R2601" t="str">
        <f>VLOOKUP($O2601,'Mapa Oficinas'!$A$7:$C$46,2,FALSE)</f>
        <v>CABA</v>
      </c>
      <c r="S2601" t="str">
        <f>VLOOKUP($O2601,'Mapa Oficinas'!$A$7:$C$46,3,FALSE)</f>
        <v>Núñez</v>
      </c>
    </row>
    <row r="2602" spans="1:19" x14ac:dyDescent="0.2">
      <c r="A2602" s="1">
        <v>46097</v>
      </c>
      <c r="B2602" t="s">
        <v>621</v>
      </c>
      <c r="D2602" t="s">
        <v>622</v>
      </c>
      <c r="E2602" t="s">
        <v>16</v>
      </c>
      <c r="F2602" t="s">
        <v>17</v>
      </c>
      <c r="G2602" s="14">
        <v>84000</v>
      </c>
      <c r="H2602" s="14">
        <v>81000</v>
      </c>
      <c r="I2602" t="s">
        <v>22</v>
      </c>
      <c r="J2602" t="s">
        <v>22</v>
      </c>
      <c r="K2602" t="s">
        <v>623</v>
      </c>
      <c r="L2602" t="s">
        <v>226</v>
      </c>
      <c r="M2602" t="s">
        <v>19</v>
      </c>
      <c r="N2602">
        <v>2</v>
      </c>
      <c r="O2602" t="s">
        <v>103</v>
      </c>
      <c r="P2602" t="s">
        <v>21</v>
      </c>
      <c r="Q2602" t="s">
        <v>30</v>
      </c>
      <c r="R2602" t="str">
        <f>VLOOKUP($O2602,'Mapa Oficinas'!$A$7:$C$46,2,FALSE)</f>
        <v>CABA</v>
      </c>
      <c r="S2602" t="str">
        <f>VLOOKUP($O2602,'Mapa Oficinas'!$A$7:$C$46,3,FALSE)</f>
        <v>Barrio Parque</v>
      </c>
    </row>
    <row r="2603" spans="1:19" x14ac:dyDescent="0.2">
      <c r="A2603" s="1">
        <v>46097</v>
      </c>
      <c r="B2603" t="s">
        <v>624</v>
      </c>
      <c r="D2603" t="s">
        <v>625</v>
      </c>
      <c r="E2603" t="s">
        <v>16</v>
      </c>
      <c r="F2603" t="s">
        <v>17</v>
      </c>
      <c r="G2603" s="14">
        <v>110000</v>
      </c>
      <c r="H2603" s="14">
        <v>82000</v>
      </c>
      <c r="I2603" t="s">
        <v>22</v>
      </c>
      <c r="J2603" t="s">
        <v>22</v>
      </c>
      <c r="K2603" t="s">
        <v>626</v>
      </c>
      <c r="L2603" t="s">
        <v>191</v>
      </c>
      <c r="M2603" t="s">
        <v>19</v>
      </c>
      <c r="N2603">
        <v>1</v>
      </c>
      <c r="O2603" t="s">
        <v>142</v>
      </c>
      <c r="P2603" t="s">
        <v>146</v>
      </c>
      <c r="Q2603" t="s">
        <v>30</v>
      </c>
      <c r="R2603" t="str">
        <f>VLOOKUP($O2603,'Mapa Oficinas'!$A$7:$C$46,2,FALSE)</f>
        <v>Zona Norte (GBA)</v>
      </c>
      <c r="S2603" t="str">
        <f>VLOOKUP($O2603,'Mapa Oficinas'!$A$7:$C$46,3,FALSE)</f>
        <v>Nordelta</v>
      </c>
    </row>
    <row r="2604" spans="1:19" x14ac:dyDescent="0.2">
      <c r="A2604" s="1">
        <v>46097</v>
      </c>
      <c r="B2604" t="s">
        <v>631</v>
      </c>
      <c r="D2604" t="s">
        <v>632</v>
      </c>
      <c r="E2604" t="s">
        <v>16</v>
      </c>
      <c r="F2604" t="s">
        <v>47</v>
      </c>
      <c r="G2604" s="14">
        <v>72000</v>
      </c>
      <c r="H2604" s="14">
        <v>85000</v>
      </c>
      <c r="I2604" t="s">
        <v>22</v>
      </c>
      <c r="J2604" t="s">
        <v>22</v>
      </c>
      <c r="K2604" t="s">
        <v>633</v>
      </c>
      <c r="L2604" t="s">
        <v>604</v>
      </c>
      <c r="M2604" t="s">
        <v>19</v>
      </c>
      <c r="N2604">
        <v>2</v>
      </c>
      <c r="O2604" t="s">
        <v>142</v>
      </c>
      <c r="P2604" t="s">
        <v>21</v>
      </c>
      <c r="Q2604" t="s">
        <v>30</v>
      </c>
      <c r="R2604" t="str">
        <f>VLOOKUP($O2604,'Mapa Oficinas'!$A$7:$C$46,2,FALSE)</f>
        <v>Zona Norte (GBA)</v>
      </c>
      <c r="S2604" t="str">
        <f>VLOOKUP($O2604,'Mapa Oficinas'!$A$7:$C$46,3,FALSE)</f>
        <v>Nordelta</v>
      </c>
    </row>
    <row r="2605" spans="1:19" x14ac:dyDescent="0.2">
      <c r="A2605" s="1">
        <v>46097</v>
      </c>
      <c r="B2605" t="s">
        <v>611</v>
      </c>
      <c r="D2605" t="s">
        <v>612</v>
      </c>
      <c r="E2605" t="s">
        <v>16</v>
      </c>
      <c r="F2605" t="s">
        <v>82</v>
      </c>
      <c r="G2605" s="14">
        <v>109000</v>
      </c>
      <c r="H2605" s="14">
        <v>95000</v>
      </c>
      <c r="I2605" t="s">
        <v>22</v>
      </c>
      <c r="J2605" t="s">
        <v>22</v>
      </c>
      <c r="K2605" t="s">
        <v>613</v>
      </c>
      <c r="L2605" t="s">
        <v>84</v>
      </c>
      <c r="M2605" t="s">
        <v>28</v>
      </c>
      <c r="N2605">
        <v>2</v>
      </c>
      <c r="O2605" t="s">
        <v>85</v>
      </c>
      <c r="P2605" t="s">
        <v>21</v>
      </c>
      <c r="Q2605" t="s">
        <v>30</v>
      </c>
      <c r="R2605" t="str">
        <f>VLOOKUP($O2605,'Mapa Oficinas'!$A$7:$C$46,2,FALSE)</f>
        <v>Interior - Jujuy</v>
      </c>
      <c r="S2605" t="str">
        <f>VLOOKUP($O2605,'Mapa Oficinas'!$A$7:$C$46,3,FALSE)</f>
        <v>Capital Jujuy</v>
      </c>
    </row>
    <row r="2606" spans="1:19" x14ac:dyDescent="0.2">
      <c r="A2606" s="1">
        <v>46097</v>
      </c>
      <c r="B2606" t="s">
        <v>642</v>
      </c>
      <c r="D2606" t="s">
        <v>643</v>
      </c>
      <c r="E2606" t="s">
        <v>16</v>
      </c>
      <c r="F2606" t="s">
        <v>644</v>
      </c>
      <c r="G2606" s="14">
        <v>115000</v>
      </c>
      <c r="H2606" s="14">
        <v>105000</v>
      </c>
      <c r="I2606" t="s">
        <v>22</v>
      </c>
      <c r="J2606" t="s">
        <v>22</v>
      </c>
      <c r="K2606" t="s">
        <v>645</v>
      </c>
      <c r="L2606" t="s">
        <v>313</v>
      </c>
      <c r="M2606" t="s">
        <v>28</v>
      </c>
      <c r="N2606">
        <v>2</v>
      </c>
      <c r="O2606" t="s">
        <v>213</v>
      </c>
      <c r="P2606" t="s">
        <v>21</v>
      </c>
      <c r="Q2606" t="s">
        <v>30</v>
      </c>
      <c r="R2606" t="str">
        <f>VLOOKUP($O2606,'Mapa Oficinas'!$A$7:$C$46,2,FALSE)</f>
        <v>Interior - Mendoza</v>
      </c>
      <c r="S2606" t="str">
        <f>VLOOKUP($O2606,'Mapa Oficinas'!$A$7:$C$46,3,FALSE)</f>
        <v>San Rafael</v>
      </c>
    </row>
    <row r="2607" spans="1:19" x14ac:dyDescent="0.2">
      <c r="A2607" s="1">
        <v>46097</v>
      </c>
      <c r="B2607" t="s">
        <v>636</v>
      </c>
      <c r="D2607" t="s">
        <v>637</v>
      </c>
      <c r="E2607" t="s">
        <v>16</v>
      </c>
      <c r="F2607" t="s">
        <v>17</v>
      </c>
      <c r="G2607" s="14">
        <v>143000</v>
      </c>
      <c r="H2607" s="14">
        <v>139000</v>
      </c>
      <c r="I2607" t="s">
        <v>22</v>
      </c>
      <c r="J2607" t="s">
        <v>22</v>
      </c>
      <c r="K2607" t="s">
        <v>638</v>
      </c>
      <c r="L2607" t="s">
        <v>191</v>
      </c>
      <c r="M2607" t="s">
        <v>19</v>
      </c>
      <c r="N2607">
        <v>2</v>
      </c>
      <c r="O2607" t="s">
        <v>201</v>
      </c>
      <c r="P2607" t="s">
        <v>21</v>
      </c>
      <c r="Q2607" t="s">
        <v>30</v>
      </c>
      <c r="R2607" t="str">
        <f>VLOOKUP($O2607,'Mapa Oficinas'!$A$7:$C$46,2,FALSE)</f>
        <v>CABA</v>
      </c>
      <c r="S2607" t="str">
        <f>VLOOKUP($O2607,'Mapa Oficinas'!$A$7:$C$46,3,FALSE)</f>
        <v>Recoleta</v>
      </c>
    </row>
    <row r="2608" spans="1:19" x14ac:dyDescent="0.2">
      <c r="A2608" s="1">
        <v>46097</v>
      </c>
      <c r="B2608" t="s">
        <v>646</v>
      </c>
      <c r="D2608" t="s">
        <v>647</v>
      </c>
      <c r="E2608" t="s">
        <v>16</v>
      </c>
      <c r="F2608" t="s">
        <v>17</v>
      </c>
      <c r="G2608" s="14">
        <v>240000</v>
      </c>
      <c r="H2608" s="14">
        <v>220000</v>
      </c>
      <c r="I2608" t="s">
        <v>22</v>
      </c>
      <c r="J2608" t="s">
        <v>22</v>
      </c>
      <c r="K2608" t="s">
        <v>648</v>
      </c>
      <c r="L2608" t="s">
        <v>649</v>
      </c>
      <c r="M2608" t="s">
        <v>97</v>
      </c>
      <c r="N2608">
        <v>2</v>
      </c>
      <c r="O2608" t="s">
        <v>98</v>
      </c>
      <c r="P2608" t="s">
        <v>41</v>
      </c>
      <c r="Q2608" t="s">
        <v>30</v>
      </c>
      <c r="R2608" t="str">
        <f>VLOOKUP($O2608,'Mapa Oficinas'!$A$7:$C$46,2,FALSE)</f>
        <v>Interior - Neuquén</v>
      </c>
      <c r="S2608" t="str">
        <f>VLOOKUP($O2608,'Mapa Oficinas'!$A$7:$C$46,3,FALSE)</f>
        <v>Villa La Angostura</v>
      </c>
    </row>
    <row r="2609" spans="1:19" x14ac:dyDescent="0.2">
      <c r="A2609" s="1">
        <v>46097</v>
      </c>
      <c r="B2609" t="s">
        <v>581</v>
      </c>
      <c r="D2609" t="s">
        <v>582</v>
      </c>
      <c r="E2609" t="s">
        <v>16</v>
      </c>
      <c r="F2609" t="s">
        <v>47</v>
      </c>
      <c r="G2609" s="14">
        <v>990000</v>
      </c>
      <c r="H2609" s="14">
        <v>510000</v>
      </c>
      <c r="I2609" t="s">
        <v>22</v>
      </c>
      <c r="J2609" t="s">
        <v>22</v>
      </c>
      <c r="K2609" t="s">
        <v>583</v>
      </c>
      <c r="L2609" t="s">
        <v>584</v>
      </c>
      <c r="M2609" t="s">
        <v>28</v>
      </c>
      <c r="N2609">
        <v>1</v>
      </c>
      <c r="O2609" t="s">
        <v>142</v>
      </c>
      <c r="P2609" t="s">
        <v>146</v>
      </c>
      <c r="Q2609" t="s">
        <v>30</v>
      </c>
      <c r="R2609" t="str">
        <f>VLOOKUP($O2609,'Mapa Oficinas'!$A$7:$C$46,2,FALSE)</f>
        <v>Zona Norte (GBA)</v>
      </c>
      <c r="S2609" t="str">
        <f>VLOOKUP($O2609,'Mapa Oficinas'!$A$7:$C$46,3,FALSE)</f>
        <v>Nordelta</v>
      </c>
    </row>
    <row r="2610" spans="1:19" x14ac:dyDescent="0.2">
      <c r="A2610" s="1">
        <v>46098</v>
      </c>
      <c r="B2610" t="s">
        <v>596</v>
      </c>
      <c r="D2610" t="s">
        <v>596</v>
      </c>
      <c r="E2610" t="s">
        <v>16</v>
      </c>
      <c r="F2610" t="s">
        <v>38</v>
      </c>
      <c r="G2610" s="14">
        <v>44683</v>
      </c>
      <c r="H2610" s="14">
        <v>44683</v>
      </c>
      <c r="I2610" t="s">
        <v>22</v>
      </c>
      <c r="J2610" t="s">
        <v>22</v>
      </c>
      <c r="L2610" t="s">
        <v>189</v>
      </c>
      <c r="M2610" t="s">
        <v>97</v>
      </c>
      <c r="N2610">
        <v>2</v>
      </c>
      <c r="O2610" t="s">
        <v>151</v>
      </c>
      <c r="P2610" t="s">
        <v>21</v>
      </c>
      <c r="Q2610" t="s">
        <v>30</v>
      </c>
      <c r="R2610" t="str">
        <f>VLOOKUP($O2610,'Mapa Oficinas'!$A$7:$C$46,2,FALSE)</f>
        <v>Interior - Neuquén</v>
      </c>
      <c r="S2610" t="str">
        <f>VLOOKUP($O2610,'Mapa Oficinas'!$A$7:$C$46,3,FALSE)</f>
        <v>Capital Neuquén</v>
      </c>
    </row>
    <row r="2611" spans="1:19" x14ac:dyDescent="0.2">
      <c r="A2611" s="1">
        <v>46098</v>
      </c>
      <c r="B2611" t="s">
        <v>577</v>
      </c>
      <c r="D2611" t="s">
        <v>578</v>
      </c>
      <c r="E2611" t="s">
        <v>16</v>
      </c>
      <c r="F2611" t="s">
        <v>17</v>
      </c>
      <c r="G2611" s="14">
        <v>50000</v>
      </c>
      <c r="H2611" s="14">
        <v>50000</v>
      </c>
      <c r="I2611" t="s">
        <v>22</v>
      </c>
      <c r="J2611" t="s">
        <v>22</v>
      </c>
      <c r="K2611" t="s">
        <v>579</v>
      </c>
      <c r="L2611" t="s">
        <v>580</v>
      </c>
      <c r="M2611" t="s">
        <v>97</v>
      </c>
      <c r="N2611">
        <v>2</v>
      </c>
      <c r="O2611" t="s">
        <v>50</v>
      </c>
      <c r="P2611" t="s">
        <v>21</v>
      </c>
      <c r="Q2611" t="s">
        <v>30</v>
      </c>
      <c r="R2611" t="str">
        <f>VLOOKUP($O2611,'Mapa Oficinas'!$A$7:$C$46,2,FALSE)</f>
        <v>CABA</v>
      </c>
      <c r="S2611" t="str">
        <f>VLOOKUP($O2611,'Mapa Oficinas'!$A$7:$C$46,3,FALSE)</f>
        <v>Villa Urquiza</v>
      </c>
    </row>
    <row r="2612" spans="1:19" x14ac:dyDescent="0.2">
      <c r="A2612" s="1">
        <v>46098</v>
      </c>
      <c r="B2612" t="s">
        <v>608</v>
      </c>
      <c r="D2612" t="s">
        <v>609</v>
      </c>
      <c r="E2612" t="s">
        <v>16</v>
      </c>
      <c r="F2612" t="s">
        <v>38</v>
      </c>
      <c r="G2612" s="14">
        <v>60000</v>
      </c>
      <c r="H2612" s="14">
        <v>54000</v>
      </c>
      <c r="I2612" t="s">
        <v>22</v>
      </c>
      <c r="J2612" t="s">
        <v>22</v>
      </c>
      <c r="K2612" t="s">
        <v>610</v>
      </c>
      <c r="L2612" t="s">
        <v>54</v>
      </c>
      <c r="M2612" t="s">
        <v>28</v>
      </c>
      <c r="N2612">
        <v>2</v>
      </c>
      <c r="O2612" t="s">
        <v>55</v>
      </c>
      <c r="P2612" t="s">
        <v>21</v>
      </c>
      <c r="Q2612" t="s">
        <v>30</v>
      </c>
      <c r="R2612" t="str">
        <f>VLOOKUP($O2612,'Mapa Oficinas'!$A$7:$C$46,2,FALSE)</f>
        <v>Interior - Santa Fe</v>
      </c>
      <c r="S2612" t="str">
        <f>VLOOKUP($O2612,'Mapa Oficinas'!$A$7:$C$46,3,FALSE)</f>
        <v>Capital Santa Fe</v>
      </c>
    </row>
    <row r="2613" spans="1:19" x14ac:dyDescent="0.2">
      <c r="A2613" s="1">
        <v>46098</v>
      </c>
      <c r="B2613" t="s">
        <v>557</v>
      </c>
      <c r="D2613" t="s">
        <v>558</v>
      </c>
      <c r="E2613" t="s">
        <v>16</v>
      </c>
      <c r="F2613" t="s">
        <v>47</v>
      </c>
      <c r="G2613" s="14">
        <v>68500</v>
      </c>
      <c r="H2613" s="14">
        <v>64500</v>
      </c>
      <c r="I2613" t="s">
        <v>22</v>
      </c>
      <c r="J2613" t="s">
        <v>22</v>
      </c>
      <c r="K2613" t="s">
        <v>559</v>
      </c>
      <c r="L2613" t="s">
        <v>560</v>
      </c>
      <c r="M2613" t="s">
        <v>19</v>
      </c>
      <c r="N2613">
        <v>1</v>
      </c>
      <c r="O2613" t="s">
        <v>142</v>
      </c>
      <c r="P2613" t="s">
        <v>146</v>
      </c>
      <c r="Q2613" t="s">
        <v>30</v>
      </c>
      <c r="R2613" t="str">
        <f>VLOOKUP($O2613,'Mapa Oficinas'!$A$7:$C$46,2,FALSE)</f>
        <v>Zona Norte (GBA)</v>
      </c>
      <c r="S2613" t="str">
        <f>VLOOKUP($O2613,'Mapa Oficinas'!$A$7:$C$46,3,FALSE)</f>
        <v>Nordelta</v>
      </c>
    </row>
    <row r="2614" spans="1:19" x14ac:dyDescent="0.2">
      <c r="A2614" s="1">
        <v>46098</v>
      </c>
      <c r="B2614" t="s">
        <v>597</v>
      </c>
      <c r="D2614" t="s">
        <v>598</v>
      </c>
      <c r="E2614" t="s">
        <v>16</v>
      </c>
      <c r="F2614" t="s">
        <v>38</v>
      </c>
      <c r="G2614" s="14">
        <v>75000</v>
      </c>
      <c r="H2614" s="14">
        <v>75000</v>
      </c>
      <c r="I2614" t="s">
        <v>22</v>
      </c>
      <c r="J2614" t="s">
        <v>22</v>
      </c>
      <c r="K2614" t="s">
        <v>599</v>
      </c>
      <c r="L2614" t="s">
        <v>600</v>
      </c>
      <c r="M2614" t="s">
        <v>19</v>
      </c>
      <c r="N2614">
        <v>2</v>
      </c>
      <c r="O2614" t="s">
        <v>85</v>
      </c>
      <c r="P2614" t="s">
        <v>41</v>
      </c>
      <c r="Q2614" t="s">
        <v>30</v>
      </c>
      <c r="R2614" t="str">
        <f>VLOOKUP($O2614,'Mapa Oficinas'!$A$7:$C$46,2,FALSE)</f>
        <v>Interior - Jujuy</v>
      </c>
      <c r="S2614" t="str">
        <f>VLOOKUP($O2614,'Mapa Oficinas'!$A$7:$C$46,3,FALSE)</f>
        <v>Capital Jujuy</v>
      </c>
    </row>
    <row r="2615" spans="1:19" x14ac:dyDescent="0.2">
      <c r="A2615" s="1">
        <v>46098</v>
      </c>
      <c r="B2615" t="s">
        <v>601</v>
      </c>
      <c r="D2615" t="s">
        <v>602</v>
      </c>
      <c r="E2615" t="s">
        <v>16</v>
      </c>
      <c r="F2615" t="s">
        <v>38</v>
      </c>
      <c r="G2615" s="14">
        <v>82000</v>
      </c>
      <c r="H2615" s="14">
        <v>81000</v>
      </c>
      <c r="I2615" t="s">
        <v>22</v>
      </c>
      <c r="J2615" t="s">
        <v>22</v>
      </c>
      <c r="K2615" t="s">
        <v>603</v>
      </c>
      <c r="L2615" t="s">
        <v>604</v>
      </c>
      <c r="M2615" t="s">
        <v>13</v>
      </c>
      <c r="N2615">
        <v>2</v>
      </c>
      <c r="O2615" t="s">
        <v>40</v>
      </c>
      <c r="P2615" t="s">
        <v>44</v>
      </c>
      <c r="Q2615" t="s">
        <v>30</v>
      </c>
      <c r="R2615" t="str">
        <f>VLOOKUP($O2615,'Mapa Oficinas'!$A$7:$C$46,2,FALSE)</f>
        <v>Zona Norte (GBA)</v>
      </c>
      <c r="S2615" t="str">
        <f>VLOOKUP($O2615,'Mapa Oficinas'!$A$7:$C$46,3,FALSE)</f>
        <v>Pilar</v>
      </c>
    </row>
    <row r="2616" spans="1:19" x14ac:dyDescent="0.2">
      <c r="A2616" s="1">
        <v>46098</v>
      </c>
      <c r="B2616" t="s">
        <v>570</v>
      </c>
      <c r="D2616" t="s">
        <v>571</v>
      </c>
      <c r="E2616" t="s">
        <v>16</v>
      </c>
      <c r="F2616" t="s">
        <v>47</v>
      </c>
      <c r="G2616" s="14">
        <v>110000</v>
      </c>
      <c r="H2616" s="14">
        <v>103000</v>
      </c>
      <c r="I2616" t="s">
        <v>22</v>
      </c>
      <c r="J2616" t="s">
        <v>22</v>
      </c>
      <c r="K2616" t="s">
        <v>572</v>
      </c>
      <c r="L2616" t="s">
        <v>545</v>
      </c>
      <c r="M2616" t="s">
        <v>72</v>
      </c>
      <c r="N2616">
        <v>2</v>
      </c>
      <c r="O2616" t="s">
        <v>142</v>
      </c>
      <c r="P2616" t="s">
        <v>41</v>
      </c>
      <c r="Q2616" t="s">
        <v>30</v>
      </c>
      <c r="R2616" t="str">
        <f>VLOOKUP($O2616,'Mapa Oficinas'!$A$7:$C$46,2,FALSE)</f>
        <v>Zona Norte (GBA)</v>
      </c>
      <c r="S2616" t="str">
        <f>VLOOKUP($O2616,'Mapa Oficinas'!$A$7:$C$46,3,FALSE)</f>
        <v>Nordelta</v>
      </c>
    </row>
    <row r="2617" spans="1:19" x14ac:dyDescent="0.2">
      <c r="A2617" s="1">
        <v>46098</v>
      </c>
      <c r="B2617" t="s">
        <v>605</v>
      </c>
      <c r="D2617" t="s">
        <v>606</v>
      </c>
      <c r="E2617" t="s">
        <v>16</v>
      </c>
      <c r="F2617" t="s">
        <v>38</v>
      </c>
      <c r="G2617" s="14">
        <v>650</v>
      </c>
      <c r="H2617" s="14">
        <v>150000</v>
      </c>
      <c r="I2617" t="s">
        <v>22</v>
      </c>
      <c r="J2617" t="s">
        <v>22</v>
      </c>
      <c r="K2617" t="s">
        <v>606</v>
      </c>
      <c r="L2617" t="s">
        <v>607</v>
      </c>
      <c r="M2617" t="s">
        <v>19</v>
      </c>
      <c r="N2617">
        <v>2</v>
      </c>
      <c r="O2617" t="s">
        <v>40</v>
      </c>
      <c r="P2617" t="s">
        <v>44</v>
      </c>
      <c r="Q2617" t="s">
        <v>30</v>
      </c>
      <c r="R2617" t="str">
        <f>VLOOKUP($O2617,'Mapa Oficinas'!$A$7:$C$46,2,FALSE)</f>
        <v>Zona Norte (GBA)</v>
      </c>
      <c r="S2617" t="str">
        <f>VLOOKUP($O2617,'Mapa Oficinas'!$A$7:$C$46,3,FALSE)</f>
        <v>Pilar</v>
      </c>
    </row>
    <row r="2618" spans="1:19" x14ac:dyDescent="0.2">
      <c r="A2618" s="1">
        <v>46098</v>
      </c>
      <c r="B2618" t="s">
        <v>565</v>
      </c>
      <c r="D2618" t="s">
        <v>566</v>
      </c>
      <c r="E2618" t="s">
        <v>16</v>
      </c>
      <c r="F2618" t="s">
        <v>47</v>
      </c>
      <c r="G2618" s="14">
        <v>180000</v>
      </c>
      <c r="H2618" s="14">
        <v>150000</v>
      </c>
      <c r="I2618" t="s">
        <v>22</v>
      </c>
      <c r="J2618" t="s">
        <v>22</v>
      </c>
      <c r="K2618" t="s">
        <v>567</v>
      </c>
      <c r="L2618" t="s">
        <v>568</v>
      </c>
      <c r="M2618" t="s">
        <v>28</v>
      </c>
      <c r="N2618">
        <v>2</v>
      </c>
      <c r="O2618" t="s">
        <v>142</v>
      </c>
      <c r="P2618" t="s">
        <v>21</v>
      </c>
      <c r="Q2618" t="s">
        <v>30</v>
      </c>
      <c r="R2618" t="str">
        <f>VLOOKUP($O2618,'Mapa Oficinas'!$A$7:$C$46,2,FALSE)</f>
        <v>Zona Norte (GBA)</v>
      </c>
      <c r="S2618" t="str">
        <f>VLOOKUP($O2618,'Mapa Oficinas'!$A$7:$C$46,3,FALSE)</f>
        <v>Nordelta</v>
      </c>
    </row>
    <row r="2619" spans="1:19" x14ac:dyDescent="0.2">
      <c r="A2619" s="1">
        <v>46098</v>
      </c>
      <c r="B2619" t="s">
        <v>587</v>
      </c>
      <c r="D2619" t="s">
        <v>588</v>
      </c>
      <c r="E2619" t="s">
        <v>16</v>
      </c>
      <c r="F2619" t="s">
        <v>17</v>
      </c>
      <c r="G2619" s="14">
        <v>168000</v>
      </c>
      <c r="H2619" s="14">
        <v>168000</v>
      </c>
      <c r="I2619" t="s">
        <v>22</v>
      </c>
      <c r="J2619" t="s">
        <v>22</v>
      </c>
      <c r="K2619" t="s">
        <v>589</v>
      </c>
      <c r="L2619" t="s">
        <v>564</v>
      </c>
      <c r="M2619" t="s">
        <v>19</v>
      </c>
      <c r="N2619">
        <v>2</v>
      </c>
      <c r="O2619" t="s">
        <v>201</v>
      </c>
      <c r="P2619" t="s">
        <v>276</v>
      </c>
      <c r="Q2619" t="s">
        <v>30</v>
      </c>
      <c r="R2619" t="str">
        <f>VLOOKUP($O2619,'Mapa Oficinas'!$A$7:$C$46,2,FALSE)</f>
        <v>CABA</v>
      </c>
      <c r="S2619" t="str">
        <f>VLOOKUP($O2619,'Mapa Oficinas'!$A$7:$C$46,3,FALSE)</f>
        <v>Recoleta</v>
      </c>
    </row>
    <row r="2620" spans="1:19" x14ac:dyDescent="0.2">
      <c r="A2620" s="1">
        <v>46098</v>
      </c>
      <c r="B2620" t="s">
        <v>590</v>
      </c>
      <c r="D2620" t="s">
        <v>591</v>
      </c>
      <c r="E2620" t="s">
        <v>16</v>
      </c>
      <c r="F2620" t="s">
        <v>17</v>
      </c>
      <c r="G2620" s="14">
        <v>179000</v>
      </c>
      <c r="H2620" s="14">
        <v>200000</v>
      </c>
      <c r="I2620" t="s">
        <v>22</v>
      </c>
      <c r="J2620" t="s">
        <v>22</v>
      </c>
      <c r="K2620" t="s">
        <v>592</v>
      </c>
      <c r="L2620" t="s">
        <v>258</v>
      </c>
      <c r="M2620" t="s">
        <v>28</v>
      </c>
      <c r="N2620">
        <v>2</v>
      </c>
      <c r="O2620" t="s">
        <v>142</v>
      </c>
      <c r="P2620" t="s">
        <v>41</v>
      </c>
      <c r="Q2620" t="s">
        <v>30</v>
      </c>
      <c r="R2620" t="str">
        <f>VLOOKUP($O2620,'Mapa Oficinas'!$A$7:$C$46,2,FALSE)</f>
        <v>Zona Norte (GBA)</v>
      </c>
      <c r="S2620" t="str">
        <f>VLOOKUP($O2620,'Mapa Oficinas'!$A$7:$C$46,3,FALSE)</f>
        <v>Nordelta</v>
      </c>
    </row>
    <row r="2621" spans="1:19" x14ac:dyDescent="0.2">
      <c r="A2621" s="1">
        <v>46098</v>
      </c>
      <c r="B2621" t="s">
        <v>573</v>
      </c>
      <c r="D2621" t="s">
        <v>574</v>
      </c>
      <c r="E2621" t="s">
        <v>16</v>
      </c>
      <c r="F2621" t="s">
        <v>47</v>
      </c>
      <c r="G2621" s="14">
        <v>243000</v>
      </c>
      <c r="H2621" s="14">
        <v>245000</v>
      </c>
      <c r="I2621" t="s">
        <v>22</v>
      </c>
      <c r="J2621" t="s">
        <v>22</v>
      </c>
      <c r="K2621" t="s">
        <v>575</v>
      </c>
      <c r="L2621" t="s">
        <v>576</v>
      </c>
      <c r="M2621" t="s">
        <v>19</v>
      </c>
      <c r="N2621">
        <v>2</v>
      </c>
      <c r="O2621" t="s">
        <v>142</v>
      </c>
      <c r="P2621" t="s">
        <v>41</v>
      </c>
      <c r="Q2621" t="s">
        <v>30</v>
      </c>
      <c r="R2621" t="str">
        <f>VLOOKUP($O2621,'Mapa Oficinas'!$A$7:$C$46,2,FALSE)</f>
        <v>Zona Norte (GBA)</v>
      </c>
      <c r="S2621" t="str">
        <f>VLOOKUP($O2621,'Mapa Oficinas'!$A$7:$C$46,3,FALSE)</f>
        <v>Nordelta</v>
      </c>
    </row>
    <row r="2622" spans="1:19" x14ac:dyDescent="0.2">
      <c r="A2622" s="1">
        <v>46098</v>
      </c>
      <c r="B2622" t="s">
        <v>553</v>
      </c>
      <c r="D2622" t="s">
        <v>554</v>
      </c>
      <c r="E2622" t="s">
        <v>16</v>
      </c>
      <c r="F2622" t="s">
        <v>17</v>
      </c>
      <c r="G2622" s="14">
        <v>309000</v>
      </c>
      <c r="H2622" s="14">
        <v>275000</v>
      </c>
      <c r="I2622" t="s">
        <v>22</v>
      </c>
      <c r="J2622" t="s">
        <v>22</v>
      </c>
      <c r="K2622" t="s">
        <v>555</v>
      </c>
      <c r="L2622" t="s">
        <v>556</v>
      </c>
      <c r="M2622" t="s">
        <v>28</v>
      </c>
      <c r="N2622">
        <v>1</v>
      </c>
      <c r="O2622" t="s">
        <v>142</v>
      </c>
      <c r="P2622" t="s">
        <v>146</v>
      </c>
      <c r="Q2622" t="s">
        <v>30</v>
      </c>
      <c r="R2622" t="str">
        <f>VLOOKUP($O2622,'Mapa Oficinas'!$A$7:$C$46,2,FALSE)</f>
        <v>Zona Norte (GBA)</v>
      </c>
      <c r="S2622" t="str">
        <f>VLOOKUP($O2622,'Mapa Oficinas'!$A$7:$C$46,3,FALSE)</f>
        <v>Nordelta</v>
      </c>
    </row>
    <row r="2623" spans="1:19" x14ac:dyDescent="0.2">
      <c r="A2623" s="1">
        <v>46098</v>
      </c>
      <c r="B2623" t="s">
        <v>561</v>
      </c>
      <c r="D2623" t="s">
        <v>562</v>
      </c>
      <c r="E2623" t="s">
        <v>16</v>
      </c>
      <c r="F2623" t="s">
        <v>17</v>
      </c>
      <c r="G2623" s="14">
        <v>402500</v>
      </c>
      <c r="H2623" s="14">
        <v>287000</v>
      </c>
      <c r="I2623" t="s">
        <v>22</v>
      </c>
      <c r="J2623" t="s">
        <v>22</v>
      </c>
      <c r="K2623" t="s">
        <v>563</v>
      </c>
      <c r="L2623" t="s">
        <v>564</v>
      </c>
      <c r="M2623" t="s">
        <v>19</v>
      </c>
      <c r="N2623">
        <v>1</v>
      </c>
      <c r="O2623" t="s">
        <v>142</v>
      </c>
      <c r="P2623" t="s">
        <v>146</v>
      </c>
      <c r="Q2623" t="s">
        <v>30</v>
      </c>
      <c r="R2623" t="str">
        <f>VLOOKUP($O2623,'Mapa Oficinas'!$A$7:$C$46,2,FALSE)</f>
        <v>Zona Norte (GBA)</v>
      </c>
      <c r="S2623" t="str">
        <f>VLOOKUP($O2623,'Mapa Oficinas'!$A$7:$C$46,3,FALSE)</f>
        <v>Nordelta</v>
      </c>
    </row>
    <row r="2624" spans="1:19" x14ac:dyDescent="0.2">
      <c r="A2624" s="1">
        <v>46098</v>
      </c>
      <c r="D2624" t="s">
        <v>585</v>
      </c>
      <c r="E2624" t="s">
        <v>16</v>
      </c>
      <c r="F2624" t="s">
        <v>17</v>
      </c>
      <c r="G2624" s="14">
        <v>310000</v>
      </c>
      <c r="H2624" s="14">
        <v>310000</v>
      </c>
      <c r="I2624" t="s">
        <v>22</v>
      </c>
      <c r="J2624" t="s">
        <v>22</v>
      </c>
      <c r="K2624" t="s">
        <v>586</v>
      </c>
      <c r="L2624" t="s">
        <v>117</v>
      </c>
      <c r="M2624" t="s">
        <v>19</v>
      </c>
      <c r="N2624">
        <v>1</v>
      </c>
      <c r="O2624" t="s">
        <v>201</v>
      </c>
      <c r="P2624" t="s">
        <v>146</v>
      </c>
      <c r="Q2624" t="s">
        <v>30</v>
      </c>
      <c r="R2624" t="str">
        <f>VLOOKUP($O2624,'Mapa Oficinas'!$A$7:$C$46,2,FALSE)</f>
        <v>CABA</v>
      </c>
      <c r="S2624" t="str">
        <f>VLOOKUP($O2624,'Mapa Oficinas'!$A$7:$C$46,3,FALSE)</f>
        <v>Recoleta</v>
      </c>
    </row>
    <row r="2625" spans="1:19" x14ac:dyDescent="0.2">
      <c r="A2625" s="1">
        <v>46098</v>
      </c>
      <c r="B2625" t="s">
        <v>581</v>
      </c>
      <c r="D2625" t="s">
        <v>582</v>
      </c>
      <c r="E2625" t="s">
        <v>16</v>
      </c>
      <c r="F2625" t="s">
        <v>47</v>
      </c>
      <c r="G2625" s="14">
        <v>990000</v>
      </c>
      <c r="H2625" s="14">
        <v>830000</v>
      </c>
      <c r="I2625" t="s">
        <v>22</v>
      </c>
      <c r="J2625" t="s">
        <v>22</v>
      </c>
      <c r="K2625" t="s">
        <v>583</v>
      </c>
      <c r="L2625" t="s">
        <v>584</v>
      </c>
      <c r="M2625" t="s">
        <v>28</v>
      </c>
      <c r="N2625">
        <v>1</v>
      </c>
      <c r="O2625" t="s">
        <v>142</v>
      </c>
      <c r="P2625" t="s">
        <v>146</v>
      </c>
      <c r="Q2625" t="s">
        <v>30</v>
      </c>
      <c r="R2625" t="str">
        <f>VLOOKUP($O2625,'Mapa Oficinas'!$A$7:$C$46,2,FALSE)</f>
        <v>Zona Norte (GBA)</v>
      </c>
      <c r="S2625" t="str">
        <f>VLOOKUP($O2625,'Mapa Oficinas'!$A$7:$C$46,3,FALSE)</f>
        <v>Nordelta</v>
      </c>
    </row>
    <row r="2626" spans="1:19" x14ac:dyDescent="0.2">
      <c r="A2626" s="1">
        <v>46099</v>
      </c>
      <c r="D2626" t="s">
        <v>537</v>
      </c>
      <c r="E2626" t="s">
        <v>16</v>
      </c>
      <c r="F2626" t="s">
        <v>82</v>
      </c>
      <c r="G2626" s="14">
        <v>60000</v>
      </c>
      <c r="H2626" s="14">
        <v>60000</v>
      </c>
      <c r="I2626" t="s">
        <v>22</v>
      </c>
      <c r="J2626" t="s">
        <v>22</v>
      </c>
      <c r="L2626" t="s">
        <v>538</v>
      </c>
      <c r="M2626" t="s">
        <v>28</v>
      </c>
      <c r="N2626">
        <v>1</v>
      </c>
      <c r="O2626" t="s">
        <v>367</v>
      </c>
      <c r="P2626" t="s">
        <v>131</v>
      </c>
      <c r="Q2626" t="s">
        <v>30</v>
      </c>
      <c r="R2626" t="str">
        <f>VLOOKUP($O2626,'Mapa Oficinas'!$A$7:$C$46,2,FALSE)</f>
        <v>Interior - Neuquén</v>
      </c>
      <c r="S2626" t="str">
        <f>VLOOKUP($O2626,'Mapa Oficinas'!$A$7:$C$46,3,FALSE)</f>
        <v>San Martín de los Andes</v>
      </c>
    </row>
    <row r="2627" spans="1:19" x14ac:dyDescent="0.2">
      <c r="A2627" s="1">
        <v>46099</v>
      </c>
      <c r="B2627" t="s">
        <v>524</v>
      </c>
      <c r="D2627" t="s">
        <v>525</v>
      </c>
      <c r="E2627" t="s">
        <v>16</v>
      </c>
      <c r="F2627" t="s">
        <v>17</v>
      </c>
      <c r="G2627" s="14">
        <v>80000</v>
      </c>
      <c r="H2627" s="14">
        <v>80000</v>
      </c>
      <c r="I2627" t="s">
        <v>22</v>
      </c>
      <c r="J2627" t="s">
        <v>22</v>
      </c>
      <c r="K2627" t="s">
        <v>526</v>
      </c>
      <c r="L2627" t="s">
        <v>527</v>
      </c>
      <c r="M2627" t="s">
        <v>97</v>
      </c>
      <c r="N2627">
        <v>2</v>
      </c>
      <c r="O2627" t="s">
        <v>151</v>
      </c>
      <c r="P2627" t="s">
        <v>21</v>
      </c>
      <c r="Q2627" t="s">
        <v>30</v>
      </c>
      <c r="R2627" t="str">
        <f>VLOOKUP($O2627,'Mapa Oficinas'!$A$7:$C$46,2,FALSE)</f>
        <v>Interior - Neuquén</v>
      </c>
      <c r="S2627" t="str">
        <f>VLOOKUP($O2627,'Mapa Oficinas'!$A$7:$C$46,3,FALSE)</f>
        <v>Capital Neuquén</v>
      </c>
    </row>
    <row r="2628" spans="1:19" x14ac:dyDescent="0.2">
      <c r="A2628" s="1">
        <v>46099</v>
      </c>
      <c r="B2628" t="s">
        <v>517</v>
      </c>
      <c r="D2628" t="s">
        <v>518</v>
      </c>
      <c r="E2628" t="s">
        <v>16</v>
      </c>
      <c r="F2628" t="s">
        <v>82</v>
      </c>
      <c r="G2628" s="14">
        <v>110000</v>
      </c>
      <c r="H2628" s="14">
        <v>110000</v>
      </c>
      <c r="I2628" t="s">
        <v>22</v>
      </c>
      <c r="J2628" t="s">
        <v>22</v>
      </c>
      <c r="K2628" t="s">
        <v>519</v>
      </c>
      <c r="L2628" t="s">
        <v>71</v>
      </c>
      <c r="M2628" t="s">
        <v>19</v>
      </c>
      <c r="N2628">
        <v>2</v>
      </c>
      <c r="O2628" t="s">
        <v>116</v>
      </c>
      <c r="P2628" t="s">
        <v>21</v>
      </c>
      <c r="Q2628" t="s">
        <v>30</v>
      </c>
      <c r="R2628" t="str">
        <f>VLOOKUP($O2628,'Mapa Oficinas'!$A$7:$C$46,2,FALSE)</f>
        <v>CABA</v>
      </c>
      <c r="S2628" t="str">
        <f>VLOOKUP($O2628,'Mapa Oficinas'!$A$7:$C$46,3,FALSE)</f>
        <v>Puerto Madero</v>
      </c>
    </row>
    <row r="2629" spans="1:19" x14ac:dyDescent="0.2">
      <c r="A2629" s="1">
        <v>46099</v>
      </c>
      <c r="B2629" t="s">
        <v>509</v>
      </c>
      <c r="D2629" t="s">
        <v>510</v>
      </c>
      <c r="E2629" t="s">
        <v>16</v>
      </c>
      <c r="F2629" t="s">
        <v>17</v>
      </c>
      <c r="G2629" s="14">
        <v>125000</v>
      </c>
      <c r="H2629" s="14">
        <v>125000</v>
      </c>
      <c r="I2629" t="s">
        <v>22</v>
      </c>
      <c r="J2629" t="s">
        <v>22</v>
      </c>
      <c r="K2629" t="s">
        <v>511</v>
      </c>
      <c r="L2629" t="s">
        <v>512</v>
      </c>
      <c r="M2629" t="s">
        <v>19</v>
      </c>
      <c r="N2629">
        <v>2</v>
      </c>
      <c r="O2629" t="s">
        <v>29</v>
      </c>
      <c r="P2629" t="s">
        <v>276</v>
      </c>
      <c r="Q2629" t="s">
        <v>30</v>
      </c>
      <c r="R2629" t="str">
        <f>VLOOKUP($O2629,'Mapa Oficinas'!$A$7:$C$46,2,FALSE)</f>
        <v>CABA</v>
      </c>
      <c r="S2629" t="str">
        <f>VLOOKUP($O2629,'Mapa Oficinas'!$A$7:$C$46,3,FALSE)</f>
        <v>Núñez</v>
      </c>
    </row>
    <row r="2630" spans="1:19" x14ac:dyDescent="0.2">
      <c r="A2630" s="1">
        <v>46099</v>
      </c>
      <c r="B2630" t="s">
        <v>542</v>
      </c>
      <c r="D2630" t="s">
        <v>543</v>
      </c>
      <c r="E2630" t="s">
        <v>16</v>
      </c>
      <c r="F2630" t="s">
        <v>17</v>
      </c>
      <c r="G2630" s="14">
        <v>142000</v>
      </c>
      <c r="H2630" s="14">
        <v>131000</v>
      </c>
      <c r="I2630" t="s">
        <v>22</v>
      </c>
      <c r="J2630" t="s">
        <v>22</v>
      </c>
      <c r="K2630" t="s">
        <v>544</v>
      </c>
      <c r="L2630" t="s">
        <v>545</v>
      </c>
      <c r="M2630" t="s">
        <v>19</v>
      </c>
      <c r="N2630">
        <v>2</v>
      </c>
      <c r="O2630" t="s">
        <v>116</v>
      </c>
      <c r="P2630" t="s">
        <v>21</v>
      </c>
      <c r="Q2630" t="s">
        <v>30</v>
      </c>
      <c r="R2630" t="str">
        <f>VLOOKUP($O2630,'Mapa Oficinas'!$A$7:$C$46,2,FALSE)</f>
        <v>CABA</v>
      </c>
      <c r="S2630" t="str">
        <f>VLOOKUP($O2630,'Mapa Oficinas'!$A$7:$C$46,3,FALSE)</f>
        <v>Puerto Madero</v>
      </c>
    </row>
    <row r="2631" spans="1:19" x14ac:dyDescent="0.2">
      <c r="A2631" s="1">
        <v>46099</v>
      </c>
      <c r="B2631" t="s">
        <v>522</v>
      </c>
      <c r="D2631" t="s">
        <v>522</v>
      </c>
      <c r="E2631" t="s">
        <v>16</v>
      </c>
      <c r="F2631" t="s">
        <v>17</v>
      </c>
      <c r="G2631" s="14">
        <v>145000</v>
      </c>
      <c r="H2631" s="14">
        <v>145000</v>
      </c>
      <c r="I2631" t="s">
        <v>22</v>
      </c>
      <c r="J2631" t="s">
        <v>22</v>
      </c>
      <c r="K2631" t="s">
        <v>522</v>
      </c>
      <c r="L2631" t="s">
        <v>523</v>
      </c>
      <c r="M2631" t="s">
        <v>19</v>
      </c>
      <c r="N2631">
        <v>2</v>
      </c>
      <c r="O2631" t="s">
        <v>50</v>
      </c>
      <c r="P2631" t="s">
        <v>21</v>
      </c>
      <c r="Q2631" t="s">
        <v>30</v>
      </c>
      <c r="R2631" t="str">
        <f>VLOOKUP($O2631,'Mapa Oficinas'!$A$7:$C$46,2,FALSE)</f>
        <v>CABA</v>
      </c>
      <c r="S2631" t="str">
        <f>VLOOKUP($O2631,'Mapa Oficinas'!$A$7:$C$46,3,FALSE)</f>
        <v>Villa Urquiza</v>
      </c>
    </row>
    <row r="2632" spans="1:19" x14ac:dyDescent="0.2">
      <c r="A2632" s="1">
        <v>46099</v>
      </c>
      <c r="D2632" t="s">
        <v>520</v>
      </c>
      <c r="E2632" t="s">
        <v>16</v>
      </c>
      <c r="F2632" t="s">
        <v>17</v>
      </c>
      <c r="G2632" s="14">
        <v>154000</v>
      </c>
      <c r="H2632" s="14">
        <v>154000</v>
      </c>
      <c r="I2632" t="s">
        <v>22</v>
      </c>
      <c r="J2632" t="s">
        <v>22</v>
      </c>
      <c r="K2632" t="s">
        <v>520</v>
      </c>
      <c r="L2632" t="s">
        <v>71</v>
      </c>
      <c r="M2632" t="s">
        <v>19</v>
      </c>
      <c r="N2632">
        <v>2</v>
      </c>
      <c r="O2632" t="s">
        <v>201</v>
      </c>
      <c r="P2632" t="s">
        <v>36</v>
      </c>
      <c r="Q2632" t="s">
        <v>30</v>
      </c>
      <c r="R2632" t="str">
        <f>VLOOKUP($O2632,'Mapa Oficinas'!$A$7:$C$46,2,FALSE)</f>
        <v>CABA</v>
      </c>
      <c r="S2632" t="str">
        <f>VLOOKUP($O2632,'Mapa Oficinas'!$A$7:$C$46,3,FALSE)</f>
        <v>Recoleta</v>
      </c>
    </row>
    <row r="2633" spans="1:19" x14ac:dyDescent="0.2">
      <c r="A2633" s="1">
        <v>46099</v>
      </c>
      <c r="B2633" t="s">
        <v>539</v>
      </c>
      <c r="D2633" t="s">
        <v>540</v>
      </c>
      <c r="E2633" t="s">
        <v>16</v>
      </c>
      <c r="F2633" t="s">
        <v>17</v>
      </c>
      <c r="G2633" s="14">
        <v>169900</v>
      </c>
      <c r="H2633" s="14">
        <v>167000</v>
      </c>
      <c r="I2633" t="s">
        <v>22</v>
      </c>
      <c r="J2633" t="s">
        <v>22</v>
      </c>
      <c r="K2633" t="s">
        <v>541</v>
      </c>
      <c r="L2633" t="s">
        <v>217</v>
      </c>
      <c r="M2633" t="s">
        <v>19</v>
      </c>
      <c r="N2633">
        <v>2</v>
      </c>
      <c r="O2633" t="s">
        <v>20</v>
      </c>
      <c r="P2633" t="s">
        <v>21</v>
      </c>
      <c r="Q2633" t="s">
        <v>30</v>
      </c>
      <c r="R2633" t="str">
        <f>VLOOKUP($O2633,'Mapa Oficinas'!$A$7:$C$46,2,FALSE)</f>
        <v>CABA</v>
      </c>
      <c r="S2633" t="str">
        <f>VLOOKUP($O2633,'Mapa Oficinas'!$A$7:$C$46,3,FALSE)</f>
        <v>Palermo</v>
      </c>
    </row>
    <row r="2634" spans="1:19" x14ac:dyDescent="0.2">
      <c r="A2634" s="1">
        <v>46099</v>
      </c>
      <c r="B2634" t="s">
        <v>534</v>
      </c>
      <c r="D2634" t="s">
        <v>535</v>
      </c>
      <c r="E2634" t="s">
        <v>16</v>
      </c>
      <c r="F2634" t="s">
        <v>17</v>
      </c>
      <c r="G2634" s="14">
        <v>175000</v>
      </c>
      <c r="H2634" s="14">
        <v>172000</v>
      </c>
      <c r="I2634" t="s">
        <v>22</v>
      </c>
      <c r="J2634" t="s">
        <v>22</v>
      </c>
      <c r="L2634" t="s">
        <v>536</v>
      </c>
      <c r="M2634" t="s">
        <v>28</v>
      </c>
      <c r="N2634">
        <v>2</v>
      </c>
      <c r="O2634" t="s">
        <v>40</v>
      </c>
      <c r="P2634" t="s">
        <v>44</v>
      </c>
      <c r="Q2634" t="s">
        <v>30</v>
      </c>
      <c r="R2634" t="str">
        <f>VLOOKUP($O2634,'Mapa Oficinas'!$A$7:$C$46,2,FALSE)</f>
        <v>Zona Norte (GBA)</v>
      </c>
      <c r="S2634" t="str">
        <f>VLOOKUP($O2634,'Mapa Oficinas'!$A$7:$C$46,3,FALSE)</f>
        <v>Pilar</v>
      </c>
    </row>
    <row r="2635" spans="1:19" x14ac:dyDescent="0.2">
      <c r="A2635" s="1">
        <v>46099</v>
      </c>
      <c r="B2635" t="s">
        <v>531</v>
      </c>
      <c r="D2635" t="s">
        <v>532</v>
      </c>
      <c r="E2635" t="s">
        <v>16</v>
      </c>
      <c r="F2635" t="s">
        <v>17</v>
      </c>
      <c r="G2635" s="14">
        <v>229000</v>
      </c>
      <c r="H2635" s="14">
        <v>220000</v>
      </c>
      <c r="I2635" t="s">
        <v>22</v>
      </c>
      <c r="J2635" t="s">
        <v>22</v>
      </c>
      <c r="K2635" t="s">
        <v>533</v>
      </c>
      <c r="L2635" t="s">
        <v>318</v>
      </c>
      <c r="M2635" t="s">
        <v>19</v>
      </c>
      <c r="N2635">
        <v>2</v>
      </c>
      <c r="O2635" t="s">
        <v>35</v>
      </c>
      <c r="P2635" t="s">
        <v>21</v>
      </c>
      <c r="Q2635" t="s">
        <v>30</v>
      </c>
      <c r="R2635" t="str">
        <f>VLOOKUP($O2635,'Mapa Oficinas'!$A$7:$C$46,2,FALSE)</f>
        <v>Zona Norte (GBA)</v>
      </c>
      <c r="S2635" t="str">
        <f>VLOOKUP($O2635,'Mapa Oficinas'!$A$7:$C$46,3,FALSE)</f>
        <v>Vicente López</v>
      </c>
    </row>
    <row r="2636" spans="1:19" x14ac:dyDescent="0.2">
      <c r="A2636" s="1">
        <v>46099</v>
      </c>
      <c r="B2636" t="s">
        <v>513</v>
      </c>
      <c r="D2636" t="s">
        <v>514</v>
      </c>
      <c r="E2636" t="s">
        <v>16</v>
      </c>
      <c r="F2636" t="s">
        <v>134</v>
      </c>
      <c r="G2636" s="14">
        <v>91370</v>
      </c>
      <c r="H2636" s="14">
        <v>224430</v>
      </c>
      <c r="I2636" t="s">
        <v>22</v>
      </c>
      <c r="J2636" t="s">
        <v>22</v>
      </c>
      <c r="K2636" t="s">
        <v>515</v>
      </c>
      <c r="L2636" t="s">
        <v>516</v>
      </c>
      <c r="M2636" t="s">
        <v>97</v>
      </c>
      <c r="N2636">
        <v>2</v>
      </c>
      <c r="O2636" t="s">
        <v>130</v>
      </c>
      <c r="P2636" t="s">
        <v>41</v>
      </c>
      <c r="Q2636" t="s">
        <v>30</v>
      </c>
      <c r="R2636" t="str">
        <f>VLOOKUP($O2636,'Mapa Oficinas'!$A$7:$C$46,2,FALSE)</f>
        <v>Interior - Río Negro</v>
      </c>
      <c r="S2636" t="str">
        <f>VLOOKUP($O2636,'Mapa Oficinas'!$A$7:$C$46,3,FALSE)</f>
        <v>Bariloche</v>
      </c>
    </row>
    <row r="2637" spans="1:19" x14ac:dyDescent="0.2">
      <c r="A2637" s="1">
        <v>46099</v>
      </c>
      <c r="B2637" t="s">
        <v>529</v>
      </c>
      <c r="D2637" t="s">
        <v>529</v>
      </c>
      <c r="E2637" t="s">
        <v>16</v>
      </c>
      <c r="F2637" t="s">
        <v>17</v>
      </c>
      <c r="G2637" s="14">
        <v>250000</v>
      </c>
      <c r="H2637" s="14">
        <v>250000</v>
      </c>
      <c r="I2637" t="s">
        <v>22</v>
      </c>
      <c r="J2637" t="s">
        <v>22</v>
      </c>
      <c r="L2637" t="s">
        <v>530</v>
      </c>
      <c r="M2637" t="s">
        <v>28</v>
      </c>
      <c r="N2637">
        <v>1</v>
      </c>
      <c r="O2637" t="s">
        <v>359</v>
      </c>
      <c r="P2637" t="s">
        <v>146</v>
      </c>
      <c r="Q2637" t="s">
        <v>30</v>
      </c>
      <c r="R2637" t="str">
        <f>VLOOKUP($O2637,'Mapa Oficinas'!$A$7:$C$46,2,FALSE)</f>
        <v>CABA</v>
      </c>
      <c r="S2637" t="str">
        <f>VLOOKUP($O2637,'Mapa Oficinas'!$A$7:$C$46,3,FALSE)</f>
        <v>Palermo</v>
      </c>
    </row>
    <row r="2638" spans="1:19" x14ac:dyDescent="0.2">
      <c r="A2638" s="1">
        <v>46099</v>
      </c>
      <c r="B2638" t="s">
        <v>528</v>
      </c>
      <c r="D2638" t="s">
        <v>528</v>
      </c>
      <c r="E2638" t="s">
        <v>16</v>
      </c>
      <c r="F2638" t="s">
        <v>17</v>
      </c>
      <c r="G2638" s="14">
        <v>355000</v>
      </c>
      <c r="H2638" s="14">
        <v>330000</v>
      </c>
      <c r="I2638" t="s">
        <v>22</v>
      </c>
      <c r="J2638" t="s">
        <v>22</v>
      </c>
      <c r="K2638" t="s">
        <v>528</v>
      </c>
      <c r="L2638" t="s">
        <v>318</v>
      </c>
      <c r="M2638" t="s">
        <v>19</v>
      </c>
      <c r="N2638">
        <v>1</v>
      </c>
      <c r="O2638" t="s">
        <v>35</v>
      </c>
      <c r="P2638" t="s">
        <v>131</v>
      </c>
      <c r="Q2638" t="s">
        <v>30</v>
      </c>
      <c r="R2638" t="str">
        <f>VLOOKUP($O2638,'Mapa Oficinas'!$A$7:$C$46,2,FALSE)</f>
        <v>Zona Norte (GBA)</v>
      </c>
      <c r="S2638" t="str">
        <f>VLOOKUP($O2638,'Mapa Oficinas'!$A$7:$C$46,3,FALSE)</f>
        <v>Vicente López</v>
      </c>
    </row>
    <row r="2639" spans="1:19" x14ac:dyDescent="0.2">
      <c r="A2639" s="1">
        <v>46100</v>
      </c>
      <c r="D2639" t="s">
        <v>496</v>
      </c>
      <c r="E2639" t="s">
        <v>16</v>
      </c>
      <c r="F2639" t="s">
        <v>82</v>
      </c>
      <c r="G2639" s="14">
        <v>36000</v>
      </c>
      <c r="H2639" s="14">
        <v>36000</v>
      </c>
      <c r="I2639" t="s">
        <v>22</v>
      </c>
      <c r="J2639" t="s">
        <v>22</v>
      </c>
      <c r="L2639" t="s">
        <v>449</v>
      </c>
      <c r="M2639" t="s">
        <v>97</v>
      </c>
      <c r="N2639">
        <v>2</v>
      </c>
      <c r="O2639" t="s">
        <v>367</v>
      </c>
      <c r="P2639" t="s">
        <v>21</v>
      </c>
      <c r="Q2639" t="s">
        <v>30</v>
      </c>
      <c r="R2639" t="str">
        <f>VLOOKUP($O2639,'Mapa Oficinas'!$A$7:$C$46,2,FALSE)</f>
        <v>Interior - Neuquén</v>
      </c>
      <c r="S2639" t="str">
        <f>VLOOKUP($O2639,'Mapa Oficinas'!$A$7:$C$46,3,FALSE)</f>
        <v>San Martín de los Andes</v>
      </c>
    </row>
    <row r="2640" spans="1:19" x14ac:dyDescent="0.2">
      <c r="A2640" s="1">
        <v>46100</v>
      </c>
      <c r="B2640" t="s">
        <v>483</v>
      </c>
      <c r="D2640" t="s">
        <v>484</v>
      </c>
      <c r="E2640" t="s">
        <v>16</v>
      </c>
      <c r="F2640" t="s">
        <v>58</v>
      </c>
      <c r="G2640" s="14">
        <v>64900</v>
      </c>
      <c r="H2640" s="14">
        <v>57000</v>
      </c>
      <c r="I2640" t="s">
        <v>22</v>
      </c>
      <c r="J2640" t="s">
        <v>22</v>
      </c>
      <c r="K2640" t="s">
        <v>485</v>
      </c>
      <c r="L2640" t="s">
        <v>486</v>
      </c>
      <c r="M2640" t="s">
        <v>28</v>
      </c>
      <c r="N2640">
        <v>2</v>
      </c>
      <c r="O2640" t="s">
        <v>50</v>
      </c>
      <c r="P2640" t="s">
        <v>21</v>
      </c>
      <c r="Q2640" t="s">
        <v>30</v>
      </c>
      <c r="R2640" t="str">
        <f>VLOOKUP($O2640,'Mapa Oficinas'!$A$7:$C$46,2,FALSE)</f>
        <v>CABA</v>
      </c>
      <c r="S2640" t="str">
        <f>VLOOKUP($O2640,'Mapa Oficinas'!$A$7:$C$46,3,FALSE)</f>
        <v>Villa Urquiza</v>
      </c>
    </row>
    <row r="2641" spans="1:19" x14ac:dyDescent="0.2">
      <c r="A2641" s="1">
        <v>46100</v>
      </c>
      <c r="B2641" t="s">
        <v>500</v>
      </c>
      <c r="D2641" t="s">
        <v>501</v>
      </c>
      <c r="E2641" t="s">
        <v>16</v>
      </c>
      <c r="F2641" t="s">
        <v>17</v>
      </c>
      <c r="G2641" s="14">
        <v>83500</v>
      </c>
      <c r="H2641" s="14">
        <v>80000</v>
      </c>
      <c r="I2641" t="s">
        <v>22</v>
      </c>
      <c r="J2641" t="s">
        <v>22</v>
      </c>
      <c r="K2641" t="s">
        <v>502</v>
      </c>
      <c r="L2641" t="s">
        <v>503</v>
      </c>
      <c r="M2641" t="s">
        <v>19</v>
      </c>
      <c r="N2641">
        <v>2</v>
      </c>
      <c r="O2641" t="s">
        <v>103</v>
      </c>
      <c r="P2641" t="s">
        <v>21</v>
      </c>
      <c r="Q2641" t="s">
        <v>30</v>
      </c>
      <c r="R2641" t="str">
        <f>VLOOKUP($O2641,'Mapa Oficinas'!$A$7:$C$46,2,FALSE)</f>
        <v>CABA</v>
      </c>
      <c r="S2641" t="str">
        <f>VLOOKUP($O2641,'Mapa Oficinas'!$A$7:$C$46,3,FALSE)</f>
        <v>Barrio Parque</v>
      </c>
    </row>
    <row r="2642" spans="1:19" x14ac:dyDescent="0.2">
      <c r="A2642" s="1">
        <v>46100</v>
      </c>
      <c r="B2642" t="s">
        <v>453</v>
      </c>
      <c r="D2642" t="s">
        <v>454</v>
      </c>
      <c r="E2642" t="s">
        <v>16</v>
      </c>
      <c r="F2642" t="s">
        <v>17</v>
      </c>
      <c r="G2642" s="14">
        <v>92000</v>
      </c>
      <c r="H2642" s="14">
        <v>88000</v>
      </c>
      <c r="I2642" t="s">
        <v>22</v>
      </c>
      <c r="J2642" t="s">
        <v>22</v>
      </c>
      <c r="K2642" t="s">
        <v>455</v>
      </c>
      <c r="L2642" t="s">
        <v>318</v>
      </c>
      <c r="M2642" t="s">
        <v>19</v>
      </c>
      <c r="N2642">
        <v>2</v>
      </c>
      <c r="O2642" t="s">
        <v>252</v>
      </c>
      <c r="P2642" t="s">
        <v>276</v>
      </c>
      <c r="Q2642" t="s">
        <v>30</v>
      </c>
      <c r="R2642" t="str">
        <f>VLOOKUP($O2642,'Mapa Oficinas'!$A$7:$C$46,2,FALSE)</f>
        <v>CABA</v>
      </c>
      <c r="S2642" t="str">
        <f>VLOOKUP($O2642,'Mapa Oficinas'!$A$7:$C$46,3,FALSE)</f>
        <v>Belgrano</v>
      </c>
    </row>
    <row r="2643" spans="1:19" x14ac:dyDescent="0.2">
      <c r="A2643" s="1">
        <v>46100</v>
      </c>
      <c r="B2643" t="s">
        <v>467</v>
      </c>
      <c r="D2643" t="s">
        <v>468</v>
      </c>
      <c r="E2643" t="s">
        <v>16</v>
      </c>
      <c r="F2643" t="s">
        <v>134</v>
      </c>
      <c r="G2643" s="14">
        <v>99000</v>
      </c>
      <c r="H2643" s="14">
        <v>93000</v>
      </c>
      <c r="I2643" t="s">
        <v>22</v>
      </c>
      <c r="J2643" t="s">
        <v>22</v>
      </c>
      <c r="K2643" t="s">
        <v>469</v>
      </c>
      <c r="L2643" t="s">
        <v>129</v>
      </c>
      <c r="M2643" t="s">
        <v>19</v>
      </c>
      <c r="N2643">
        <v>1</v>
      </c>
      <c r="O2643" t="s">
        <v>130</v>
      </c>
      <c r="P2643" t="s">
        <v>66</v>
      </c>
      <c r="Q2643" t="s">
        <v>30</v>
      </c>
      <c r="R2643" t="str">
        <f>VLOOKUP($O2643,'Mapa Oficinas'!$A$7:$C$46,2,FALSE)</f>
        <v>Interior - Río Negro</v>
      </c>
      <c r="S2643" t="str">
        <f>VLOOKUP($O2643,'Mapa Oficinas'!$A$7:$C$46,3,FALSE)</f>
        <v>Bariloche</v>
      </c>
    </row>
    <row r="2644" spans="1:19" x14ac:dyDescent="0.2">
      <c r="A2644" s="1">
        <v>46100</v>
      </c>
      <c r="B2644" t="s">
        <v>471</v>
      </c>
      <c r="D2644" t="s">
        <v>472</v>
      </c>
      <c r="E2644" t="s">
        <v>16</v>
      </c>
      <c r="F2644" t="s">
        <v>17</v>
      </c>
      <c r="G2644" s="14">
        <v>110000</v>
      </c>
      <c r="H2644" s="14">
        <v>105000</v>
      </c>
      <c r="I2644" t="s">
        <v>22</v>
      </c>
      <c r="J2644" t="s">
        <v>22</v>
      </c>
      <c r="K2644" t="s">
        <v>473</v>
      </c>
      <c r="L2644" t="s">
        <v>474</v>
      </c>
      <c r="M2644" t="s">
        <v>19</v>
      </c>
      <c r="N2644">
        <v>2</v>
      </c>
      <c r="O2644" t="s">
        <v>201</v>
      </c>
      <c r="P2644" t="s">
        <v>21</v>
      </c>
      <c r="Q2644" t="s">
        <v>30</v>
      </c>
      <c r="R2644" t="str">
        <f>VLOOKUP($O2644,'Mapa Oficinas'!$A$7:$C$46,2,FALSE)</f>
        <v>CABA</v>
      </c>
      <c r="S2644" t="str">
        <f>VLOOKUP($O2644,'Mapa Oficinas'!$A$7:$C$46,3,FALSE)</f>
        <v>Recoleta</v>
      </c>
    </row>
    <row r="2645" spans="1:19" x14ac:dyDescent="0.2">
      <c r="A2645" s="1">
        <v>46100</v>
      </c>
      <c r="B2645" t="s">
        <v>456</v>
      </c>
      <c r="D2645" t="s">
        <v>457</v>
      </c>
      <c r="E2645" t="s">
        <v>16</v>
      </c>
      <c r="F2645" t="s">
        <v>17</v>
      </c>
      <c r="G2645" s="14">
        <v>112000</v>
      </c>
      <c r="H2645" s="14">
        <v>106000</v>
      </c>
      <c r="I2645" t="s">
        <v>22</v>
      </c>
      <c r="J2645" t="s">
        <v>22</v>
      </c>
      <c r="K2645" t="s">
        <v>458</v>
      </c>
      <c r="L2645" t="s">
        <v>111</v>
      </c>
      <c r="M2645" t="s">
        <v>19</v>
      </c>
      <c r="N2645">
        <v>2</v>
      </c>
      <c r="O2645" t="s">
        <v>201</v>
      </c>
      <c r="P2645" t="s">
        <v>21</v>
      </c>
      <c r="Q2645" t="s">
        <v>30</v>
      </c>
      <c r="R2645" t="str">
        <f>VLOOKUP($O2645,'Mapa Oficinas'!$A$7:$C$46,2,FALSE)</f>
        <v>CABA</v>
      </c>
      <c r="S2645" t="str">
        <f>VLOOKUP($O2645,'Mapa Oficinas'!$A$7:$C$46,3,FALSE)</f>
        <v>Recoleta</v>
      </c>
    </row>
    <row r="2646" spans="1:19" x14ac:dyDescent="0.2">
      <c r="A2646" s="1">
        <v>46100</v>
      </c>
      <c r="B2646" t="s">
        <v>489</v>
      </c>
      <c r="D2646" t="s">
        <v>490</v>
      </c>
      <c r="E2646" t="s">
        <v>16</v>
      </c>
      <c r="F2646" t="s">
        <v>243</v>
      </c>
      <c r="G2646" s="14">
        <v>130000</v>
      </c>
      <c r="H2646" s="14">
        <v>130000</v>
      </c>
      <c r="I2646" t="s">
        <v>22</v>
      </c>
      <c r="J2646" t="s">
        <v>22</v>
      </c>
      <c r="K2646" t="s">
        <v>491</v>
      </c>
      <c r="L2646" t="s">
        <v>189</v>
      </c>
      <c r="M2646" t="s">
        <v>72</v>
      </c>
      <c r="N2646">
        <v>2</v>
      </c>
      <c r="O2646" t="s">
        <v>151</v>
      </c>
      <c r="P2646" t="s">
        <v>21</v>
      </c>
      <c r="Q2646" t="s">
        <v>30</v>
      </c>
      <c r="R2646" t="str">
        <f>VLOOKUP($O2646,'Mapa Oficinas'!$A$7:$C$46,2,FALSE)</f>
        <v>Interior - Neuquén</v>
      </c>
      <c r="S2646" t="str">
        <f>VLOOKUP($O2646,'Mapa Oficinas'!$A$7:$C$46,3,FALSE)</f>
        <v>Capital Neuquén</v>
      </c>
    </row>
    <row r="2647" spans="1:19" x14ac:dyDescent="0.2">
      <c r="A2647" s="1">
        <v>46100</v>
      </c>
      <c r="B2647" t="s">
        <v>479</v>
      </c>
      <c r="D2647" t="s">
        <v>480</v>
      </c>
      <c r="E2647" t="s">
        <v>16</v>
      </c>
      <c r="F2647" t="s">
        <v>47</v>
      </c>
      <c r="G2647" s="14">
        <v>145000</v>
      </c>
      <c r="H2647" s="14">
        <v>138000</v>
      </c>
      <c r="I2647" t="s">
        <v>22</v>
      </c>
      <c r="J2647" t="s">
        <v>22</v>
      </c>
      <c r="K2647" t="s">
        <v>481</v>
      </c>
      <c r="L2647" t="s">
        <v>482</v>
      </c>
      <c r="M2647" t="s">
        <v>19</v>
      </c>
      <c r="N2647">
        <v>2</v>
      </c>
      <c r="O2647" t="s">
        <v>50</v>
      </c>
      <c r="P2647" t="s">
        <v>21</v>
      </c>
      <c r="Q2647" t="s">
        <v>30</v>
      </c>
      <c r="R2647" t="str">
        <f>VLOOKUP($O2647,'Mapa Oficinas'!$A$7:$C$46,2,FALSE)</f>
        <v>CABA</v>
      </c>
      <c r="S2647" t="str">
        <f>VLOOKUP($O2647,'Mapa Oficinas'!$A$7:$C$46,3,FALSE)</f>
        <v>Villa Urquiza</v>
      </c>
    </row>
    <row r="2648" spans="1:19" x14ac:dyDescent="0.2">
      <c r="A2648" s="1">
        <v>46100</v>
      </c>
      <c r="B2648" t="s">
        <v>463</v>
      </c>
      <c r="D2648" t="s">
        <v>464</v>
      </c>
      <c r="E2648" t="s">
        <v>16</v>
      </c>
      <c r="F2648" t="s">
        <v>17</v>
      </c>
      <c r="G2648" s="14">
        <v>163000</v>
      </c>
      <c r="H2648" s="14">
        <v>155000</v>
      </c>
      <c r="I2648" t="s">
        <v>22</v>
      </c>
      <c r="J2648" t="s">
        <v>22</v>
      </c>
      <c r="K2648" t="s">
        <v>465</v>
      </c>
      <c r="L2648" t="s">
        <v>466</v>
      </c>
      <c r="M2648" t="s">
        <v>19</v>
      </c>
      <c r="N2648">
        <v>1</v>
      </c>
      <c r="O2648" t="s">
        <v>35</v>
      </c>
      <c r="P2648" t="s">
        <v>131</v>
      </c>
      <c r="Q2648" t="s">
        <v>30</v>
      </c>
      <c r="R2648" t="str">
        <f>VLOOKUP($O2648,'Mapa Oficinas'!$A$7:$C$46,2,FALSE)</f>
        <v>Zona Norte (GBA)</v>
      </c>
      <c r="S2648" t="str">
        <f>VLOOKUP($O2648,'Mapa Oficinas'!$A$7:$C$46,3,FALSE)</f>
        <v>Vicente López</v>
      </c>
    </row>
    <row r="2649" spans="1:19" x14ac:dyDescent="0.2">
      <c r="A2649" s="1">
        <v>46100</v>
      </c>
      <c r="B2649">
        <v>10736</v>
      </c>
      <c r="D2649" t="s">
        <v>508</v>
      </c>
      <c r="E2649" t="s">
        <v>16</v>
      </c>
      <c r="F2649" t="s">
        <v>17</v>
      </c>
      <c r="G2649" s="14">
        <v>180000</v>
      </c>
      <c r="H2649" s="14">
        <v>180000</v>
      </c>
      <c r="I2649" t="s">
        <v>22</v>
      </c>
      <c r="J2649" t="s">
        <v>22</v>
      </c>
      <c r="K2649" t="s">
        <v>508</v>
      </c>
      <c r="L2649" t="s">
        <v>277</v>
      </c>
      <c r="M2649" t="s">
        <v>19</v>
      </c>
      <c r="N2649">
        <v>1</v>
      </c>
      <c r="O2649" t="s">
        <v>103</v>
      </c>
      <c r="P2649" t="s">
        <v>146</v>
      </c>
      <c r="Q2649" t="s">
        <v>30</v>
      </c>
      <c r="R2649" t="str">
        <f>VLOOKUP($O2649,'Mapa Oficinas'!$A$7:$C$46,2,FALSE)</f>
        <v>CABA</v>
      </c>
      <c r="S2649" t="str">
        <f>VLOOKUP($O2649,'Mapa Oficinas'!$A$7:$C$46,3,FALSE)</f>
        <v>Barrio Parque</v>
      </c>
    </row>
    <row r="2650" spans="1:19" x14ac:dyDescent="0.2">
      <c r="A2650" s="1">
        <v>46100</v>
      </c>
      <c r="B2650" t="s">
        <v>497</v>
      </c>
      <c r="D2650" t="s">
        <v>498</v>
      </c>
      <c r="E2650" t="s">
        <v>16</v>
      </c>
      <c r="F2650" t="s">
        <v>17</v>
      </c>
      <c r="G2650" s="14">
        <v>220000</v>
      </c>
      <c r="H2650" s="14">
        <v>185000</v>
      </c>
      <c r="I2650" t="s">
        <v>22</v>
      </c>
      <c r="J2650" t="s">
        <v>22</v>
      </c>
      <c r="K2650" t="s">
        <v>499</v>
      </c>
      <c r="L2650" t="s">
        <v>413</v>
      </c>
      <c r="M2650" t="s">
        <v>19</v>
      </c>
      <c r="N2650">
        <v>2</v>
      </c>
      <c r="O2650" t="s">
        <v>103</v>
      </c>
      <c r="P2650" t="s">
        <v>276</v>
      </c>
      <c r="Q2650" t="s">
        <v>30</v>
      </c>
      <c r="R2650" t="str">
        <f>VLOOKUP($O2650,'Mapa Oficinas'!$A$7:$C$46,2,FALSE)</f>
        <v>CABA</v>
      </c>
      <c r="S2650" t="str">
        <f>VLOOKUP($O2650,'Mapa Oficinas'!$A$7:$C$46,3,FALSE)</f>
        <v>Barrio Parque</v>
      </c>
    </row>
    <row r="2651" spans="1:19" x14ac:dyDescent="0.2">
      <c r="A2651" s="1">
        <v>46100</v>
      </c>
      <c r="B2651" t="s">
        <v>504</v>
      </c>
      <c r="D2651" t="s">
        <v>505</v>
      </c>
      <c r="E2651" t="s">
        <v>16</v>
      </c>
      <c r="F2651" t="s">
        <v>17</v>
      </c>
      <c r="G2651" s="14">
        <v>196000</v>
      </c>
      <c r="H2651" s="14">
        <v>189000</v>
      </c>
      <c r="I2651" t="s">
        <v>22</v>
      </c>
      <c r="J2651" t="s">
        <v>22</v>
      </c>
      <c r="K2651" t="s">
        <v>506</v>
      </c>
      <c r="L2651" t="s">
        <v>217</v>
      </c>
      <c r="M2651" t="s">
        <v>19</v>
      </c>
      <c r="N2651">
        <v>2</v>
      </c>
      <c r="O2651" t="s">
        <v>103</v>
      </c>
      <c r="P2651" t="s">
        <v>21</v>
      </c>
      <c r="Q2651" t="s">
        <v>30</v>
      </c>
      <c r="R2651" t="str">
        <f>VLOOKUP($O2651,'Mapa Oficinas'!$A$7:$C$46,2,FALSE)</f>
        <v>CABA</v>
      </c>
      <c r="S2651" t="str">
        <f>VLOOKUP($O2651,'Mapa Oficinas'!$A$7:$C$46,3,FALSE)</f>
        <v>Barrio Parque</v>
      </c>
    </row>
    <row r="2652" spans="1:19" x14ac:dyDescent="0.2">
      <c r="A2652" s="1">
        <v>46100</v>
      </c>
      <c r="B2652">
        <v>10727</v>
      </c>
      <c r="D2652" t="s">
        <v>507</v>
      </c>
      <c r="E2652" t="s">
        <v>16</v>
      </c>
      <c r="F2652" t="s">
        <v>17</v>
      </c>
      <c r="G2652" s="14">
        <v>0</v>
      </c>
      <c r="H2652" s="14">
        <v>200000</v>
      </c>
      <c r="I2652" t="s">
        <v>22</v>
      </c>
      <c r="J2652" t="s">
        <v>22</v>
      </c>
      <c r="K2652" t="s">
        <v>507</v>
      </c>
      <c r="L2652" t="s">
        <v>79</v>
      </c>
      <c r="M2652" t="s">
        <v>19</v>
      </c>
      <c r="N2652">
        <v>1</v>
      </c>
      <c r="O2652" t="s">
        <v>103</v>
      </c>
      <c r="P2652" t="s">
        <v>146</v>
      </c>
      <c r="Q2652" t="s">
        <v>30</v>
      </c>
      <c r="R2652" t="str">
        <f>VLOOKUP($O2652,'Mapa Oficinas'!$A$7:$C$46,2,FALSE)</f>
        <v>CABA</v>
      </c>
      <c r="S2652" t="str">
        <f>VLOOKUP($O2652,'Mapa Oficinas'!$A$7:$C$46,3,FALSE)</f>
        <v>Barrio Parque</v>
      </c>
    </row>
    <row r="2653" spans="1:19" x14ac:dyDescent="0.2">
      <c r="A2653" s="1">
        <v>46100</v>
      </c>
      <c r="B2653" t="s">
        <v>492</v>
      </c>
      <c r="D2653" t="s">
        <v>493</v>
      </c>
      <c r="E2653" t="s">
        <v>16</v>
      </c>
      <c r="F2653" t="s">
        <v>47</v>
      </c>
      <c r="G2653" s="14">
        <v>207000</v>
      </c>
      <c r="H2653" s="14">
        <v>202000</v>
      </c>
      <c r="I2653" t="s">
        <v>22</v>
      </c>
      <c r="J2653" t="s">
        <v>22</v>
      </c>
      <c r="K2653" t="s">
        <v>494</v>
      </c>
      <c r="L2653" t="s">
        <v>495</v>
      </c>
      <c r="M2653" t="s">
        <v>28</v>
      </c>
      <c r="N2653">
        <v>2</v>
      </c>
      <c r="O2653" t="s">
        <v>40</v>
      </c>
      <c r="P2653" t="s">
        <v>21</v>
      </c>
      <c r="Q2653" t="s">
        <v>30</v>
      </c>
      <c r="R2653" t="str">
        <f>VLOOKUP($O2653,'Mapa Oficinas'!$A$7:$C$46,2,FALSE)</f>
        <v>Zona Norte (GBA)</v>
      </c>
      <c r="S2653" t="str">
        <f>VLOOKUP($O2653,'Mapa Oficinas'!$A$7:$C$46,3,FALSE)</f>
        <v>Pilar</v>
      </c>
    </row>
    <row r="2654" spans="1:19" x14ac:dyDescent="0.2">
      <c r="A2654" s="1">
        <v>46100</v>
      </c>
      <c r="B2654">
        <v>19032026</v>
      </c>
      <c r="D2654" t="s">
        <v>487</v>
      </c>
      <c r="E2654" t="s">
        <v>16</v>
      </c>
      <c r="F2654" t="s">
        <v>134</v>
      </c>
      <c r="G2654" s="14">
        <v>231446</v>
      </c>
      <c r="H2654" s="14">
        <v>231446</v>
      </c>
      <c r="I2654" t="s">
        <v>22</v>
      </c>
      <c r="J2654" t="s">
        <v>22</v>
      </c>
      <c r="K2654" t="s">
        <v>488</v>
      </c>
      <c r="L2654" t="s">
        <v>129</v>
      </c>
      <c r="M2654" t="s">
        <v>19</v>
      </c>
      <c r="N2654">
        <v>2</v>
      </c>
      <c r="O2654" t="s">
        <v>130</v>
      </c>
      <c r="P2654" t="s">
        <v>21</v>
      </c>
      <c r="Q2654" t="s">
        <v>30</v>
      </c>
      <c r="R2654" t="str">
        <f>VLOOKUP($O2654,'Mapa Oficinas'!$A$7:$C$46,2,FALSE)</f>
        <v>Interior - Río Negro</v>
      </c>
      <c r="S2654" t="str">
        <f>VLOOKUP($O2654,'Mapa Oficinas'!$A$7:$C$46,3,FALSE)</f>
        <v>Bariloche</v>
      </c>
    </row>
    <row r="2655" spans="1:19" x14ac:dyDescent="0.2">
      <c r="A2655" s="1">
        <v>46100</v>
      </c>
      <c r="B2655" t="s">
        <v>475</v>
      </c>
      <c r="D2655" t="s">
        <v>476</v>
      </c>
      <c r="E2655" t="s">
        <v>16</v>
      </c>
      <c r="F2655" t="s">
        <v>17</v>
      </c>
      <c r="G2655" s="14">
        <v>289000</v>
      </c>
      <c r="H2655" s="14">
        <v>286000</v>
      </c>
      <c r="I2655" t="s">
        <v>22</v>
      </c>
      <c r="J2655" t="s">
        <v>22</v>
      </c>
      <c r="K2655" t="s">
        <v>477</v>
      </c>
      <c r="L2655" t="s">
        <v>478</v>
      </c>
      <c r="M2655" t="s">
        <v>28</v>
      </c>
      <c r="N2655">
        <v>1</v>
      </c>
      <c r="O2655" t="s">
        <v>142</v>
      </c>
      <c r="P2655" t="s">
        <v>146</v>
      </c>
      <c r="Q2655" t="s">
        <v>30</v>
      </c>
      <c r="R2655" t="str">
        <f>VLOOKUP($O2655,'Mapa Oficinas'!$A$7:$C$46,2,FALSE)</f>
        <v>Zona Norte (GBA)</v>
      </c>
      <c r="S2655" t="str">
        <f>VLOOKUP($O2655,'Mapa Oficinas'!$A$7:$C$46,3,FALSE)</f>
        <v>Nordelta</v>
      </c>
    </row>
    <row r="2656" spans="1:19" x14ac:dyDescent="0.2">
      <c r="A2656" s="1">
        <v>46100</v>
      </c>
      <c r="B2656" t="s">
        <v>459</v>
      </c>
      <c r="D2656" t="s">
        <v>460</v>
      </c>
      <c r="E2656" t="s">
        <v>16</v>
      </c>
      <c r="F2656" t="s">
        <v>17</v>
      </c>
      <c r="G2656" s="14">
        <v>329000</v>
      </c>
      <c r="H2656" s="14">
        <v>330000</v>
      </c>
      <c r="I2656" t="s">
        <v>22</v>
      </c>
      <c r="J2656" t="s">
        <v>22</v>
      </c>
      <c r="K2656" t="s">
        <v>461</v>
      </c>
      <c r="L2656" t="s">
        <v>462</v>
      </c>
      <c r="M2656" t="s">
        <v>19</v>
      </c>
      <c r="N2656">
        <v>2</v>
      </c>
      <c r="O2656" t="s">
        <v>223</v>
      </c>
      <c r="P2656" t="s">
        <v>21</v>
      </c>
      <c r="Q2656" t="s">
        <v>30</v>
      </c>
      <c r="R2656" t="str">
        <f>VLOOKUP($O2656,'Mapa Oficinas'!$A$7:$C$46,2,FALSE)</f>
        <v>Zona Norte (GBA)</v>
      </c>
      <c r="S2656" t="str">
        <f>VLOOKUP($O2656,'Mapa Oficinas'!$A$7:$C$46,3,FALSE)</f>
        <v>San Isidro</v>
      </c>
    </row>
    <row r="2657" spans="1:19" x14ac:dyDescent="0.2">
      <c r="A2657" s="1">
        <v>46101</v>
      </c>
      <c r="B2657" t="s">
        <v>435</v>
      </c>
      <c r="D2657" t="s">
        <v>436</v>
      </c>
      <c r="E2657" t="s">
        <v>16</v>
      </c>
      <c r="F2657" t="s">
        <v>82</v>
      </c>
      <c r="G2657" s="14">
        <v>65000</v>
      </c>
      <c r="H2657" s="14">
        <v>59000</v>
      </c>
      <c r="I2657" t="s">
        <v>22</v>
      </c>
      <c r="J2657" t="s">
        <v>22</v>
      </c>
      <c r="K2657" t="s">
        <v>437</v>
      </c>
      <c r="L2657" t="s">
        <v>438</v>
      </c>
      <c r="M2657" t="s">
        <v>19</v>
      </c>
      <c r="N2657">
        <v>2</v>
      </c>
      <c r="O2657" t="s">
        <v>156</v>
      </c>
      <c r="P2657" t="s">
        <v>21</v>
      </c>
      <c r="Q2657" t="s">
        <v>30</v>
      </c>
      <c r="R2657" t="str">
        <f>VLOOKUP($O2657,'Mapa Oficinas'!$A$7:$C$46,2,FALSE)</f>
        <v>Zona Norte (GBA)</v>
      </c>
      <c r="S2657" t="str">
        <f>VLOOKUP($O2657,'Mapa Oficinas'!$A$7:$C$46,3,FALSE)</f>
        <v>Pilar</v>
      </c>
    </row>
    <row r="2658" spans="1:19" x14ac:dyDescent="0.2">
      <c r="A2658" s="1">
        <v>46101</v>
      </c>
      <c r="B2658" t="s">
        <v>423</v>
      </c>
      <c r="D2658" t="s">
        <v>424</v>
      </c>
      <c r="E2658" t="s">
        <v>16</v>
      </c>
      <c r="F2658" t="s">
        <v>243</v>
      </c>
      <c r="G2658" s="14">
        <v>92500</v>
      </c>
      <c r="H2658" s="14">
        <v>89000</v>
      </c>
      <c r="I2658" t="s">
        <v>22</v>
      </c>
      <c r="J2658" t="s">
        <v>22</v>
      </c>
      <c r="K2658" t="s">
        <v>425</v>
      </c>
      <c r="L2658" t="s">
        <v>426</v>
      </c>
      <c r="M2658" t="s">
        <v>28</v>
      </c>
      <c r="N2658">
        <v>1</v>
      </c>
      <c r="O2658" t="s">
        <v>246</v>
      </c>
      <c r="P2658" t="s">
        <v>66</v>
      </c>
      <c r="Q2658" t="s">
        <v>30</v>
      </c>
      <c r="R2658" t="str">
        <f>VLOOKUP($O2658,'Mapa Oficinas'!$A$7:$C$46,2,FALSE)</f>
        <v>Interior - Salta</v>
      </c>
      <c r="S2658" t="str">
        <f>VLOOKUP($O2658,'Mapa Oficinas'!$A$7:$C$46,3,FALSE)</f>
        <v>San Lorenzo Chico</v>
      </c>
    </row>
    <row r="2659" spans="1:19" x14ac:dyDescent="0.2">
      <c r="A2659" s="1">
        <v>46101</v>
      </c>
      <c r="B2659" t="s">
        <v>414</v>
      </c>
      <c r="D2659" t="s">
        <v>415</v>
      </c>
      <c r="E2659" t="s">
        <v>16</v>
      </c>
      <c r="F2659" t="s">
        <v>47</v>
      </c>
      <c r="G2659" s="14">
        <v>94500</v>
      </c>
      <c r="H2659" s="14">
        <v>90000</v>
      </c>
      <c r="I2659" t="s">
        <v>22</v>
      </c>
      <c r="J2659" t="s">
        <v>22</v>
      </c>
      <c r="K2659" t="s">
        <v>416</v>
      </c>
      <c r="L2659" t="s">
        <v>205</v>
      </c>
      <c r="M2659" t="s">
        <v>19</v>
      </c>
      <c r="N2659">
        <v>2</v>
      </c>
      <c r="O2659" t="s">
        <v>50</v>
      </c>
      <c r="P2659" t="s">
        <v>21</v>
      </c>
      <c r="Q2659" t="s">
        <v>30</v>
      </c>
      <c r="R2659" t="str">
        <f>VLOOKUP($O2659,'Mapa Oficinas'!$A$7:$C$46,2,FALSE)</f>
        <v>CABA</v>
      </c>
      <c r="S2659" t="str">
        <f>VLOOKUP($O2659,'Mapa Oficinas'!$A$7:$C$46,3,FALSE)</f>
        <v>Villa Urquiza</v>
      </c>
    </row>
    <row r="2660" spans="1:19" x14ac:dyDescent="0.2">
      <c r="A2660" s="1">
        <v>46101</v>
      </c>
      <c r="B2660" t="s">
        <v>420</v>
      </c>
      <c r="D2660" t="s">
        <v>421</v>
      </c>
      <c r="E2660" t="s">
        <v>16</v>
      </c>
      <c r="F2660" t="s">
        <v>17</v>
      </c>
      <c r="G2660" s="14">
        <v>93000</v>
      </c>
      <c r="H2660" s="14">
        <v>93000</v>
      </c>
      <c r="I2660" t="s">
        <v>22</v>
      </c>
      <c r="J2660" t="s">
        <v>22</v>
      </c>
      <c r="K2660" t="s">
        <v>422</v>
      </c>
      <c r="L2660" t="s">
        <v>298</v>
      </c>
      <c r="M2660" t="s">
        <v>19</v>
      </c>
      <c r="N2660">
        <v>1</v>
      </c>
      <c r="O2660" t="s">
        <v>252</v>
      </c>
      <c r="P2660" t="s">
        <v>146</v>
      </c>
      <c r="Q2660" t="s">
        <v>30</v>
      </c>
      <c r="R2660" t="str">
        <f>VLOOKUP($O2660,'Mapa Oficinas'!$A$7:$C$46,2,FALSE)</f>
        <v>CABA</v>
      </c>
      <c r="S2660" t="str">
        <f>VLOOKUP($O2660,'Mapa Oficinas'!$A$7:$C$46,3,FALSE)</f>
        <v>Belgrano</v>
      </c>
    </row>
    <row r="2661" spans="1:19" x14ac:dyDescent="0.2">
      <c r="A2661" s="1">
        <v>46101</v>
      </c>
      <c r="B2661" t="s">
        <v>446</v>
      </c>
      <c r="D2661" t="s">
        <v>447</v>
      </c>
      <c r="E2661" t="s">
        <v>16</v>
      </c>
      <c r="F2661" t="s">
        <v>17</v>
      </c>
      <c r="G2661" s="14">
        <v>98000</v>
      </c>
      <c r="H2661" s="14">
        <v>94000</v>
      </c>
      <c r="I2661" t="s">
        <v>22</v>
      </c>
      <c r="J2661" t="s">
        <v>22</v>
      </c>
      <c r="K2661" t="s">
        <v>448</v>
      </c>
      <c r="L2661" t="s">
        <v>449</v>
      </c>
      <c r="M2661" t="s">
        <v>28</v>
      </c>
      <c r="N2661">
        <v>2</v>
      </c>
      <c r="O2661" t="s">
        <v>367</v>
      </c>
      <c r="P2661" t="s">
        <v>21</v>
      </c>
      <c r="Q2661" t="s">
        <v>30</v>
      </c>
      <c r="R2661" t="str">
        <f>VLOOKUP($O2661,'Mapa Oficinas'!$A$7:$C$46,2,FALSE)</f>
        <v>Interior - Neuquén</v>
      </c>
      <c r="S2661" t="str">
        <f>VLOOKUP($O2661,'Mapa Oficinas'!$A$7:$C$46,3,FALSE)</f>
        <v>San Martín de los Andes</v>
      </c>
    </row>
    <row r="2662" spans="1:19" x14ac:dyDescent="0.2">
      <c r="A2662" s="1">
        <v>46101</v>
      </c>
      <c r="B2662" t="s">
        <v>42</v>
      </c>
      <c r="D2662" t="s">
        <v>427</v>
      </c>
      <c r="E2662" t="s">
        <v>16</v>
      </c>
      <c r="F2662" t="s">
        <v>17</v>
      </c>
      <c r="G2662" s="14">
        <v>95000</v>
      </c>
      <c r="H2662" s="14">
        <v>95000</v>
      </c>
      <c r="I2662" t="s">
        <v>22</v>
      </c>
      <c r="J2662" t="s">
        <v>22</v>
      </c>
      <c r="K2662" t="s">
        <v>428</v>
      </c>
      <c r="L2662" t="s">
        <v>34</v>
      </c>
      <c r="M2662" t="s">
        <v>28</v>
      </c>
      <c r="N2662">
        <v>2</v>
      </c>
      <c r="O2662" t="s">
        <v>40</v>
      </c>
      <c r="P2662" t="s">
        <v>44</v>
      </c>
      <c r="Q2662" t="s">
        <v>30</v>
      </c>
      <c r="R2662" t="str">
        <f>VLOOKUP($O2662,'Mapa Oficinas'!$A$7:$C$46,2,FALSE)</f>
        <v>Zona Norte (GBA)</v>
      </c>
      <c r="S2662" t="str">
        <f>VLOOKUP($O2662,'Mapa Oficinas'!$A$7:$C$46,3,FALSE)</f>
        <v>Pilar</v>
      </c>
    </row>
    <row r="2663" spans="1:19" x14ac:dyDescent="0.2">
      <c r="A2663" s="1">
        <v>46101</v>
      </c>
      <c r="B2663" t="s">
        <v>410</v>
      </c>
      <c r="D2663" t="s">
        <v>411</v>
      </c>
      <c r="E2663" t="s">
        <v>16</v>
      </c>
      <c r="F2663" t="s">
        <v>17</v>
      </c>
      <c r="G2663" s="14">
        <v>110000</v>
      </c>
      <c r="H2663" s="14">
        <v>110000</v>
      </c>
      <c r="I2663" t="s">
        <v>22</v>
      </c>
      <c r="J2663" t="s">
        <v>22</v>
      </c>
      <c r="K2663" t="s">
        <v>412</v>
      </c>
      <c r="L2663" t="s">
        <v>413</v>
      </c>
      <c r="M2663" t="s">
        <v>19</v>
      </c>
      <c r="N2663">
        <v>2</v>
      </c>
      <c r="O2663" t="s">
        <v>35</v>
      </c>
      <c r="P2663" t="s">
        <v>21</v>
      </c>
      <c r="Q2663" t="s">
        <v>30</v>
      </c>
      <c r="R2663" t="str">
        <f>VLOOKUP($O2663,'Mapa Oficinas'!$A$7:$C$46,2,FALSE)</f>
        <v>Zona Norte (GBA)</v>
      </c>
      <c r="S2663" t="str">
        <f>VLOOKUP($O2663,'Mapa Oficinas'!$A$7:$C$46,3,FALSE)</f>
        <v>Vicente López</v>
      </c>
    </row>
    <row r="2664" spans="1:19" x14ac:dyDescent="0.2">
      <c r="A2664" s="1">
        <v>46101</v>
      </c>
      <c r="B2664" t="s">
        <v>430</v>
      </c>
      <c r="D2664" t="s">
        <v>431</v>
      </c>
      <c r="E2664" t="s">
        <v>16</v>
      </c>
      <c r="F2664" t="s">
        <v>38</v>
      </c>
      <c r="G2664" s="14">
        <v>165000</v>
      </c>
      <c r="H2664" s="14">
        <v>115000</v>
      </c>
      <c r="I2664" t="s">
        <v>22</v>
      </c>
      <c r="J2664" t="s">
        <v>22</v>
      </c>
      <c r="K2664" t="s">
        <v>432</v>
      </c>
      <c r="L2664" t="s">
        <v>433</v>
      </c>
      <c r="M2664" t="s">
        <v>19</v>
      </c>
      <c r="N2664">
        <v>2</v>
      </c>
      <c r="O2664" t="s">
        <v>40</v>
      </c>
      <c r="P2664" t="s">
        <v>44</v>
      </c>
      <c r="Q2664" t="s">
        <v>30</v>
      </c>
      <c r="R2664" t="str">
        <f>VLOOKUP($O2664,'Mapa Oficinas'!$A$7:$C$46,2,FALSE)</f>
        <v>Zona Norte (GBA)</v>
      </c>
      <c r="S2664" t="str">
        <f>VLOOKUP($O2664,'Mapa Oficinas'!$A$7:$C$46,3,FALSE)</f>
        <v>Pilar</v>
      </c>
    </row>
    <row r="2665" spans="1:19" x14ac:dyDescent="0.2">
      <c r="A2665" s="1">
        <v>46101</v>
      </c>
      <c r="B2665" t="s">
        <v>417</v>
      </c>
      <c r="D2665" t="s">
        <v>418</v>
      </c>
      <c r="E2665" t="s">
        <v>16</v>
      </c>
      <c r="F2665" t="s">
        <v>17</v>
      </c>
      <c r="G2665" s="14">
        <v>152000</v>
      </c>
      <c r="H2665" s="14">
        <v>152000</v>
      </c>
      <c r="I2665" t="s">
        <v>22</v>
      </c>
      <c r="J2665" t="s">
        <v>22</v>
      </c>
      <c r="L2665" t="s">
        <v>419</v>
      </c>
      <c r="M2665" t="s">
        <v>19</v>
      </c>
      <c r="N2665">
        <v>1</v>
      </c>
      <c r="O2665" t="s">
        <v>65</v>
      </c>
      <c r="P2665" t="s">
        <v>131</v>
      </c>
      <c r="Q2665" t="s">
        <v>30</v>
      </c>
      <c r="R2665" t="str">
        <f>VLOOKUP($O2665,'Mapa Oficinas'!$A$7:$C$46,2,FALSE)</f>
        <v>Interior - Mendoza</v>
      </c>
      <c r="S2665" t="str">
        <f>VLOOKUP($O2665,'Mapa Oficinas'!$A$7:$C$46,3,FALSE)</f>
        <v>Capital Mendoza</v>
      </c>
    </row>
    <row r="2666" spans="1:19" x14ac:dyDescent="0.2">
      <c r="A2666" s="1">
        <v>46101</v>
      </c>
      <c r="B2666" t="s">
        <v>407</v>
      </c>
      <c r="D2666" t="s">
        <v>408</v>
      </c>
      <c r="E2666" t="s">
        <v>16</v>
      </c>
      <c r="F2666" t="s">
        <v>17</v>
      </c>
      <c r="G2666" s="14">
        <v>165000</v>
      </c>
      <c r="H2666" s="14">
        <v>160000</v>
      </c>
      <c r="I2666" t="s">
        <v>22</v>
      </c>
      <c r="J2666" t="s">
        <v>22</v>
      </c>
      <c r="K2666" t="s">
        <v>409</v>
      </c>
      <c r="L2666" t="s">
        <v>191</v>
      </c>
      <c r="M2666" t="s">
        <v>19</v>
      </c>
      <c r="N2666">
        <v>2</v>
      </c>
      <c r="O2666" t="s">
        <v>35</v>
      </c>
      <c r="P2666" t="s">
        <v>36</v>
      </c>
      <c r="Q2666" t="s">
        <v>30</v>
      </c>
      <c r="R2666" t="str">
        <f>VLOOKUP($O2666,'Mapa Oficinas'!$A$7:$C$46,2,FALSE)</f>
        <v>Zona Norte (GBA)</v>
      </c>
      <c r="S2666" t="str">
        <f>VLOOKUP($O2666,'Mapa Oficinas'!$A$7:$C$46,3,FALSE)</f>
        <v>Vicente López</v>
      </c>
    </row>
    <row r="2667" spans="1:19" x14ac:dyDescent="0.2">
      <c r="A2667" s="1">
        <v>46101</v>
      </c>
      <c r="B2667" t="s">
        <v>443</v>
      </c>
      <c r="D2667" t="s">
        <v>444</v>
      </c>
      <c r="E2667" t="s">
        <v>16</v>
      </c>
      <c r="F2667" t="s">
        <v>17</v>
      </c>
      <c r="G2667" s="14">
        <v>237000</v>
      </c>
      <c r="H2667" s="14">
        <v>182000</v>
      </c>
      <c r="I2667" t="s">
        <v>22</v>
      </c>
      <c r="J2667" t="s">
        <v>22</v>
      </c>
      <c r="K2667" t="s">
        <v>445</v>
      </c>
      <c r="L2667" t="s">
        <v>102</v>
      </c>
      <c r="M2667" t="s">
        <v>97</v>
      </c>
      <c r="N2667">
        <v>2</v>
      </c>
      <c r="O2667" t="s">
        <v>103</v>
      </c>
      <c r="P2667" t="s">
        <v>21</v>
      </c>
      <c r="Q2667" t="s">
        <v>30</v>
      </c>
      <c r="R2667" t="str">
        <f>VLOOKUP($O2667,'Mapa Oficinas'!$A$7:$C$46,2,FALSE)</f>
        <v>CABA</v>
      </c>
      <c r="S2667" t="str">
        <f>VLOOKUP($O2667,'Mapa Oficinas'!$A$7:$C$46,3,FALSE)</f>
        <v>Barrio Parque</v>
      </c>
    </row>
    <row r="2668" spans="1:19" x14ac:dyDescent="0.2">
      <c r="A2668" s="1">
        <v>46101</v>
      </c>
      <c r="B2668" t="s">
        <v>390</v>
      </c>
      <c r="D2668" t="s">
        <v>391</v>
      </c>
      <c r="E2668" t="s">
        <v>16</v>
      </c>
      <c r="F2668" t="s">
        <v>17</v>
      </c>
      <c r="G2668" s="14">
        <v>210000</v>
      </c>
      <c r="H2668" s="14">
        <v>200000</v>
      </c>
      <c r="I2668" t="s">
        <v>22</v>
      </c>
      <c r="J2668" t="s">
        <v>22</v>
      </c>
      <c r="K2668" t="s">
        <v>392</v>
      </c>
      <c r="L2668" t="s">
        <v>393</v>
      </c>
      <c r="M2668" t="s">
        <v>28</v>
      </c>
      <c r="N2668">
        <v>2</v>
      </c>
      <c r="O2668" t="s">
        <v>223</v>
      </c>
      <c r="P2668" t="s">
        <v>21</v>
      </c>
      <c r="Q2668" t="s">
        <v>30</v>
      </c>
      <c r="R2668" t="str">
        <f>VLOOKUP($O2668,'Mapa Oficinas'!$A$7:$C$46,2,FALSE)</f>
        <v>Zona Norte (GBA)</v>
      </c>
      <c r="S2668" t="str">
        <f>VLOOKUP($O2668,'Mapa Oficinas'!$A$7:$C$46,3,FALSE)</f>
        <v>San Isidro</v>
      </c>
    </row>
    <row r="2669" spans="1:19" x14ac:dyDescent="0.2">
      <c r="A2669" s="1">
        <v>46101</v>
      </c>
      <c r="B2669" t="s">
        <v>395</v>
      </c>
      <c r="D2669" t="s">
        <v>396</v>
      </c>
      <c r="E2669" t="s">
        <v>16</v>
      </c>
      <c r="F2669" t="s">
        <v>17</v>
      </c>
      <c r="G2669" s="14">
        <v>348000</v>
      </c>
      <c r="H2669" s="14">
        <v>310000</v>
      </c>
      <c r="I2669" t="s">
        <v>22</v>
      </c>
      <c r="J2669" t="s">
        <v>22</v>
      </c>
      <c r="K2669" t="s">
        <v>397</v>
      </c>
      <c r="L2669" t="s">
        <v>398</v>
      </c>
      <c r="M2669" t="s">
        <v>28</v>
      </c>
      <c r="N2669">
        <v>2</v>
      </c>
      <c r="O2669" t="s">
        <v>201</v>
      </c>
      <c r="P2669" t="s">
        <v>21</v>
      </c>
      <c r="Q2669" t="s">
        <v>30</v>
      </c>
      <c r="R2669" t="str">
        <f>VLOOKUP($O2669,'Mapa Oficinas'!$A$7:$C$46,2,FALSE)</f>
        <v>CABA</v>
      </c>
      <c r="S2669" t="str">
        <f>VLOOKUP($O2669,'Mapa Oficinas'!$A$7:$C$46,3,FALSE)</f>
        <v>Recoleta</v>
      </c>
    </row>
    <row r="2670" spans="1:19" x14ac:dyDescent="0.2">
      <c r="A2670" s="1">
        <v>46104</v>
      </c>
      <c r="B2670" t="s">
        <v>385</v>
      </c>
      <c r="D2670" t="s">
        <v>386</v>
      </c>
      <c r="E2670" t="s">
        <v>16</v>
      </c>
      <c r="F2670" t="s">
        <v>17</v>
      </c>
      <c r="G2670" s="14">
        <v>230000</v>
      </c>
      <c r="H2670" s="14">
        <v>215000</v>
      </c>
      <c r="I2670" t="s">
        <v>22</v>
      </c>
      <c r="J2670" t="s">
        <v>22</v>
      </c>
      <c r="K2670" t="s">
        <v>387</v>
      </c>
      <c r="L2670" t="s">
        <v>388</v>
      </c>
      <c r="M2670" t="s">
        <v>19</v>
      </c>
      <c r="N2670">
        <v>2</v>
      </c>
      <c r="O2670" t="s">
        <v>142</v>
      </c>
      <c r="P2670" t="s">
        <v>21</v>
      </c>
      <c r="Q2670" t="s">
        <v>30</v>
      </c>
      <c r="R2670" t="str">
        <f>VLOOKUP($O2670,'Mapa Oficinas'!$A$7:$C$46,2,FALSE)</f>
        <v>Zona Norte (GBA)</v>
      </c>
      <c r="S2670" t="str">
        <f>VLOOKUP($O2670,'Mapa Oficinas'!$A$7:$C$46,3,FALSE)</f>
        <v>Nordelta</v>
      </c>
    </row>
    <row r="2671" spans="1:19" x14ac:dyDescent="0.2">
      <c r="A2671" s="1">
        <v>46105</v>
      </c>
      <c r="B2671" t="s">
        <v>381</v>
      </c>
      <c r="D2671" t="s">
        <v>382</v>
      </c>
      <c r="E2671" t="s">
        <v>16</v>
      </c>
      <c r="F2671" t="s">
        <v>47</v>
      </c>
      <c r="G2671" s="14">
        <v>250000</v>
      </c>
      <c r="H2671" s="14">
        <v>95000</v>
      </c>
      <c r="I2671" t="s">
        <v>22</v>
      </c>
      <c r="J2671" t="s">
        <v>22</v>
      </c>
      <c r="K2671" t="s">
        <v>383</v>
      </c>
      <c r="L2671" t="s">
        <v>384</v>
      </c>
      <c r="M2671" t="s">
        <v>28</v>
      </c>
      <c r="N2671">
        <v>1</v>
      </c>
      <c r="O2671" t="s">
        <v>142</v>
      </c>
      <c r="P2671" t="s">
        <v>146</v>
      </c>
      <c r="Q2671" t="s">
        <v>30</v>
      </c>
      <c r="R2671" t="str">
        <f>VLOOKUP($O2671,'Mapa Oficinas'!$A$7:$C$46,2,FALSE)</f>
        <v>Zona Norte (GBA)</v>
      </c>
      <c r="S2671" t="str">
        <f>VLOOKUP($O2671,'Mapa Oficinas'!$A$7:$C$46,3,FALSE)</f>
        <v>Nordelta</v>
      </c>
    </row>
    <row r="2672" spans="1:19" x14ac:dyDescent="0.2">
      <c r="A2672" s="1">
        <v>46105</v>
      </c>
      <c r="B2672" t="s">
        <v>377</v>
      </c>
      <c r="D2672" t="s">
        <v>378</v>
      </c>
      <c r="E2672" t="s">
        <v>16</v>
      </c>
      <c r="F2672" t="s">
        <v>47</v>
      </c>
      <c r="G2672" s="14">
        <v>850</v>
      </c>
      <c r="H2672" s="14">
        <v>215000</v>
      </c>
      <c r="I2672" t="s">
        <v>22</v>
      </c>
      <c r="J2672" t="s">
        <v>22</v>
      </c>
      <c r="K2672" t="s">
        <v>379</v>
      </c>
      <c r="L2672" t="s">
        <v>380</v>
      </c>
      <c r="M2672" t="s">
        <v>19</v>
      </c>
      <c r="N2672">
        <v>1</v>
      </c>
      <c r="O2672" t="s">
        <v>142</v>
      </c>
      <c r="P2672" t="s">
        <v>146</v>
      </c>
      <c r="Q2672" t="s">
        <v>30</v>
      </c>
      <c r="R2672" t="str">
        <f>VLOOKUP($O2672,'Mapa Oficinas'!$A$7:$C$46,2,FALSE)</f>
        <v>Zona Norte (GBA)</v>
      </c>
      <c r="S2672" t="str">
        <f>VLOOKUP($O2672,'Mapa Oficinas'!$A$7:$C$46,3,FALSE)</f>
        <v>Nordelta</v>
      </c>
    </row>
    <row r="2673" spans="1:19" x14ac:dyDescent="0.2">
      <c r="A2673" s="1">
        <v>46106</v>
      </c>
      <c r="B2673" t="s">
        <v>345</v>
      </c>
      <c r="D2673" t="s">
        <v>346</v>
      </c>
      <c r="E2673" t="s">
        <v>16</v>
      </c>
      <c r="F2673" t="s">
        <v>17</v>
      </c>
      <c r="G2673" s="14">
        <v>52000</v>
      </c>
      <c r="H2673" s="14">
        <v>46000</v>
      </c>
      <c r="I2673" t="s">
        <v>22</v>
      </c>
      <c r="J2673" t="s">
        <v>22</v>
      </c>
      <c r="K2673" t="s">
        <v>347</v>
      </c>
      <c r="L2673" t="s">
        <v>191</v>
      </c>
      <c r="M2673" t="s">
        <v>19</v>
      </c>
      <c r="N2673">
        <v>2</v>
      </c>
      <c r="O2673" t="s">
        <v>73</v>
      </c>
      <c r="P2673" t="s">
        <v>41</v>
      </c>
      <c r="Q2673" t="s">
        <v>30</v>
      </c>
      <c r="R2673" t="str">
        <f>VLOOKUP($O2673,'Mapa Oficinas'!$A$7:$C$46,2,FALSE)</f>
        <v>CABA</v>
      </c>
      <c r="S2673" t="str">
        <f>VLOOKUP($O2673,'Mapa Oficinas'!$A$7:$C$46,3,FALSE)</f>
        <v>Recoleta</v>
      </c>
    </row>
    <row r="2674" spans="1:19" x14ac:dyDescent="0.2">
      <c r="A2674" s="1">
        <v>46106</v>
      </c>
      <c r="B2674" t="s">
        <v>331</v>
      </c>
      <c r="D2674" t="s">
        <v>332</v>
      </c>
      <c r="E2674" t="s">
        <v>16</v>
      </c>
      <c r="F2674" t="s">
        <v>17</v>
      </c>
      <c r="G2674" s="14">
        <v>59900</v>
      </c>
      <c r="H2674" s="14">
        <v>52000</v>
      </c>
      <c r="I2674" t="s">
        <v>22</v>
      </c>
      <c r="J2674" t="s">
        <v>22</v>
      </c>
      <c r="K2674" t="s">
        <v>333</v>
      </c>
      <c r="L2674" t="s">
        <v>79</v>
      </c>
      <c r="M2674" t="s">
        <v>19</v>
      </c>
      <c r="N2674">
        <v>2</v>
      </c>
      <c r="O2674" t="s">
        <v>198</v>
      </c>
      <c r="P2674" t="s">
        <v>276</v>
      </c>
      <c r="Q2674" t="s">
        <v>30</v>
      </c>
      <c r="R2674" t="str">
        <f>VLOOKUP($O2674,'Mapa Oficinas'!$A$7:$C$46,2,FALSE)</f>
        <v>CABA</v>
      </c>
      <c r="S2674" t="str">
        <f>VLOOKUP($O2674,'Mapa Oficinas'!$A$7:$C$46,3,FALSE)</f>
        <v>Caballito</v>
      </c>
    </row>
    <row r="2675" spans="1:19" x14ac:dyDescent="0.2">
      <c r="A2675" s="1">
        <v>46106</v>
      </c>
      <c r="B2675" t="s">
        <v>356</v>
      </c>
      <c r="D2675" t="s">
        <v>357</v>
      </c>
      <c r="E2675" t="s">
        <v>16</v>
      </c>
      <c r="F2675" t="s">
        <v>47</v>
      </c>
      <c r="G2675" s="14">
        <v>55000</v>
      </c>
      <c r="H2675" s="14">
        <v>55000</v>
      </c>
      <c r="I2675" t="s">
        <v>22</v>
      </c>
      <c r="J2675" t="s">
        <v>22</v>
      </c>
      <c r="L2675" t="s">
        <v>358</v>
      </c>
      <c r="M2675" t="s">
        <v>97</v>
      </c>
      <c r="N2675">
        <v>2</v>
      </c>
      <c r="O2675" t="s">
        <v>359</v>
      </c>
      <c r="P2675" t="s">
        <v>21</v>
      </c>
      <c r="Q2675" t="s">
        <v>30</v>
      </c>
      <c r="R2675" t="str">
        <f>VLOOKUP($O2675,'Mapa Oficinas'!$A$7:$C$46,2,FALSE)</f>
        <v>CABA</v>
      </c>
      <c r="S2675" t="str">
        <f>VLOOKUP($O2675,'Mapa Oficinas'!$A$7:$C$46,3,FALSE)</f>
        <v>Palermo</v>
      </c>
    </row>
    <row r="2676" spans="1:19" x14ac:dyDescent="0.2">
      <c r="A2676" s="1">
        <v>46106</v>
      </c>
      <c r="B2676" t="s">
        <v>338</v>
      </c>
      <c r="D2676" t="s">
        <v>339</v>
      </c>
      <c r="E2676" t="s">
        <v>16</v>
      </c>
      <c r="F2676" t="s">
        <v>17</v>
      </c>
      <c r="G2676" s="14">
        <v>69000</v>
      </c>
      <c r="H2676" s="14">
        <v>65000</v>
      </c>
      <c r="I2676" t="s">
        <v>22</v>
      </c>
      <c r="J2676" t="s">
        <v>22</v>
      </c>
      <c r="K2676" t="s">
        <v>340</v>
      </c>
      <c r="L2676" t="s">
        <v>341</v>
      </c>
      <c r="M2676" t="s">
        <v>19</v>
      </c>
      <c r="N2676">
        <v>2</v>
      </c>
      <c r="O2676" t="s">
        <v>35</v>
      </c>
      <c r="P2676" t="s">
        <v>21</v>
      </c>
      <c r="Q2676" t="s">
        <v>30</v>
      </c>
      <c r="R2676" t="str">
        <f>VLOOKUP($O2676,'Mapa Oficinas'!$A$7:$C$46,2,FALSE)</f>
        <v>Zona Norte (GBA)</v>
      </c>
      <c r="S2676" t="str">
        <f>VLOOKUP($O2676,'Mapa Oficinas'!$A$7:$C$46,3,FALSE)</f>
        <v>Vicente López</v>
      </c>
    </row>
    <row r="2677" spans="1:19" x14ac:dyDescent="0.2">
      <c r="A2677" s="1">
        <v>46106</v>
      </c>
      <c r="B2677" t="s">
        <v>342</v>
      </c>
      <c r="D2677" t="s">
        <v>343</v>
      </c>
      <c r="E2677" t="s">
        <v>16</v>
      </c>
      <c r="F2677" t="s">
        <v>17</v>
      </c>
      <c r="G2677" s="14">
        <v>75000</v>
      </c>
      <c r="H2677" s="14">
        <v>70000</v>
      </c>
      <c r="I2677" t="s">
        <v>22</v>
      </c>
      <c r="J2677" t="s">
        <v>22</v>
      </c>
      <c r="K2677" t="s">
        <v>344</v>
      </c>
      <c r="L2677" t="s">
        <v>282</v>
      </c>
      <c r="M2677" t="s">
        <v>19</v>
      </c>
      <c r="N2677">
        <v>2</v>
      </c>
      <c r="O2677" t="s">
        <v>35</v>
      </c>
      <c r="P2677" t="s">
        <v>21</v>
      </c>
      <c r="Q2677" t="s">
        <v>30</v>
      </c>
      <c r="R2677" t="str">
        <f>VLOOKUP($O2677,'Mapa Oficinas'!$A$7:$C$46,2,FALSE)</f>
        <v>Zona Norte (GBA)</v>
      </c>
      <c r="S2677" t="str">
        <f>VLOOKUP($O2677,'Mapa Oficinas'!$A$7:$C$46,3,FALSE)</f>
        <v>Vicente López</v>
      </c>
    </row>
    <row r="2678" spans="1:19" x14ac:dyDescent="0.2">
      <c r="A2678" s="1">
        <v>46106</v>
      </c>
      <c r="B2678" t="s">
        <v>363</v>
      </c>
      <c r="D2678" t="s">
        <v>364</v>
      </c>
      <c r="E2678" t="s">
        <v>16</v>
      </c>
      <c r="F2678" t="s">
        <v>38</v>
      </c>
      <c r="G2678" s="14">
        <v>79000</v>
      </c>
      <c r="H2678" s="14">
        <v>79000</v>
      </c>
      <c r="I2678" t="s">
        <v>22</v>
      </c>
      <c r="J2678" t="s">
        <v>22</v>
      </c>
      <c r="K2678" t="s">
        <v>365</v>
      </c>
      <c r="L2678" t="s">
        <v>164</v>
      </c>
      <c r="M2678" t="s">
        <v>19</v>
      </c>
      <c r="N2678">
        <v>1</v>
      </c>
      <c r="O2678" t="s">
        <v>261</v>
      </c>
      <c r="P2678" t="s">
        <v>146</v>
      </c>
      <c r="Q2678" t="s">
        <v>30</v>
      </c>
      <c r="R2678" t="str">
        <f>VLOOKUP($O2678,'Mapa Oficinas'!$A$7:$C$46,2,FALSE)</f>
        <v>CABA</v>
      </c>
      <c r="S2678" t="str">
        <f>VLOOKUP($O2678,'Mapa Oficinas'!$A$7:$C$46,3,FALSE)</f>
        <v>Núñez</v>
      </c>
    </row>
    <row r="2679" spans="1:19" x14ac:dyDescent="0.2">
      <c r="A2679" s="1">
        <v>46106</v>
      </c>
      <c r="B2679" t="s">
        <v>351</v>
      </c>
      <c r="D2679" t="s">
        <v>352</v>
      </c>
      <c r="E2679" t="s">
        <v>16</v>
      </c>
      <c r="F2679" t="s">
        <v>53</v>
      </c>
      <c r="G2679" s="14">
        <v>85000</v>
      </c>
      <c r="H2679" s="14">
        <v>85000</v>
      </c>
      <c r="I2679" t="s">
        <v>22</v>
      </c>
      <c r="J2679" t="s">
        <v>22</v>
      </c>
      <c r="K2679" t="s">
        <v>353</v>
      </c>
      <c r="L2679" t="s">
        <v>354</v>
      </c>
      <c r="M2679" t="s">
        <v>97</v>
      </c>
      <c r="N2679">
        <v>2</v>
      </c>
      <c r="O2679" t="s">
        <v>246</v>
      </c>
      <c r="P2679" t="s">
        <v>21</v>
      </c>
      <c r="Q2679" t="s">
        <v>30</v>
      </c>
      <c r="R2679" t="str">
        <f>VLOOKUP($O2679,'Mapa Oficinas'!$A$7:$C$46,2,FALSE)</f>
        <v>Interior - Salta</v>
      </c>
      <c r="S2679" t="str">
        <f>VLOOKUP($O2679,'Mapa Oficinas'!$A$7:$C$46,3,FALSE)</f>
        <v>San Lorenzo Chico</v>
      </c>
    </row>
    <row r="2680" spans="1:19" x14ac:dyDescent="0.2">
      <c r="A2680" s="1">
        <v>46106</v>
      </c>
      <c r="B2680" t="s">
        <v>360</v>
      </c>
      <c r="D2680" t="s">
        <v>361</v>
      </c>
      <c r="E2680" t="s">
        <v>16</v>
      </c>
      <c r="F2680" t="s">
        <v>17</v>
      </c>
      <c r="G2680" s="14">
        <v>93000</v>
      </c>
      <c r="H2680" s="14">
        <v>90000</v>
      </c>
      <c r="I2680" t="s">
        <v>22</v>
      </c>
      <c r="J2680" t="s">
        <v>22</v>
      </c>
      <c r="K2680" t="s">
        <v>362</v>
      </c>
      <c r="L2680" t="s">
        <v>102</v>
      </c>
      <c r="M2680" t="s">
        <v>19</v>
      </c>
      <c r="N2680">
        <v>2</v>
      </c>
      <c r="O2680" t="s">
        <v>206</v>
      </c>
      <c r="P2680" t="s">
        <v>21</v>
      </c>
      <c r="Q2680" t="s">
        <v>30</v>
      </c>
      <c r="R2680" t="str">
        <f>VLOOKUP($O2680,'Mapa Oficinas'!$A$7:$C$46,2,FALSE)</f>
        <v>CABA</v>
      </c>
      <c r="S2680" t="str">
        <f>VLOOKUP($O2680,'Mapa Oficinas'!$A$7:$C$46,3,FALSE)</f>
        <v>Belgrano</v>
      </c>
    </row>
    <row r="2681" spans="1:19" x14ac:dyDescent="0.2">
      <c r="A2681" s="1">
        <v>46106</v>
      </c>
      <c r="B2681" t="s">
        <v>334</v>
      </c>
      <c r="D2681" t="s">
        <v>335</v>
      </c>
      <c r="E2681" t="s">
        <v>16</v>
      </c>
      <c r="F2681" t="s">
        <v>17</v>
      </c>
      <c r="G2681" s="14">
        <v>110000</v>
      </c>
      <c r="H2681" s="14">
        <v>105000</v>
      </c>
      <c r="I2681" t="s">
        <v>22</v>
      </c>
      <c r="J2681" t="s">
        <v>22</v>
      </c>
      <c r="K2681" t="s">
        <v>336</v>
      </c>
      <c r="L2681" t="s">
        <v>337</v>
      </c>
      <c r="M2681" t="s">
        <v>28</v>
      </c>
      <c r="N2681">
        <v>1</v>
      </c>
      <c r="O2681" t="s">
        <v>55</v>
      </c>
      <c r="P2681" t="s">
        <v>131</v>
      </c>
      <c r="Q2681" t="s">
        <v>30</v>
      </c>
      <c r="R2681" t="str">
        <f>VLOOKUP($O2681,'Mapa Oficinas'!$A$7:$C$46,2,FALSE)</f>
        <v>Interior - Santa Fe</v>
      </c>
      <c r="S2681" t="str">
        <f>VLOOKUP($O2681,'Mapa Oficinas'!$A$7:$C$46,3,FALSE)</f>
        <v>Capital Santa Fe</v>
      </c>
    </row>
    <row r="2682" spans="1:19" x14ac:dyDescent="0.2">
      <c r="A2682" s="1">
        <v>46106</v>
      </c>
      <c r="B2682" t="s">
        <v>368</v>
      </c>
      <c r="D2682" t="s">
        <v>369</v>
      </c>
      <c r="E2682" t="s">
        <v>16</v>
      </c>
      <c r="F2682" t="s">
        <v>17</v>
      </c>
      <c r="G2682" s="14">
        <v>114900</v>
      </c>
      <c r="H2682" s="14">
        <v>112500</v>
      </c>
      <c r="I2682" t="s">
        <v>22</v>
      </c>
      <c r="J2682" t="s">
        <v>22</v>
      </c>
      <c r="K2682" t="s">
        <v>370</v>
      </c>
      <c r="L2682" t="s">
        <v>37</v>
      </c>
      <c r="M2682" t="s">
        <v>19</v>
      </c>
      <c r="N2682">
        <v>2</v>
      </c>
      <c r="O2682" t="s">
        <v>20</v>
      </c>
      <c r="P2682" t="s">
        <v>276</v>
      </c>
      <c r="Q2682" t="s">
        <v>30</v>
      </c>
      <c r="R2682" t="str">
        <f>VLOOKUP($O2682,'Mapa Oficinas'!$A$7:$C$46,2,FALSE)</f>
        <v>CABA</v>
      </c>
      <c r="S2682" t="str">
        <f>VLOOKUP($O2682,'Mapa Oficinas'!$A$7:$C$46,3,FALSE)</f>
        <v>Palermo</v>
      </c>
    </row>
    <row r="2683" spans="1:19" x14ac:dyDescent="0.2">
      <c r="A2683" s="1">
        <v>46106</v>
      </c>
      <c r="B2683" t="s">
        <v>371</v>
      </c>
      <c r="D2683" t="s">
        <v>372</v>
      </c>
      <c r="E2683" t="s">
        <v>16</v>
      </c>
      <c r="F2683" t="s">
        <v>82</v>
      </c>
      <c r="G2683" s="14">
        <v>165000</v>
      </c>
      <c r="H2683" s="14">
        <v>145000</v>
      </c>
      <c r="I2683" t="s">
        <v>22</v>
      </c>
      <c r="J2683" t="s">
        <v>22</v>
      </c>
      <c r="K2683" t="s">
        <v>373</v>
      </c>
      <c r="L2683" t="s">
        <v>205</v>
      </c>
      <c r="M2683" t="s">
        <v>19</v>
      </c>
      <c r="N2683">
        <v>2</v>
      </c>
      <c r="O2683" t="s">
        <v>116</v>
      </c>
      <c r="P2683" t="s">
        <v>21</v>
      </c>
      <c r="Q2683" t="s">
        <v>30</v>
      </c>
      <c r="R2683" t="str">
        <f>VLOOKUP($O2683,'Mapa Oficinas'!$A$7:$C$46,2,FALSE)</f>
        <v>CABA</v>
      </c>
      <c r="S2683" t="str">
        <f>VLOOKUP($O2683,'Mapa Oficinas'!$A$7:$C$46,3,FALSE)</f>
        <v>Puerto Madero</v>
      </c>
    </row>
    <row r="2684" spans="1:19" x14ac:dyDescent="0.2">
      <c r="A2684" s="1">
        <v>46106</v>
      </c>
      <c r="B2684" t="s">
        <v>348</v>
      </c>
      <c r="D2684" t="s">
        <v>349</v>
      </c>
      <c r="E2684" t="s">
        <v>16</v>
      </c>
      <c r="F2684" t="s">
        <v>17</v>
      </c>
      <c r="G2684" s="14">
        <v>99000</v>
      </c>
      <c r="H2684" s="14">
        <v>160000</v>
      </c>
      <c r="I2684" t="s">
        <v>22</v>
      </c>
      <c r="J2684" t="s">
        <v>22</v>
      </c>
      <c r="K2684" t="s">
        <v>350</v>
      </c>
      <c r="L2684" t="s">
        <v>205</v>
      </c>
      <c r="M2684" t="s">
        <v>19</v>
      </c>
      <c r="N2684">
        <v>2</v>
      </c>
      <c r="O2684" t="s">
        <v>142</v>
      </c>
      <c r="P2684" t="s">
        <v>41</v>
      </c>
      <c r="Q2684" t="s">
        <v>30</v>
      </c>
      <c r="R2684" t="str">
        <f>VLOOKUP($O2684,'Mapa Oficinas'!$A$7:$C$46,2,FALSE)</f>
        <v>Zona Norte (GBA)</v>
      </c>
      <c r="S2684" t="str">
        <f>VLOOKUP($O2684,'Mapa Oficinas'!$A$7:$C$46,3,FALSE)</f>
        <v>Nordelta</v>
      </c>
    </row>
    <row r="2685" spans="1:19" x14ac:dyDescent="0.2">
      <c r="A2685" s="1">
        <v>46107</v>
      </c>
      <c r="B2685" t="s">
        <v>288</v>
      </c>
      <c r="D2685" t="s">
        <v>289</v>
      </c>
      <c r="E2685" t="s">
        <v>16</v>
      </c>
      <c r="F2685" t="s">
        <v>17</v>
      </c>
      <c r="G2685" s="14">
        <v>67000</v>
      </c>
      <c r="H2685" s="14">
        <v>58000</v>
      </c>
      <c r="I2685" t="s">
        <v>22</v>
      </c>
      <c r="J2685" t="s">
        <v>22</v>
      </c>
      <c r="K2685" t="s">
        <v>290</v>
      </c>
      <c r="L2685" t="s">
        <v>291</v>
      </c>
      <c r="N2685">
        <v>2</v>
      </c>
      <c r="O2685" t="s">
        <v>201</v>
      </c>
      <c r="P2685" t="s">
        <v>21</v>
      </c>
      <c r="Q2685" t="s">
        <v>30</v>
      </c>
      <c r="R2685" t="str">
        <f>VLOOKUP($O2685,'Mapa Oficinas'!$A$7:$C$46,2,FALSE)</f>
        <v>CABA</v>
      </c>
      <c r="S2685" t="str">
        <f>VLOOKUP($O2685,'Mapa Oficinas'!$A$7:$C$46,3,FALSE)</f>
        <v>Recoleta</v>
      </c>
    </row>
    <row r="2686" spans="1:19" x14ac:dyDescent="0.2">
      <c r="A2686" s="1">
        <v>46107</v>
      </c>
      <c r="B2686" t="s">
        <v>301</v>
      </c>
      <c r="D2686" t="s">
        <v>302</v>
      </c>
      <c r="E2686" t="s">
        <v>16</v>
      </c>
      <c r="F2686" t="s">
        <v>17</v>
      </c>
      <c r="G2686" s="14">
        <v>75000</v>
      </c>
      <c r="H2686" s="14">
        <v>71500</v>
      </c>
      <c r="I2686" t="s">
        <v>22</v>
      </c>
      <c r="J2686" t="s">
        <v>22</v>
      </c>
      <c r="K2686" t="s">
        <v>303</v>
      </c>
      <c r="L2686" t="s">
        <v>71</v>
      </c>
      <c r="M2686" t="s">
        <v>19</v>
      </c>
      <c r="N2686">
        <v>2</v>
      </c>
      <c r="O2686" t="s">
        <v>73</v>
      </c>
      <c r="P2686" t="s">
        <v>276</v>
      </c>
      <c r="Q2686" t="s">
        <v>30</v>
      </c>
      <c r="R2686" t="str">
        <f>VLOOKUP($O2686,'Mapa Oficinas'!$A$7:$C$46,2,FALSE)</f>
        <v>CABA</v>
      </c>
      <c r="S2686" t="str">
        <f>VLOOKUP($O2686,'Mapa Oficinas'!$A$7:$C$46,3,FALSE)</f>
        <v>Recoleta</v>
      </c>
    </row>
    <row r="2687" spans="1:19" x14ac:dyDescent="0.2">
      <c r="A2687" s="1">
        <v>46107</v>
      </c>
      <c r="B2687" t="s">
        <v>319</v>
      </c>
      <c r="D2687" t="s">
        <v>319</v>
      </c>
      <c r="E2687" t="s">
        <v>16</v>
      </c>
      <c r="F2687" t="s">
        <v>17</v>
      </c>
      <c r="G2687" s="14">
        <v>72500</v>
      </c>
      <c r="H2687" s="14">
        <v>72500</v>
      </c>
      <c r="I2687" t="s">
        <v>22</v>
      </c>
      <c r="J2687" t="s">
        <v>22</v>
      </c>
      <c r="L2687" t="s">
        <v>308</v>
      </c>
      <c r="M2687" t="s">
        <v>28</v>
      </c>
      <c r="N2687">
        <v>1</v>
      </c>
      <c r="O2687" t="s">
        <v>171</v>
      </c>
      <c r="P2687" t="s">
        <v>66</v>
      </c>
      <c r="Q2687" t="s">
        <v>30</v>
      </c>
      <c r="R2687" t="str">
        <f>VLOOKUP($O2687,'Mapa Oficinas'!$A$7:$C$46,2,FALSE)</f>
        <v>Zona Sur (GBA)</v>
      </c>
      <c r="S2687" t="str">
        <f>VLOOKUP($O2687,'Mapa Oficinas'!$A$7:$C$46,3,FALSE)</f>
        <v>La Plata</v>
      </c>
    </row>
    <row r="2688" spans="1:19" x14ac:dyDescent="0.2">
      <c r="A2688" s="1">
        <v>46107</v>
      </c>
      <c r="B2688" t="s">
        <v>295</v>
      </c>
      <c r="D2688" t="s">
        <v>296</v>
      </c>
      <c r="E2688" t="s">
        <v>16</v>
      </c>
      <c r="F2688" t="s">
        <v>17</v>
      </c>
      <c r="G2688" s="14">
        <v>79000</v>
      </c>
      <c r="H2688" s="14">
        <v>73500</v>
      </c>
      <c r="I2688" t="s">
        <v>22</v>
      </c>
      <c r="J2688" t="s">
        <v>22</v>
      </c>
      <c r="K2688" t="s">
        <v>297</v>
      </c>
      <c r="L2688" t="s">
        <v>298</v>
      </c>
      <c r="M2688" t="s">
        <v>19</v>
      </c>
      <c r="N2688">
        <v>2</v>
      </c>
      <c r="O2688" t="s">
        <v>73</v>
      </c>
      <c r="P2688" t="s">
        <v>21</v>
      </c>
      <c r="Q2688" t="s">
        <v>30</v>
      </c>
      <c r="R2688" t="str">
        <f>VLOOKUP($O2688,'Mapa Oficinas'!$A$7:$C$46,2,FALSE)</f>
        <v>CABA</v>
      </c>
      <c r="S2688" t="str">
        <f>VLOOKUP($O2688,'Mapa Oficinas'!$A$7:$C$46,3,FALSE)</f>
        <v>Recoleta</v>
      </c>
    </row>
    <row r="2689" spans="1:19" x14ac:dyDescent="0.2">
      <c r="A2689" s="1">
        <v>46107</v>
      </c>
      <c r="B2689" t="s">
        <v>292</v>
      </c>
      <c r="D2689" t="s">
        <v>293</v>
      </c>
      <c r="E2689" t="s">
        <v>16</v>
      </c>
      <c r="F2689" t="s">
        <v>134</v>
      </c>
      <c r="G2689" s="14">
        <v>99094</v>
      </c>
      <c r="H2689" s="14">
        <v>98916</v>
      </c>
      <c r="I2689" t="s">
        <v>22</v>
      </c>
      <c r="J2689" t="s">
        <v>22</v>
      </c>
      <c r="K2689" t="s">
        <v>294</v>
      </c>
      <c r="L2689" t="s">
        <v>136</v>
      </c>
      <c r="M2689" t="s">
        <v>19</v>
      </c>
      <c r="N2689">
        <v>2</v>
      </c>
      <c r="O2689" t="s">
        <v>130</v>
      </c>
      <c r="P2689" t="s">
        <v>21</v>
      </c>
      <c r="Q2689" t="s">
        <v>30</v>
      </c>
      <c r="R2689" t="str">
        <f>VLOOKUP($O2689,'Mapa Oficinas'!$A$7:$C$46,2,FALSE)</f>
        <v>Interior - Río Negro</v>
      </c>
      <c r="S2689" t="str">
        <f>VLOOKUP($O2689,'Mapa Oficinas'!$A$7:$C$46,3,FALSE)</f>
        <v>Bariloche</v>
      </c>
    </row>
    <row r="2690" spans="1:19" x14ac:dyDescent="0.2">
      <c r="A2690" s="1">
        <v>46107</v>
      </c>
      <c r="B2690" t="s">
        <v>315</v>
      </c>
      <c r="D2690" t="s">
        <v>316</v>
      </c>
      <c r="E2690" t="s">
        <v>16</v>
      </c>
      <c r="F2690" t="s">
        <v>17</v>
      </c>
      <c r="G2690" s="14">
        <v>104000</v>
      </c>
      <c r="H2690" s="14">
        <v>100000</v>
      </c>
      <c r="I2690" t="s">
        <v>22</v>
      </c>
      <c r="J2690" t="s">
        <v>22</v>
      </c>
      <c r="K2690" t="s">
        <v>317</v>
      </c>
      <c r="L2690" t="s">
        <v>318</v>
      </c>
      <c r="M2690" t="s">
        <v>19</v>
      </c>
      <c r="N2690">
        <v>2</v>
      </c>
      <c r="O2690" t="s">
        <v>103</v>
      </c>
      <c r="P2690" t="s">
        <v>276</v>
      </c>
      <c r="Q2690" t="s">
        <v>30</v>
      </c>
      <c r="R2690" t="str">
        <f>VLOOKUP($O2690,'Mapa Oficinas'!$A$7:$C$46,2,FALSE)</f>
        <v>CABA</v>
      </c>
      <c r="S2690" t="str">
        <f>VLOOKUP($O2690,'Mapa Oficinas'!$A$7:$C$46,3,FALSE)</f>
        <v>Barrio Parque</v>
      </c>
    </row>
    <row r="2691" spans="1:19" x14ac:dyDescent="0.2">
      <c r="A2691" s="1">
        <v>46107</v>
      </c>
      <c r="B2691" t="s">
        <v>304</v>
      </c>
      <c r="D2691" t="s">
        <v>305</v>
      </c>
      <c r="E2691" t="s">
        <v>16</v>
      </c>
      <c r="F2691" t="s">
        <v>134</v>
      </c>
      <c r="G2691" s="14">
        <v>117000</v>
      </c>
      <c r="H2691" s="14">
        <v>111500</v>
      </c>
      <c r="I2691" t="s">
        <v>22</v>
      </c>
      <c r="J2691" t="s">
        <v>22</v>
      </c>
      <c r="K2691" t="s">
        <v>306</v>
      </c>
      <c r="L2691" t="s">
        <v>307</v>
      </c>
      <c r="M2691" t="s">
        <v>72</v>
      </c>
      <c r="N2691">
        <v>2</v>
      </c>
      <c r="O2691" t="s">
        <v>130</v>
      </c>
      <c r="P2691" t="s">
        <v>21</v>
      </c>
      <c r="Q2691" t="s">
        <v>30</v>
      </c>
      <c r="R2691" t="str">
        <f>VLOOKUP($O2691,'Mapa Oficinas'!$A$7:$C$46,2,FALSE)</f>
        <v>Interior - Río Negro</v>
      </c>
      <c r="S2691" t="str">
        <f>VLOOKUP($O2691,'Mapa Oficinas'!$A$7:$C$46,3,FALSE)</f>
        <v>Bariloche</v>
      </c>
    </row>
    <row r="2692" spans="1:19" x14ac:dyDescent="0.2">
      <c r="A2692" s="1">
        <v>46107</v>
      </c>
      <c r="B2692" t="s">
        <v>323</v>
      </c>
      <c r="D2692" t="s">
        <v>324</v>
      </c>
      <c r="E2692" t="s">
        <v>16</v>
      </c>
      <c r="F2692" t="s">
        <v>17</v>
      </c>
      <c r="G2692" s="14">
        <v>143000</v>
      </c>
      <c r="H2692" s="14">
        <v>132000</v>
      </c>
      <c r="I2692" t="s">
        <v>22</v>
      </c>
      <c r="J2692" t="s">
        <v>22</v>
      </c>
      <c r="K2692" t="s">
        <v>325</v>
      </c>
      <c r="L2692" t="s">
        <v>326</v>
      </c>
      <c r="M2692" t="s">
        <v>19</v>
      </c>
      <c r="N2692">
        <v>2</v>
      </c>
      <c r="O2692" t="s">
        <v>98</v>
      </c>
      <c r="P2692" t="s">
        <v>41</v>
      </c>
      <c r="Q2692" t="s">
        <v>30</v>
      </c>
      <c r="R2692" t="str">
        <f>VLOOKUP($O2692,'Mapa Oficinas'!$A$7:$C$46,2,FALSE)</f>
        <v>Interior - Neuquén</v>
      </c>
      <c r="S2692" t="str">
        <f>VLOOKUP($O2692,'Mapa Oficinas'!$A$7:$C$46,3,FALSE)</f>
        <v>Villa La Angostura</v>
      </c>
    </row>
    <row r="2693" spans="1:19" x14ac:dyDescent="0.2">
      <c r="A2693" s="1">
        <v>46107</v>
      </c>
      <c r="B2693" t="s">
        <v>320</v>
      </c>
      <c r="D2693" t="s">
        <v>321</v>
      </c>
      <c r="E2693" t="s">
        <v>16</v>
      </c>
      <c r="F2693" t="s">
        <v>47</v>
      </c>
      <c r="G2693" s="14">
        <v>150000</v>
      </c>
      <c r="H2693" s="14">
        <v>148600</v>
      </c>
      <c r="I2693" t="s">
        <v>22</v>
      </c>
      <c r="J2693" t="s">
        <v>22</v>
      </c>
      <c r="K2693" t="s">
        <v>322</v>
      </c>
      <c r="L2693" t="s">
        <v>260</v>
      </c>
      <c r="M2693" t="s">
        <v>28</v>
      </c>
      <c r="N2693">
        <v>2</v>
      </c>
      <c r="O2693" t="s">
        <v>98</v>
      </c>
      <c r="P2693" t="s">
        <v>21</v>
      </c>
      <c r="Q2693" t="s">
        <v>30</v>
      </c>
      <c r="R2693" t="str">
        <f>VLOOKUP($O2693,'Mapa Oficinas'!$A$7:$C$46,2,FALSE)</f>
        <v>Interior - Neuquén</v>
      </c>
      <c r="S2693" t="str">
        <f>VLOOKUP($O2693,'Mapa Oficinas'!$A$7:$C$46,3,FALSE)</f>
        <v>Villa La Angostura</v>
      </c>
    </row>
    <row r="2694" spans="1:19" x14ac:dyDescent="0.2">
      <c r="A2694" s="1">
        <v>46107</v>
      </c>
      <c r="B2694">
        <v>10699</v>
      </c>
      <c r="D2694" t="s">
        <v>314</v>
      </c>
      <c r="E2694" t="s">
        <v>16</v>
      </c>
      <c r="F2694" t="s">
        <v>17</v>
      </c>
      <c r="G2694" s="14">
        <v>160000</v>
      </c>
      <c r="H2694" s="14">
        <v>160000</v>
      </c>
      <c r="I2694" t="s">
        <v>22</v>
      </c>
      <c r="J2694" t="s">
        <v>22</v>
      </c>
      <c r="K2694" t="s">
        <v>314</v>
      </c>
      <c r="L2694" t="s">
        <v>191</v>
      </c>
      <c r="M2694" t="s">
        <v>19</v>
      </c>
      <c r="N2694">
        <v>2</v>
      </c>
      <c r="O2694" t="s">
        <v>103</v>
      </c>
      <c r="P2694" t="s">
        <v>36</v>
      </c>
      <c r="Q2694" t="s">
        <v>30</v>
      </c>
      <c r="R2694" t="str">
        <f>VLOOKUP($O2694,'Mapa Oficinas'!$A$7:$C$46,2,FALSE)</f>
        <v>CABA</v>
      </c>
      <c r="S2694" t="str">
        <f>VLOOKUP($O2694,'Mapa Oficinas'!$A$7:$C$46,3,FALSE)</f>
        <v>Barrio Parque</v>
      </c>
    </row>
    <row r="2695" spans="1:19" x14ac:dyDescent="0.2">
      <c r="A2695" s="1">
        <v>46107</v>
      </c>
      <c r="B2695" t="s">
        <v>327</v>
      </c>
      <c r="D2695" t="s">
        <v>328</v>
      </c>
      <c r="E2695" t="s">
        <v>16</v>
      </c>
      <c r="F2695" t="s">
        <v>17</v>
      </c>
      <c r="G2695" s="14">
        <v>215000</v>
      </c>
      <c r="H2695" s="14">
        <v>205000</v>
      </c>
      <c r="I2695" t="s">
        <v>22</v>
      </c>
      <c r="J2695" t="s">
        <v>22</v>
      </c>
      <c r="K2695" t="s">
        <v>329</v>
      </c>
      <c r="L2695" t="s">
        <v>330</v>
      </c>
      <c r="M2695" t="s">
        <v>72</v>
      </c>
      <c r="N2695">
        <v>2</v>
      </c>
      <c r="O2695" t="s">
        <v>103</v>
      </c>
      <c r="P2695" t="s">
        <v>21</v>
      </c>
      <c r="Q2695" t="s">
        <v>30</v>
      </c>
      <c r="R2695" t="str">
        <f>VLOOKUP($O2695,'Mapa Oficinas'!$A$7:$C$46,2,FALSE)</f>
        <v>CABA</v>
      </c>
      <c r="S2695" t="str">
        <f>VLOOKUP($O2695,'Mapa Oficinas'!$A$7:$C$46,3,FALSE)</f>
        <v>Barrio Parque</v>
      </c>
    </row>
    <row r="2696" spans="1:19" x14ac:dyDescent="0.2">
      <c r="A2696" s="1">
        <v>46107</v>
      </c>
      <c r="B2696" t="s">
        <v>310</v>
      </c>
      <c r="D2696" t="s">
        <v>311</v>
      </c>
      <c r="E2696" t="s">
        <v>16</v>
      </c>
      <c r="F2696" t="s">
        <v>17</v>
      </c>
      <c r="G2696" s="14">
        <v>285000</v>
      </c>
      <c r="H2696" s="14">
        <v>240000</v>
      </c>
      <c r="I2696" t="s">
        <v>22</v>
      </c>
      <c r="J2696" t="s">
        <v>22</v>
      </c>
      <c r="K2696" t="s">
        <v>312</v>
      </c>
      <c r="L2696" t="s">
        <v>313</v>
      </c>
      <c r="M2696" t="s">
        <v>28</v>
      </c>
      <c r="N2696">
        <v>2</v>
      </c>
      <c r="O2696" t="s">
        <v>213</v>
      </c>
      <c r="P2696" t="s">
        <v>21</v>
      </c>
      <c r="Q2696" t="s">
        <v>30</v>
      </c>
      <c r="R2696" t="str">
        <f>VLOOKUP($O2696,'Mapa Oficinas'!$A$7:$C$46,2,FALSE)</f>
        <v>Interior - Mendoza</v>
      </c>
      <c r="S2696" t="str">
        <f>VLOOKUP($O2696,'Mapa Oficinas'!$A$7:$C$46,3,FALSE)</f>
        <v>San Rafael</v>
      </c>
    </row>
    <row r="2697" spans="1:19" x14ac:dyDescent="0.2">
      <c r="A2697" s="1">
        <v>46108</v>
      </c>
      <c r="B2697" t="s">
        <v>137</v>
      </c>
      <c r="D2697" t="s">
        <v>138</v>
      </c>
      <c r="E2697" t="s">
        <v>16</v>
      </c>
      <c r="F2697" t="s">
        <v>58</v>
      </c>
      <c r="G2697" s="14">
        <v>750000</v>
      </c>
      <c r="H2697" s="14">
        <v>37500</v>
      </c>
      <c r="I2697" t="s">
        <v>22</v>
      </c>
      <c r="J2697" t="s">
        <v>18</v>
      </c>
      <c r="K2697" t="s">
        <v>139</v>
      </c>
      <c r="L2697" t="s">
        <v>140</v>
      </c>
      <c r="M2697" t="s">
        <v>19</v>
      </c>
      <c r="N2697">
        <v>2</v>
      </c>
      <c r="O2697" t="s">
        <v>50</v>
      </c>
      <c r="P2697" t="s">
        <v>21</v>
      </c>
      <c r="Q2697" t="s">
        <v>30</v>
      </c>
      <c r="R2697" t="str">
        <f>VLOOKUP($O2697,'Mapa Oficinas'!$A$7:$C$46,2,FALSE)</f>
        <v>CABA</v>
      </c>
      <c r="S2697" t="str">
        <f>VLOOKUP($O2697,'Mapa Oficinas'!$A$7:$C$46,3,FALSE)</f>
        <v>Villa Urquiza</v>
      </c>
    </row>
    <row r="2698" spans="1:19" x14ac:dyDescent="0.2">
      <c r="A2698" s="1">
        <v>46108</v>
      </c>
      <c r="D2698" t="s">
        <v>253</v>
      </c>
      <c r="E2698" t="s">
        <v>16</v>
      </c>
      <c r="F2698" t="s">
        <v>17</v>
      </c>
      <c r="G2698" s="14">
        <v>60000</v>
      </c>
      <c r="H2698" s="14">
        <v>50000</v>
      </c>
      <c r="I2698" t="s">
        <v>22</v>
      </c>
      <c r="J2698" t="s">
        <v>22</v>
      </c>
      <c r="K2698" t="s">
        <v>254</v>
      </c>
      <c r="L2698" t="s">
        <v>255</v>
      </c>
      <c r="M2698" t="s">
        <v>19</v>
      </c>
      <c r="N2698">
        <v>2</v>
      </c>
      <c r="O2698" t="s">
        <v>201</v>
      </c>
      <c r="P2698" t="s">
        <v>256</v>
      </c>
      <c r="Q2698" t="s">
        <v>30</v>
      </c>
      <c r="R2698" t="str">
        <f>VLOOKUP($O2698,'Mapa Oficinas'!$A$7:$C$46,2,FALSE)</f>
        <v>CABA</v>
      </c>
      <c r="S2698" t="str">
        <f>VLOOKUP($O2698,'Mapa Oficinas'!$A$7:$C$46,3,FALSE)</f>
        <v>Recoleta</v>
      </c>
    </row>
    <row r="2699" spans="1:19" x14ac:dyDescent="0.2">
      <c r="A2699" s="1">
        <v>46108</v>
      </c>
      <c r="B2699" t="s">
        <v>208</v>
      </c>
      <c r="D2699" t="s">
        <v>209</v>
      </c>
      <c r="E2699" t="s">
        <v>16</v>
      </c>
      <c r="F2699" t="s">
        <v>82</v>
      </c>
      <c r="G2699" s="14">
        <v>75000</v>
      </c>
      <c r="H2699" s="14">
        <v>60000</v>
      </c>
      <c r="I2699" t="s">
        <v>22</v>
      </c>
      <c r="J2699" t="s">
        <v>22</v>
      </c>
      <c r="K2699" t="s">
        <v>210</v>
      </c>
      <c r="L2699" t="s">
        <v>211</v>
      </c>
      <c r="M2699" t="s">
        <v>212</v>
      </c>
      <c r="N2699">
        <v>1</v>
      </c>
      <c r="O2699" t="s">
        <v>213</v>
      </c>
      <c r="P2699" t="s">
        <v>66</v>
      </c>
      <c r="Q2699" t="s">
        <v>30</v>
      </c>
      <c r="R2699" t="str">
        <f>VLOOKUP($O2699,'Mapa Oficinas'!$A$7:$C$46,2,FALSE)</f>
        <v>Interior - Mendoza</v>
      </c>
      <c r="S2699" t="str">
        <f>VLOOKUP($O2699,'Mapa Oficinas'!$A$7:$C$46,3,FALSE)</f>
        <v>San Rafael</v>
      </c>
    </row>
    <row r="2700" spans="1:19" x14ac:dyDescent="0.2">
      <c r="A2700" s="1">
        <v>46108</v>
      </c>
      <c r="B2700" t="s">
        <v>283</v>
      </c>
      <c r="D2700" t="s">
        <v>284</v>
      </c>
      <c r="E2700" t="s">
        <v>16</v>
      </c>
      <c r="F2700" t="s">
        <v>38</v>
      </c>
      <c r="G2700" s="14">
        <v>68000</v>
      </c>
      <c r="H2700" s="14">
        <v>63000</v>
      </c>
      <c r="I2700" t="s">
        <v>22</v>
      </c>
      <c r="J2700" t="s">
        <v>22</v>
      </c>
      <c r="K2700" t="s">
        <v>285</v>
      </c>
      <c r="L2700" t="s">
        <v>286</v>
      </c>
      <c r="M2700" t="s">
        <v>19</v>
      </c>
      <c r="N2700">
        <v>1</v>
      </c>
      <c r="O2700" t="s">
        <v>55</v>
      </c>
      <c r="P2700" t="s">
        <v>66</v>
      </c>
      <c r="Q2700" t="s">
        <v>30</v>
      </c>
      <c r="R2700" t="str">
        <f>VLOOKUP($O2700,'Mapa Oficinas'!$A$7:$C$46,2,FALSE)</f>
        <v>Interior - Santa Fe</v>
      </c>
      <c r="S2700" t="str">
        <f>VLOOKUP($O2700,'Mapa Oficinas'!$A$7:$C$46,3,FALSE)</f>
        <v>Capital Santa Fe</v>
      </c>
    </row>
    <row r="2701" spans="1:19" x14ac:dyDescent="0.2">
      <c r="A2701" s="1">
        <v>46108</v>
      </c>
      <c r="D2701" t="s">
        <v>224</v>
      </c>
      <c r="E2701" t="s">
        <v>16</v>
      </c>
      <c r="F2701" t="s">
        <v>82</v>
      </c>
      <c r="G2701" s="14">
        <v>63000</v>
      </c>
      <c r="H2701" s="14">
        <v>63000</v>
      </c>
      <c r="I2701" t="s">
        <v>22</v>
      </c>
      <c r="J2701" t="s">
        <v>22</v>
      </c>
      <c r="K2701" t="s">
        <v>225</v>
      </c>
      <c r="L2701" t="s">
        <v>226</v>
      </c>
      <c r="M2701" t="s">
        <v>19</v>
      </c>
      <c r="N2701">
        <v>1</v>
      </c>
      <c r="O2701" t="s">
        <v>227</v>
      </c>
      <c r="P2701" t="s">
        <v>146</v>
      </c>
      <c r="Q2701" t="s">
        <v>30</v>
      </c>
      <c r="R2701" t="str">
        <f>VLOOKUP($O2701,'Mapa Oficinas'!$A$7:$C$46,2,FALSE)</f>
        <v>Zona Oeste (GBA)</v>
      </c>
      <c r="S2701" t="str">
        <f>VLOOKUP($O2701,'Mapa Oficinas'!$A$7:$C$46,3,FALSE)</f>
        <v>Parque Leloir</v>
      </c>
    </row>
    <row r="2702" spans="1:19" x14ac:dyDescent="0.2">
      <c r="A2702" s="1">
        <v>46108</v>
      </c>
      <c r="B2702" t="s">
        <v>228</v>
      </c>
      <c r="D2702" t="s">
        <v>228</v>
      </c>
      <c r="E2702" t="s">
        <v>16</v>
      </c>
      <c r="F2702" t="s">
        <v>58</v>
      </c>
      <c r="G2702" s="14">
        <v>71000</v>
      </c>
      <c r="H2702" s="14">
        <v>71000</v>
      </c>
      <c r="I2702" t="s">
        <v>22</v>
      </c>
      <c r="J2702" t="s">
        <v>22</v>
      </c>
      <c r="K2702" t="s">
        <v>228</v>
      </c>
      <c r="L2702" t="s">
        <v>229</v>
      </c>
      <c r="M2702" t="s">
        <v>72</v>
      </c>
      <c r="N2702">
        <v>2</v>
      </c>
      <c r="O2702" t="s">
        <v>50</v>
      </c>
      <c r="P2702" t="s">
        <v>21</v>
      </c>
      <c r="Q2702" t="s">
        <v>30</v>
      </c>
      <c r="R2702" t="str">
        <f>VLOOKUP($O2702,'Mapa Oficinas'!$A$7:$C$46,2,FALSE)</f>
        <v>CABA</v>
      </c>
      <c r="S2702" t="str">
        <f>VLOOKUP($O2702,'Mapa Oficinas'!$A$7:$C$46,3,FALSE)</f>
        <v>Villa Urquiza</v>
      </c>
    </row>
    <row r="2703" spans="1:19" x14ac:dyDescent="0.2">
      <c r="A2703" s="1">
        <v>46108</v>
      </c>
      <c r="B2703" t="s">
        <v>218</v>
      </c>
      <c r="D2703" t="s">
        <v>219</v>
      </c>
      <c r="E2703" t="s">
        <v>16</v>
      </c>
      <c r="F2703" t="s">
        <v>17</v>
      </c>
      <c r="G2703" s="14">
        <v>89000</v>
      </c>
      <c r="H2703" s="14">
        <v>86000</v>
      </c>
      <c r="I2703" t="s">
        <v>22</v>
      </c>
      <c r="J2703" t="s">
        <v>22</v>
      </c>
      <c r="K2703" t="s">
        <v>220</v>
      </c>
      <c r="L2703" t="s">
        <v>221</v>
      </c>
      <c r="M2703" t="s">
        <v>19</v>
      </c>
      <c r="N2703">
        <v>2</v>
      </c>
      <c r="O2703" t="s">
        <v>73</v>
      </c>
      <c r="P2703" t="s">
        <v>21</v>
      </c>
      <c r="Q2703" t="s">
        <v>30</v>
      </c>
      <c r="R2703" t="str">
        <f>VLOOKUP($O2703,'Mapa Oficinas'!$A$7:$C$46,2,FALSE)</f>
        <v>CABA</v>
      </c>
      <c r="S2703" t="str">
        <f>VLOOKUP($O2703,'Mapa Oficinas'!$A$7:$C$46,3,FALSE)</f>
        <v>Recoleta</v>
      </c>
    </row>
    <row r="2704" spans="1:19" x14ac:dyDescent="0.2">
      <c r="A2704" s="1">
        <v>46108</v>
      </c>
      <c r="B2704" t="s">
        <v>262</v>
      </c>
      <c r="D2704" t="s">
        <v>263</v>
      </c>
      <c r="E2704" t="s">
        <v>16</v>
      </c>
      <c r="F2704" t="s">
        <v>38</v>
      </c>
      <c r="G2704" s="14">
        <v>95000</v>
      </c>
      <c r="H2704" s="14">
        <v>92500</v>
      </c>
      <c r="I2704" t="s">
        <v>22</v>
      </c>
      <c r="J2704" t="s">
        <v>22</v>
      </c>
      <c r="K2704" t="s">
        <v>264</v>
      </c>
      <c r="L2704" t="s">
        <v>265</v>
      </c>
      <c r="M2704" t="s">
        <v>28</v>
      </c>
      <c r="N2704">
        <v>2</v>
      </c>
      <c r="O2704" t="s">
        <v>261</v>
      </c>
      <c r="P2704" t="s">
        <v>21</v>
      </c>
      <c r="Q2704" t="s">
        <v>30</v>
      </c>
      <c r="R2704" t="str">
        <f>VLOOKUP($O2704,'Mapa Oficinas'!$A$7:$C$46,2,FALSE)</f>
        <v>CABA</v>
      </c>
      <c r="S2704" t="str">
        <f>VLOOKUP($O2704,'Mapa Oficinas'!$A$7:$C$46,3,FALSE)</f>
        <v>Núñez</v>
      </c>
    </row>
    <row r="2705" spans="1:19" x14ac:dyDescent="0.2">
      <c r="A2705" s="1">
        <v>46108</v>
      </c>
      <c r="B2705" t="s">
        <v>214</v>
      </c>
      <c r="D2705" t="s">
        <v>215</v>
      </c>
      <c r="E2705" t="s">
        <v>16</v>
      </c>
      <c r="F2705" t="s">
        <v>17</v>
      </c>
      <c r="G2705" s="14">
        <v>107000</v>
      </c>
      <c r="H2705" s="14">
        <v>103000</v>
      </c>
      <c r="I2705" t="s">
        <v>22</v>
      </c>
      <c r="J2705" t="s">
        <v>22</v>
      </c>
      <c r="K2705" t="s">
        <v>216</v>
      </c>
      <c r="L2705" t="s">
        <v>217</v>
      </c>
      <c r="M2705" t="s">
        <v>19</v>
      </c>
      <c r="N2705">
        <v>2</v>
      </c>
      <c r="O2705" t="s">
        <v>29</v>
      </c>
      <c r="P2705" t="s">
        <v>21</v>
      </c>
      <c r="Q2705" t="s">
        <v>30</v>
      </c>
      <c r="R2705" t="str">
        <f>VLOOKUP($O2705,'Mapa Oficinas'!$A$7:$C$46,2,FALSE)</f>
        <v>CABA</v>
      </c>
      <c r="S2705" t="str">
        <f>VLOOKUP($O2705,'Mapa Oficinas'!$A$7:$C$46,3,FALSE)</f>
        <v>Núñez</v>
      </c>
    </row>
    <row r="2706" spans="1:19" x14ac:dyDescent="0.2">
      <c r="A2706" s="1">
        <v>46108</v>
      </c>
      <c r="B2706" t="s">
        <v>248</v>
      </c>
      <c r="D2706" t="s">
        <v>249</v>
      </c>
      <c r="E2706" t="s">
        <v>16</v>
      </c>
      <c r="F2706" t="s">
        <v>47</v>
      </c>
      <c r="G2706" s="14">
        <v>107000</v>
      </c>
      <c r="H2706" s="14">
        <v>104000</v>
      </c>
      <c r="I2706" t="s">
        <v>22</v>
      </c>
      <c r="J2706" t="s">
        <v>22</v>
      </c>
      <c r="K2706" t="s">
        <v>250</v>
      </c>
      <c r="L2706" t="s">
        <v>251</v>
      </c>
      <c r="M2706" t="s">
        <v>72</v>
      </c>
      <c r="N2706">
        <v>2</v>
      </c>
      <c r="O2706" t="s">
        <v>252</v>
      </c>
      <c r="P2706" t="s">
        <v>21</v>
      </c>
      <c r="Q2706" t="s">
        <v>30</v>
      </c>
      <c r="R2706" t="str">
        <f>VLOOKUP($O2706,'Mapa Oficinas'!$A$7:$C$46,2,FALSE)</f>
        <v>CABA</v>
      </c>
      <c r="S2706" t="str">
        <f>VLOOKUP($O2706,'Mapa Oficinas'!$A$7:$C$46,3,FALSE)</f>
        <v>Belgrano</v>
      </c>
    </row>
    <row r="2707" spans="1:19" x14ac:dyDescent="0.2">
      <c r="A2707" s="1">
        <v>46108</v>
      </c>
      <c r="B2707" t="s">
        <v>241</v>
      </c>
      <c r="D2707" t="s">
        <v>242</v>
      </c>
      <c r="E2707" t="s">
        <v>16</v>
      </c>
      <c r="F2707" t="s">
        <v>243</v>
      </c>
      <c r="G2707" s="14">
        <v>135000</v>
      </c>
      <c r="H2707" s="14">
        <v>132000</v>
      </c>
      <c r="I2707" t="s">
        <v>22</v>
      </c>
      <c r="J2707" t="s">
        <v>22</v>
      </c>
      <c r="K2707" t="s">
        <v>244</v>
      </c>
      <c r="L2707" t="s">
        <v>245</v>
      </c>
      <c r="M2707" t="s">
        <v>28</v>
      </c>
      <c r="N2707">
        <v>2</v>
      </c>
      <c r="O2707" t="s">
        <v>246</v>
      </c>
      <c r="P2707" t="s">
        <v>21</v>
      </c>
      <c r="Q2707" t="s">
        <v>30</v>
      </c>
      <c r="R2707" t="str">
        <f>VLOOKUP($O2707,'Mapa Oficinas'!$A$7:$C$46,2,FALSE)</f>
        <v>Interior - Salta</v>
      </c>
      <c r="S2707" t="str">
        <f>VLOOKUP($O2707,'Mapa Oficinas'!$A$7:$C$46,3,FALSE)</f>
        <v>San Lorenzo Chico</v>
      </c>
    </row>
    <row r="2708" spans="1:19" x14ac:dyDescent="0.2">
      <c r="A2708" s="1">
        <v>46108</v>
      </c>
      <c r="B2708" t="s">
        <v>234</v>
      </c>
      <c r="D2708" t="s">
        <v>235</v>
      </c>
      <c r="E2708" t="s">
        <v>16</v>
      </c>
      <c r="F2708" t="s">
        <v>17</v>
      </c>
      <c r="G2708" s="14">
        <v>137000</v>
      </c>
      <c r="H2708" s="14">
        <v>134000</v>
      </c>
      <c r="I2708" t="s">
        <v>22</v>
      </c>
      <c r="J2708" t="s">
        <v>22</v>
      </c>
      <c r="K2708" t="s">
        <v>236</v>
      </c>
      <c r="L2708" t="s">
        <v>237</v>
      </c>
      <c r="M2708" t="s">
        <v>19</v>
      </c>
      <c r="N2708">
        <v>2</v>
      </c>
      <c r="O2708" t="s">
        <v>73</v>
      </c>
      <c r="P2708" t="s">
        <v>21</v>
      </c>
      <c r="Q2708" t="s">
        <v>30</v>
      </c>
      <c r="R2708" t="str">
        <f>VLOOKUP($O2708,'Mapa Oficinas'!$A$7:$C$46,2,FALSE)</f>
        <v>CABA</v>
      </c>
      <c r="S2708" t="str">
        <f>VLOOKUP($O2708,'Mapa Oficinas'!$A$7:$C$46,3,FALSE)</f>
        <v>Recoleta</v>
      </c>
    </row>
    <row r="2709" spans="1:19" x14ac:dyDescent="0.2">
      <c r="A2709" s="1">
        <v>46108</v>
      </c>
      <c r="B2709" t="s">
        <v>266</v>
      </c>
      <c r="D2709" t="s">
        <v>267</v>
      </c>
      <c r="E2709" t="s">
        <v>16</v>
      </c>
      <c r="F2709" t="s">
        <v>17</v>
      </c>
      <c r="G2709" s="14">
        <v>148000</v>
      </c>
      <c r="H2709" s="14">
        <v>140000</v>
      </c>
      <c r="I2709" t="s">
        <v>22</v>
      </c>
      <c r="J2709" t="s">
        <v>22</v>
      </c>
      <c r="K2709" t="s">
        <v>268</v>
      </c>
      <c r="L2709" t="s">
        <v>191</v>
      </c>
      <c r="M2709" t="s">
        <v>19</v>
      </c>
      <c r="N2709">
        <v>2</v>
      </c>
      <c r="O2709" t="s">
        <v>20</v>
      </c>
      <c r="P2709" t="s">
        <v>21</v>
      </c>
      <c r="Q2709" t="s">
        <v>30</v>
      </c>
      <c r="R2709" t="str">
        <f>VLOOKUP($O2709,'Mapa Oficinas'!$A$7:$C$46,2,FALSE)</f>
        <v>CABA</v>
      </c>
      <c r="S2709" t="str">
        <f>VLOOKUP($O2709,'Mapa Oficinas'!$A$7:$C$46,3,FALSE)</f>
        <v>Palermo</v>
      </c>
    </row>
    <row r="2710" spans="1:19" x14ac:dyDescent="0.2">
      <c r="A2710" s="1">
        <v>46108</v>
      </c>
      <c r="B2710" t="s">
        <v>238</v>
      </c>
      <c r="D2710" t="s">
        <v>239</v>
      </c>
      <c r="E2710" t="s">
        <v>16</v>
      </c>
      <c r="F2710" t="s">
        <v>47</v>
      </c>
      <c r="G2710" s="14">
        <v>271000</v>
      </c>
      <c r="H2710" s="14">
        <v>271000</v>
      </c>
      <c r="I2710" t="s">
        <v>22</v>
      </c>
      <c r="J2710" t="s">
        <v>22</v>
      </c>
      <c r="K2710" t="s">
        <v>240</v>
      </c>
      <c r="L2710" t="s">
        <v>79</v>
      </c>
      <c r="M2710" t="s">
        <v>19</v>
      </c>
      <c r="N2710">
        <v>1</v>
      </c>
      <c r="O2710" t="s">
        <v>73</v>
      </c>
      <c r="P2710" t="s">
        <v>146</v>
      </c>
      <c r="Q2710" t="s">
        <v>30</v>
      </c>
      <c r="R2710" t="str">
        <f>VLOOKUP($O2710,'Mapa Oficinas'!$A$7:$C$46,2,FALSE)</f>
        <v>CABA</v>
      </c>
      <c r="S2710" t="str">
        <f>VLOOKUP($O2710,'Mapa Oficinas'!$A$7:$C$46,3,FALSE)</f>
        <v>Recoleta</v>
      </c>
    </row>
    <row r="2711" spans="1:19" x14ac:dyDescent="0.2">
      <c r="A2711" s="1">
        <v>46108</v>
      </c>
      <c r="B2711" t="s">
        <v>269</v>
      </c>
      <c r="D2711" t="s">
        <v>270</v>
      </c>
      <c r="E2711" t="s">
        <v>16</v>
      </c>
      <c r="F2711" t="s">
        <v>17</v>
      </c>
      <c r="G2711" s="14">
        <v>330000</v>
      </c>
      <c r="H2711" s="14">
        <v>330000</v>
      </c>
      <c r="I2711" t="s">
        <v>22</v>
      </c>
      <c r="J2711" t="s">
        <v>22</v>
      </c>
      <c r="K2711" t="s">
        <v>270</v>
      </c>
      <c r="L2711" t="s">
        <v>271</v>
      </c>
      <c r="M2711" t="s">
        <v>19</v>
      </c>
      <c r="N2711">
        <v>1</v>
      </c>
      <c r="O2711" t="s">
        <v>20</v>
      </c>
      <c r="P2711" t="s">
        <v>146</v>
      </c>
      <c r="Q2711" t="s">
        <v>30</v>
      </c>
      <c r="R2711" t="str">
        <f>VLOOKUP($O2711,'Mapa Oficinas'!$A$7:$C$46,2,FALSE)</f>
        <v>CABA</v>
      </c>
      <c r="S2711" t="str">
        <f>VLOOKUP($O2711,'Mapa Oficinas'!$A$7:$C$46,3,FALSE)</f>
        <v>Palermo</v>
      </c>
    </row>
    <row r="2712" spans="1:19" x14ac:dyDescent="0.2">
      <c r="A2712" s="1">
        <v>46108</v>
      </c>
      <c r="B2712" t="s">
        <v>279</v>
      </c>
      <c r="D2712" t="s">
        <v>280</v>
      </c>
      <c r="E2712" t="s">
        <v>16</v>
      </c>
      <c r="F2712" t="s">
        <v>17</v>
      </c>
      <c r="G2712" s="14">
        <v>385000</v>
      </c>
      <c r="H2712" s="14">
        <v>365000</v>
      </c>
      <c r="I2712" t="s">
        <v>22</v>
      </c>
      <c r="J2712" t="s">
        <v>22</v>
      </c>
      <c r="K2712" t="s">
        <v>281</v>
      </c>
      <c r="L2712" t="s">
        <v>282</v>
      </c>
      <c r="M2712" t="s">
        <v>19</v>
      </c>
      <c r="N2712">
        <v>2</v>
      </c>
      <c r="O2712" t="s">
        <v>103</v>
      </c>
      <c r="P2712" t="s">
        <v>276</v>
      </c>
      <c r="Q2712" t="s">
        <v>30</v>
      </c>
      <c r="R2712" t="str">
        <f>VLOOKUP($O2712,'Mapa Oficinas'!$A$7:$C$46,2,FALSE)</f>
        <v>CABA</v>
      </c>
      <c r="S2712" t="str">
        <f>VLOOKUP($O2712,'Mapa Oficinas'!$A$7:$C$46,3,FALSE)</f>
        <v>Barrio Parque</v>
      </c>
    </row>
    <row r="2713" spans="1:19" x14ac:dyDescent="0.2">
      <c r="A2713" s="1">
        <v>46108</v>
      </c>
      <c r="B2713" t="s">
        <v>272</v>
      </c>
      <c r="D2713" t="s">
        <v>273</v>
      </c>
      <c r="E2713" t="s">
        <v>16</v>
      </c>
      <c r="F2713" t="s">
        <v>17</v>
      </c>
      <c r="G2713" s="14">
        <v>420000</v>
      </c>
      <c r="H2713" s="14">
        <v>400000</v>
      </c>
      <c r="I2713" t="s">
        <v>22</v>
      </c>
      <c r="J2713" t="s">
        <v>22</v>
      </c>
      <c r="K2713" t="s">
        <v>274</v>
      </c>
      <c r="L2713" t="s">
        <v>275</v>
      </c>
      <c r="M2713" t="s">
        <v>28</v>
      </c>
      <c r="N2713">
        <v>2</v>
      </c>
      <c r="O2713" t="s">
        <v>103</v>
      </c>
      <c r="P2713" t="s">
        <v>276</v>
      </c>
      <c r="Q2713" t="s">
        <v>30</v>
      </c>
      <c r="R2713" t="str">
        <f>VLOOKUP($O2713,'Mapa Oficinas'!$A$7:$C$46,2,FALSE)</f>
        <v>CABA</v>
      </c>
      <c r="S2713" t="str">
        <f>VLOOKUP($O2713,'Mapa Oficinas'!$A$7:$C$46,3,FALSE)</f>
        <v>Barrio Parque</v>
      </c>
    </row>
    <row r="2714" spans="1:19" x14ac:dyDescent="0.2">
      <c r="A2714" s="1">
        <v>46109</v>
      </c>
      <c r="B2714" t="s">
        <v>202</v>
      </c>
      <c r="D2714" t="s">
        <v>203</v>
      </c>
      <c r="E2714" t="s">
        <v>16</v>
      </c>
      <c r="F2714" t="s">
        <v>82</v>
      </c>
      <c r="G2714" s="14">
        <v>380000</v>
      </c>
      <c r="H2714" s="14">
        <v>357500</v>
      </c>
      <c r="I2714" t="s">
        <v>22</v>
      </c>
      <c r="J2714" t="s">
        <v>22</v>
      </c>
      <c r="K2714" t="s">
        <v>204</v>
      </c>
      <c r="L2714" t="s">
        <v>205</v>
      </c>
      <c r="M2714" t="s">
        <v>19</v>
      </c>
      <c r="N2714">
        <v>2</v>
      </c>
      <c r="O2714" t="s">
        <v>206</v>
      </c>
      <c r="P2714" t="s">
        <v>21</v>
      </c>
      <c r="Q2714" t="s">
        <v>30</v>
      </c>
      <c r="R2714" t="str">
        <f>VLOOKUP($O2714,'Mapa Oficinas'!$A$7:$C$46,2,FALSE)</f>
        <v>CABA</v>
      </c>
      <c r="S2714" t="str">
        <f>VLOOKUP($O2714,'Mapa Oficinas'!$A$7:$C$46,3,FALSE)</f>
        <v>Belgrano</v>
      </c>
    </row>
    <row r="2715" spans="1:19" x14ac:dyDescent="0.2">
      <c r="A2715" s="1">
        <v>46110</v>
      </c>
      <c r="B2715">
        <v>120</v>
      </c>
      <c r="D2715" t="s">
        <v>196</v>
      </c>
      <c r="E2715" t="s">
        <v>16</v>
      </c>
      <c r="F2715" t="s">
        <v>17</v>
      </c>
      <c r="G2715" s="14">
        <v>130000</v>
      </c>
      <c r="H2715" s="14">
        <v>130000</v>
      </c>
      <c r="I2715" t="s">
        <v>22</v>
      </c>
      <c r="J2715" t="s">
        <v>22</v>
      </c>
      <c r="K2715" t="s">
        <v>197</v>
      </c>
      <c r="L2715" t="s">
        <v>195</v>
      </c>
      <c r="M2715" t="s">
        <v>72</v>
      </c>
      <c r="N2715">
        <v>1</v>
      </c>
      <c r="O2715" t="s">
        <v>198</v>
      </c>
      <c r="P2715" t="s">
        <v>146</v>
      </c>
      <c r="Q2715" t="s">
        <v>30</v>
      </c>
      <c r="R2715" t="str">
        <f>VLOOKUP($O2715,'Mapa Oficinas'!$A$7:$C$46,2,FALSE)</f>
        <v>CABA</v>
      </c>
      <c r="S2715" t="str">
        <f>VLOOKUP($O2715,'Mapa Oficinas'!$A$7:$C$46,3,FALSE)</f>
        <v>Caballito</v>
      </c>
    </row>
    <row r="2716" spans="1:19" x14ac:dyDescent="0.2">
      <c r="A2716" s="1">
        <v>46111</v>
      </c>
      <c r="B2716" t="s">
        <v>152</v>
      </c>
      <c r="D2716" t="s">
        <v>153</v>
      </c>
      <c r="E2716" t="s">
        <v>16</v>
      </c>
      <c r="F2716" t="s">
        <v>38</v>
      </c>
      <c r="G2716" s="14">
        <v>55000</v>
      </c>
      <c r="H2716" s="14">
        <v>52000</v>
      </c>
      <c r="I2716" t="s">
        <v>22</v>
      </c>
      <c r="J2716" t="s">
        <v>22</v>
      </c>
      <c r="K2716" t="s">
        <v>154</v>
      </c>
      <c r="L2716" t="s">
        <v>155</v>
      </c>
      <c r="M2716" t="s">
        <v>97</v>
      </c>
      <c r="N2716">
        <v>2</v>
      </c>
      <c r="O2716" t="s">
        <v>156</v>
      </c>
      <c r="P2716" t="s">
        <v>21</v>
      </c>
      <c r="Q2716" t="s">
        <v>30</v>
      </c>
      <c r="R2716" t="str">
        <f>VLOOKUP($O2716,'Mapa Oficinas'!$A$7:$C$46,2,FALSE)</f>
        <v>Zona Norte (GBA)</v>
      </c>
      <c r="S2716" t="str">
        <f>VLOOKUP($O2716,'Mapa Oficinas'!$A$7:$C$46,3,FALSE)</f>
        <v>Pilar</v>
      </c>
    </row>
    <row r="2717" spans="1:19" x14ac:dyDescent="0.2">
      <c r="A2717" s="1">
        <v>46111</v>
      </c>
      <c r="B2717" t="s">
        <v>165</v>
      </c>
      <c r="D2717" t="s">
        <v>166</v>
      </c>
      <c r="E2717" t="s">
        <v>16</v>
      </c>
      <c r="F2717" t="s">
        <v>47</v>
      </c>
      <c r="G2717" s="14">
        <v>90000</v>
      </c>
      <c r="H2717" s="14">
        <v>70000</v>
      </c>
      <c r="I2717" t="s">
        <v>22</v>
      </c>
      <c r="J2717" t="s">
        <v>22</v>
      </c>
      <c r="K2717" t="s">
        <v>167</v>
      </c>
      <c r="L2717" t="s">
        <v>168</v>
      </c>
      <c r="M2717" t="s">
        <v>169</v>
      </c>
      <c r="N2717">
        <v>2</v>
      </c>
      <c r="O2717" t="s">
        <v>78</v>
      </c>
      <c r="P2717" t="s">
        <v>21</v>
      </c>
      <c r="Q2717" t="s">
        <v>30</v>
      </c>
      <c r="R2717" t="str">
        <f>VLOOKUP($O2717,'Mapa Oficinas'!$A$7:$C$46,2,FALSE)</f>
        <v>CABA</v>
      </c>
      <c r="S2717" t="str">
        <f>VLOOKUP($O2717,'Mapa Oficinas'!$A$7:$C$46,3,FALSE)</f>
        <v>Palermo</v>
      </c>
    </row>
    <row r="2718" spans="1:19" x14ac:dyDescent="0.2">
      <c r="A2718" s="1">
        <v>46111</v>
      </c>
      <c r="B2718">
        <v>30032026</v>
      </c>
      <c r="D2718" t="s">
        <v>183</v>
      </c>
      <c r="E2718" t="s">
        <v>16</v>
      </c>
      <c r="F2718" t="s">
        <v>184</v>
      </c>
      <c r="G2718" s="14">
        <v>75000</v>
      </c>
      <c r="H2718" s="14">
        <v>75000</v>
      </c>
      <c r="I2718" t="s">
        <v>22</v>
      </c>
      <c r="J2718" t="s">
        <v>22</v>
      </c>
      <c r="L2718" t="s">
        <v>129</v>
      </c>
      <c r="M2718" t="s">
        <v>97</v>
      </c>
      <c r="N2718">
        <v>2</v>
      </c>
      <c r="O2718" t="s">
        <v>130</v>
      </c>
      <c r="P2718" t="s">
        <v>21</v>
      </c>
      <c r="Q2718" t="s">
        <v>30</v>
      </c>
      <c r="R2718" t="str">
        <f>VLOOKUP($O2718,'Mapa Oficinas'!$A$7:$C$46,2,FALSE)</f>
        <v>Interior - Río Negro</v>
      </c>
      <c r="S2718" t="str">
        <f>VLOOKUP($O2718,'Mapa Oficinas'!$A$7:$C$46,3,FALSE)</f>
        <v>Bariloche</v>
      </c>
    </row>
    <row r="2719" spans="1:19" x14ac:dyDescent="0.2">
      <c r="A2719" s="1">
        <v>46111</v>
      </c>
      <c r="B2719" t="s">
        <v>161</v>
      </c>
      <c r="D2719" t="s">
        <v>162</v>
      </c>
      <c r="E2719" t="s">
        <v>16</v>
      </c>
      <c r="F2719" t="s">
        <v>17</v>
      </c>
      <c r="G2719" s="14">
        <v>100000</v>
      </c>
      <c r="H2719" s="14">
        <v>77000</v>
      </c>
      <c r="I2719" t="s">
        <v>22</v>
      </c>
      <c r="J2719" t="s">
        <v>22</v>
      </c>
      <c r="K2719" t="s">
        <v>163</v>
      </c>
      <c r="L2719" t="s">
        <v>164</v>
      </c>
      <c r="M2719" t="s">
        <v>28</v>
      </c>
      <c r="N2719">
        <v>2</v>
      </c>
      <c r="O2719" t="s">
        <v>78</v>
      </c>
      <c r="P2719" t="s">
        <v>21</v>
      </c>
      <c r="Q2719" t="s">
        <v>30</v>
      </c>
      <c r="R2719" t="str">
        <f>VLOOKUP($O2719,'Mapa Oficinas'!$A$7:$C$46,2,FALSE)</f>
        <v>CABA</v>
      </c>
      <c r="S2719" t="str">
        <f>VLOOKUP($O2719,'Mapa Oficinas'!$A$7:$C$46,3,FALSE)</f>
        <v>Palermo</v>
      </c>
    </row>
    <row r="2720" spans="1:19" x14ac:dyDescent="0.2">
      <c r="A2720" s="1">
        <v>46111</v>
      </c>
      <c r="B2720" t="s">
        <v>175</v>
      </c>
      <c r="D2720" t="s">
        <v>176</v>
      </c>
      <c r="E2720" t="s">
        <v>16</v>
      </c>
      <c r="F2720" t="s">
        <v>17</v>
      </c>
      <c r="G2720" s="14">
        <v>89900</v>
      </c>
      <c r="H2720" s="14">
        <v>84000</v>
      </c>
      <c r="I2720" t="s">
        <v>22</v>
      </c>
      <c r="J2720" t="s">
        <v>22</v>
      </c>
      <c r="K2720" t="s">
        <v>177</v>
      </c>
      <c r="L2720" t="s">
        <v>178</v>
      </c>
      <c r="M2720" t="s">
        <v>28</v>
      </c>
      <c r="N2720">
        <v>2</v>
      </c>
      <c r="O2720" t="s">
        <v>65</v>
      </c>
      <c r="P2720" t="s">
        <v>21</v>
      </c>
      <c r="Q2720" t="s">
        <v>30</v>
      </c>
      <c r="R2720" t="str">
        <f>VLOOKUP($O2720,'Mapa Oficinas'!$A$7:$C$46,2,FALSE)</f>
        <v>Interior - Mendoza</v>
      </c>
      <c r="S2720" t="str">
        <f>VLOOKUP($O2720,'Mapa Oficinas'!$A$7:$C$46,3,FALSE)</f>
        <v>Capital Mendoza</v>
      </c>
    </row>
    <row r="2721" spans="1:19" x14ac:dyDescent="0.2">
      <c r="A2721" s="1">
        <v>46111</v>
      </c>
      <c r="B2721" t="s">
        <v>132</v>
      </c>
      <c r="D2721" t="s">
        <v>133</v>
      </c>
      <c r="E2721" t="s">
        <v>16</v>
      </c>
      <c r="F2721" t="s">
        <v>134</v>
      </c>
      <c r="G2721" s="14">
        <v>90000</v>
      </c>
      <c r="H2721" s="14">
        <v>90000</v>
      </c>
      <c r="I2721" t="s">
        <v>22</v>
      </c>
      <c r="J2721" t="s">
        <v>22</v>
      </c>
      <c r="K2721" t="s">
        <v>135</v>
      </c>
      <c r="L2721" t="s">
        <v>136</v>
      </c>
      <c r="M2721" t="s">
        <v>19</v>
      </c>
      <c r="N2721">
        <v>2</v>
      </c>
      <c r="O2721" t="s">
        <v>130</v>
      </c>
      <c r="P2721" t="s">
        <v>21</v>
      </c>
      <c r="Q2721" t="s">
        <v>30</v>
      </c>
      <c r="R2721" t="str">
        <f>VLOOKUP($O2721,'Mapa Oficinas'!$A$7:$C$46,2,FALSE)</f>
        <v>Interior - Río Negro</v>
      </c>
      <c r="S2721" t="str">
        <f>VLOOKUP($O2721,'Mapa Oficinas'!$A$7:$C$46,3,FALSE)</f>
        <v>Bariloche</v>
      </c>
    </row>
    <row r="2722" spans="1:19" x14ac:dyDescent="0.2">
      <c r="A2722" s="1">
        <v>46111</v>
      </c>
      <c r="B2722" t="s">
        <v>125</v>
      </c>
      <c r="D2722" t="s">
        <v>126</v>
      </c>
      <c r="E2722" t="s">
        <v>16</v>
      </c>
      <c r="F2722" t="s">
        <v>127</v>
      </c>
      <c r="G2722" s="14">
        <v>890000</v>
      </c>
      <c r="H2722" s="14">
        <v>93000</v>
      </c>
      <c r="I2722" t="s">
        <v>22</v>
      </c>
      <c r="J2722" t="s">
        <v>18</v>
      </c>
      <c r="K2722" t="s">
        <v>128</v>
      </c>
      <c r="L2722" t="s">
        <v>129</v>
      </c>
      <c r="M2722" t="s">
        <v>19</v>
      </c>
      <c r="N2722">
        <v>1</v>
      </c>
      <c r="O2722" t="s">
        <v>130</v>
      </c>
      <c r="P2722" t="s">
        <v>131</v>
      </c>
      <c r="Q2722" t="s">
        <v>30</v>
      </c>
      <c r="R2722" t="str">
        <f>VLOOKUP($O2722,'Mapa Oficinas'!$A$7:$C$46,2,FALSE)</f>
        <v>Interior - Río Negro</v>
      </c>
      <c r="S2722" t="str">
        <f>VLOOKUP($O2722,'Mapa Oficinas'!$A$7:$C$46,3,FALSE)</f>
        <v>Bariloche</v>
      </c>
    </row>
    <row r="2723" spans="1:19" x14ac:dyDescent="0.2">
      <c r="A2723" s="1">
        <v>46111</v>
      </c>
      <c r="B2723" t="s">
        <v>143</v>
      </c>
      <c r="D2723" t="s">
        <v>144</v>
      </c>
      <c r="E2723" t="s">
        <v>16</v>
      </c>
      <c r="F2723" t="s">
        <v>47</v>
      </c>
      <c r="G2723" s="14">
        <v>93000</v>
      </c>
      <c r="H2723" s="14">
        <v>93000</v>
      </c>
      <c r="I2723" t="s">
        <v>22</v>
      </c>
      <c r="J2723" t="s">
        <v>22</v>
      </c>
      <c r="L2723" t="s">
        <v>145</v>
      </c>
      <c r="M2723" t="s">
        <v>97</v>
      </c>
      <c r="N2723">
        <v>1</v>
      </c>
      <c r="O2723" t="s">
        <v>142</v>
      </c>
      <c r="P2723" t="s">
        <v>146</v>
      </c>
      <c r="Q2723" t="s">
        <v>30</v>
      </c>
      <c r="R2723" t="str">
        <f>VLOOKUP($O2723,'Mapa Oficinas'!$A$7:$C$46,2,FALSE)</f>
        <v>Zona Norte (GBA)</v>
      </c>
      <c r="S2723" t="str">
        <f>VLOOKUP($O2723,'Mapa Oficinas'!$A$7:$C$46,3,FALSE)</f>
        <v>Nordelta</v>
      </c>
    </row>
    <row r="2724" spans="1:19" x14ac:dyDescent="0.2">
      <c r="A2724" s="1">
        <v>46111</v>
      </c>
      <c r="B2724" t="s">
        <v>172</v>
      </c>
      <c r="D2724" t="s">
        <v>173</v>
      </c>
      <c r="E2724" t="s">
        <v>16</v>
      </c>
      <c r="F2724" t="s">
        <v>17</v>
      </c>
      <c r="G2724" s="14">
        <v>105000</v>
      </c>
      <c r="H2724" s="14">
        <v>95000</v>
      </c>
      <c r="I2724" t="s">
        <v>22</v>
      </c>
      <c r="J2724" t="s">
        <v>22</v>
      </c>
      <c r="K2724" t="s">
        <v>174</v>
      </c>
      <c r="L2724" t="s">
        <v>64</v>
      </c>
      <c r="M2724" t="s">
        <v>19</v>
      </c>
      <c r="N2724">
        <v>1</v>
      </c>
      <c r="O2724" t="s">
        <v>65</v>
      </c>
      <c r="P2724" t="s">
        <v>66</v>
      </c>
      <c r="Q2724" t="s">
        <v>30</v>
      </c>
      <c r="R2724" t="str">
        <f>VLOOKUP($O2724,'Mapa Oficinas'!$A$7:$C$46,2,FALSE)</f>
        <v>Interior - Mendoza</v>
      </c>
      <c r="S2724" t="str">
        <f>VLOOKUP($O2724,'Mapa Oficinas'!$A$7:$C$46,3,FALSE)</f>
        <v>Capital Mendoza</v>
      </c>
    </row>
    <row r="2725" spans="1:19" x14ac:dyDescent="0.2">
      <c r="A2725" s="1">
        <v>46111</v>
      </c>
      <c r="B2725" t="s">
        <v>192</v>
      </c>
      <c r="D2725" t="s">
        <v>193</v>
      </c>
      <c r="E2725" t="s">
        <v>16</v>
      </c>
      <c r="F2725" t="s">
        <v>17</v>
      </c>
      <c r="G2725" s="14">
        <v>129000</v>
      </c>
      <c r="H2725" s="14">
        <v>114000</v>
      </c>
      <c r="I2725" t="s">
        <v>22</v>
      </c>
      <c r="J2725" t="s">
        <v>22</v>
      </c>
      <c r="K2725" t="s">
        <v>194</v>
      </c>
      <c r="L2725" t="s">
        <v>195</v>
      </c>
      <c r="M2725" t="s">
        <v>19</v>
      </c>
      <c r="N2725">
        <v>2</v>
      </c>
      <c r="O2725" t="s">
        <v>20</v>
      </c>
      <c r="P2725" t="s">
        <v>21</v>
      </c>
      <c r="Q2725" t="s">
        <v>30</v>
      </c>
      <c r="R2725" t="str">
        <f>VLOOKUP($O2725,'Mapa Oficinas'!$A$7:$C$46,2,FALSE)</f>
        <v>CABA</v>
      </c>
      <c r="S2725" t="str">
        <f>VLOOKUP($O2725,'Mapa Oficinas'!$A$7:$C$46,3,FALSE)</f>
        <v>Palermo</v>
      </c>
    </row>
    <row r="2726" spans="1:19" x14ac:dyDescent="0.2">
      <c r="A2726" s="1">
        <v>46111</v>
      </c>
      <c r="B2726">
        <v>10754</v>
      </c>
      <c r="D2726" t="s">
        <v>190</v>
      </c>
      <c r="E2726" t="s">
        <v>16</v>
      </c>
      <c r="F2726" t="s">
        <v>17</v>
      </c>
      <c r="G2726" s="14">
        <v>161000</v>
      </c>
      <c r="H2726" s="14">
        <v>161000</v>
      </c>
      <c r="I2726" t="s">
        <v>22</v>
      </c>
      <c r="J2726" t="s">
        <v>22</v>
      </c>
      <c r="K2726" t="s">
        <v>190</v>
      </c>
      <c r="L2726" t="s">
        <v>191</v>
      </c>
      <c r="M2726" t="s">
        <v>19</v>
      </c>
      <c r="N2726">
        <v>1</v>
      </c>
      <c r="O2726" t="s">
        <v>103</v>
      </c>
      <c r="P2726" t="s">
        <v>146</v>
      </c>
      <c r="Q2726" t="s">
        <v>30</v>
      </c>
      <c r="R2726" t="str">
        <f>VLOOKUP($O2726,'Mapa Oficinas'!$A$7:$C$46,2,FALSE)</f>
        <v>CABA</v>
      </c>
      <c r="S2726" t="str">
        <f>VLOOKUP($O2726,'Mapa Oficinas'!$A$7:$C$46,3,FALSE)</f>
        <v>Barrio Parque</v>
      </c>
    </row>
    <row r="2727" spans="1:19" x14ac:dyDescent="0.2">
      <c r="A2727" s="1">
        <v>46111</v>
      </c>
      <c r="B2727" t="s">
        <v>147</v>
      </c>
      <c r="D2727" t="s">
        <v>148</v>
      </c>
      <c r="E2727" t="s">
        <v>16</v>
      </c>
      <c r="F2727" t="s">
        <v>17</v>
      </c>
      <c r="G2727" s="14">
        <v>170000</v>
      </c>
      <c r="H2727" s="14">
        <v>165000</v>
      </c>
      <c r="I2727" t="s">
        <v>22</v>
      </c>
      <c r="J2727" t="s">
        <v>22</v>
      </c>
      <c r="K2727" t="s">
        <v>149</v>
      </c>
      <c r="L2727" t="s">
        <v>150</v>
      </c>
      <c r="M2727" t="s">
        <v>28</v>
      </c>
      <c r="N2727">
        <v>1</v>
      </c>
      <c r="O2727" t="s">
        <v>151</v>
      </c>
      <c r="P2727" t="s">
        <v>66</v>
      </c>
      <c r="Q2727" t="s">
        <v>30</v>
      </c>
      <c r="R2727" t="str">
        <f>VLOOKUP($O2727,'Mapa Oficinas'!$A$7:$C$46,2,FALSE)</f>
        <v>Interior - Neuquén</v>
      </c>
      <c r="S2727" t="str">
        <f>VLOOKUP($O2727,'Mapa Oficinas'!$A$7:$C$46,3,FALSE)</f>
        <v>Capital Neuquén</v>
      </c>
    </row>
    <row r="2728" spans="1:19" x14ac:dyDescent="0.2">
      <c r="A2728" s="1">
        <v>46111</v>
      </c>
      <c r="B2728" t="s">
        <v>157</v>
      </c>
      <c r="D2728" t="s">
        <v>158</v>
      </c>
      <c r="E2728" t="s">
        <v>16</v>
      </c>
      <c r="F2728" t="s">
        <v>82</v>
      </c>
      <c r="G2728" s="14">
        <v>210000</v>
      </c>
      <c r="H2728" s="14">
        <v>201800</v>
      </c>
      <c r="I2728" t="s">
        <v>22</v>
      </c>
      <c r="J2728" t="s">
        <v>22</v>
      </c>
      <c r="K2728" t="s">
        <v>159</v>
      </c>
      <c r="L2728" t="s">
        <v>160</v>
      </c>
      <c r="M2728" t="s">
        <v>97</v>
      </c>
      <c r="N2728">
        <v>2</v>
      </c>
      <c r="O2728" t="s">
        <v>151</v>
      </c>
      <c r="P2728" t="s">
        <v>21</v>
      </c>
      <c r="Q2728" t="s">
        <v>30</v>
      </c>
      <c r="R2728" t="str">
        <f>VLOOKUP($O2728,'Mapa Oficinas'!$A$7:$C$46,2,FALSE)</f>
        <v>Interior - Neuquén</v>
      </c>
      <c r="S2728" t="str">
        <f>VLOOKUP($O2728,'Mapa Oficinas'!$A$7:$C$46,3,FALSE)</f>
        <v>Capital Neuquén</v>
      </c>
    </row>
    <row r="2729" spans="1:19" x14ac:dyDescent="0.2">
      <c r="A2729" s="1">
        <v>46111</v>
      </c>
      <c r="B2729" t="s">
        <v>179</v>
      </c>
      <c r="D2729" t="s">
        <v>180</v>
      </c>
      <c r="E2729" t="s">
        <v>16</v>
      </c>
      <c r="F2729" t="s">
        <v>17</v>
      </c>
      <c r="G2729" s="14">
        <v>410000</v>
      </c>
      <c r="H2729" s="14">
        <v>410000</v>
      </c>
      <c r="I2729" t="s">
        <v>22</v>
      </c>
      <c r="J2729" t="s">
        <v>22</v>
      </c>
      <c r="L2729" t="s">
        <v>181</v>
      </c>
      <c r="M2729" t="s">
        <v>28</v>
      </c>
      <c r="N2729">
        <v>1</v>
      </c>
      <c r="O2729" t="s">
        <v>65</v>
      </c>
      <c r="P2729" t="s">
        <v>131</v>
      </c>
      <c r="Q2729" t="s">
        <v>30</v>
      </c>
      <c r="R2729" t="str">
        <f>VLOOKUP($O2729,'Mapa Oficinas'!$A$7:$C$46,2,FALSE)</f>
        <v>Interior - Mendoza</v>
      </c>
      <c r="S2729" t="str">
        <f>VLOOKUP($O2729,'Mapa Oficinas'!$A$7:$C$46,3,FALSE)</f>
        <v>Capital Mendoza</v>
      </c>
    </row>
    <row r="2730" spans="1:19" x14ac:dyDescent="0.2">
      <c r="A2730" s="1">
        <v>46111</v>
      </c>
      <c r="B2730" t="s">
        <v>182</v>
      </c>
      <c r="D2730" t="s">
        <v>182</v>
      </c>
      <c r="E2730" t="s">
        <v>16</v>
      </c>
      <c r="F2730" t="s">
        <v>17</v>
      </c>
      <c r="G2730" s="14">
        <v>530000</v>
      </c>
      <c r="H2730" s="14">
        <v>530000</v>
      </c>
      <c r="I2730" t="s">
        <v>22</v>
      </c>
      <c r="J2730" t="s">
        <v>22</v>
      </c>
      <c r="L2730" t="s">
        <v>181</v>
      </c>
      <c r="M2730" t="s">
        <v>28</v>
      </c>
      <c r="N2730">
        <v>2</v>
      </c>
      <c r="O2730" t="s">
        <v>65</v>
      </c>
      <c r="P2730" t="s">
        <v>21</v>
      </c>
      <c r="Q2730" t="s">
        <v>30</v>
      </c>
      <c r="R2730" t="str">
        <f>VLOOKUP($O2730,'Mapa Oficinas'!$A$7:$C$46,2,FALSE)</f>
        <v>Interior - Mendoza</v>
      </c>
      <c r="S2730" t="str">
        <f>VLOOKUP($O2730,'Mapa Oficinas'!$A$7:$C$46,3,FALSE)</f>
        <v>Capital Mendoza</v>
      </c>
    </row>
    <row r="2731" spans="1:19" x14ac:dyDescent="0.2">
      <c r="A2731" s="1">
        <v>46112</v>
      </c>
      <c r="B2731" t="s">
        <v>67</v>
      </c>
      <c r="D2731" t="s">
        <v>68</v>
      </c>
      <c r="E2731" t="s">
        <v>16</v>
      </c>
      <c r="F2731" t="s">
        <v>17</v>
      </c>
      <c r="G2731" s="14">
        <v>49000</v>
      </c>
      <c r="H2731" s="14">
        <v>43000</v>
      </c>
      <c r="I2731" t="s">
        <v>22</v>
      </c>
      <c r="J2731" t="s">
        <v>22</v>
      </c>
      <c r="K2731" t="s">
        <v>69</v>
      </c>
      <c r="L2731" t="s">
        <v>70</v>
      </c>
      <c r="M2731" t="s">
        <v>19</v>
      </c>
      <c r="N2731">
        <v>2</v>
      </c>
      <c r="O2731" t="s">
        <v>65</v>
      </c>
      <c r="P2731" t="s">
        <v>21</v>
      </c>
      <c r="Q2731" t="s">
        <v>30</v>
      </c>
      <c r="R2731" t="str">
        <f>VLOOKUP($O2731,'Mapa Oficinas'!$A$7:$C$46,2,FALSE)</f>
        <v>Interior - Mendoza</v>
      </c>
      <c r="S2731" t="str">
        <f>VLOOKUP($O2731,'Mapa Oficinas'!$A$7:$C$46,3,FALSE)</f>
        <v>Capital Mendoza</v>
      </c>
    </row>
    <row r="2732" spans="1:19" x14ac:dyDescent="0.2">
      <c r="A2732" s="1">
        <v>46112</v>
      </c>
      <c r="B2732" t="s">
        <v>74</v>
      </c>
      <c r="D2732" t="s">
        <v>75</v>
      </c>
      <c r="E2732" t="s">
        <v>16</v>
      </c>
      <c r="F2732" t="s">
        <v>17</v>
      </c>
      <c r="G2732" s="14">
        <v>47500</v>
      </c>
      <c r="H2732" s="14">
        <v>45000</v>
      </c>
      <c r="I2732" t="s">
        <v>22</v>
      </c>
      <c r="J2732" t="s">
        <v>22</v>
      </c>
      <c r="K2732" t="s">
        <v>76</v>
      </c>
      <c r="L2732" t="s">
        <v>77</v>
      </c>
      <c r="M2732" t="s">
        <v>72</v>
      </c>
      <c r="N2732">
        <v>2</v>
      </c>
      <c r="O2732" t="s">
        <v>78</v>
      </c>
      <c r="P2732" t="s">
        <v>21</v>
      </c>
      <c r="Q2732" t="s">
        <v>30</v>
      </c>
      <c r="R2732" t="str">
        <f>VLOOKUP($O2732,'Mapa Oficinas'!$A$7:$C$46,2,FALSE)</f>
        <v>CABA</v>
      </c>
      <c r="S2732" t="str">
        <f>VLOOKUP($O2732,'Mapa Oficinas'!$A$7:$C$46,3,FALSE)</f>
        <v>Palermo</v>
      </c>
    </row>
    <row r="2733" spans="1:19" x14ac:dyDescent="0.2">
      <c r="A2733" s="1">
        <v>46112</v>
      </c>
      <c r="B2733" t="s">
        <v>112</v>
      </c>
      <c r="D2733" t="s">
        <v>113</v>
      </c>
      <c r="E2733" t="s">
        <v>16</v>
      </c>
      <c r="F2733" t="s">
        <v>17</v>
      </c>
      <c r="G2733" s="14">
        <v>47000</v>
      </c>
      <c r="H2733" s="14">
        <v>47000</v>
      </c>
      <c r="I2733" t="s">
        <v>22</v>
      </c>
      <c r="J2733" t="s">
        <v>22</v>
      </c>
      <c r="K2733" t="s">
        <v>114</v>
      </c>
      <c r="L2733" t="s">
        <v>115</v>
      </c>
      <c r="M2733" t="s">
        <v>19</v>
      </c>
      <c r="N2733">
        <v>2</v>
      </c>
      <c r="O2733" t="s">
        <v>116</v>
      </c>
      <c r="P2733" t="s">
        <v>21</v>
      </c>
      <c r="Q2733" t="s">
        <v>30</v>
      </c>
      <c r="R2733" t="str">
        <f>VLOOKUP($O2733,'Mapa Oficinas'!$A$7:$C$46,2,FALSE)</f>
        <v>CABA</v>
      </c>
      <c r="S2733" t="str">
        <f>VLOOKUP($O2733,'Mapa Oficinas'!$A$7:$C$46,3,FALSE)</f>
        <v>Puerto Madero</v>
      </c>
    </row>
    <row r="2734" spans="1:19" x14ac:dyDescent="0.2">
      <c r="A2734" s="1">
        <v>46112</v>
      </c>
      <c r="B2734" t="s">
        <v>51</v>
      </c>
      <c r="D2734" t="s">
        <v>52</v>
      </c>
      <c r="E2734" t="s">
        <v>16</v>
      </c>
      <c r="F2734" t="s">
        <v>53</v>
      </c>
      <c r="G2734" s="14">
        <v>75000</v>
      </c>
      <c r="H2734" s="14">
        <v>73000</v>
      </c>
      <c r="I2734" t="s">
        <v>22</v>
      </c>
      <c r="J2734" t="s">
        <v>22</v>
      </c>
      <c r="K2734" t="s">
        <v>52</v>
      </c>
      <c r="L2734" t="s">
        <v>54</v>
      </c>
      <c r="M2734" t="s">
        <v>28</v>
      </c>
      <c r="N2734">
        <v>2</v>
      </c>
      <c r="O2734" t="s">
        <v>55</v>
      </c>
      <c r="P2734" t="s">
        <v>21</v>
      </c>
      <c r="Q2734" t="s">
        <v>30</v>
      </c>
      <c r="R2734" t="str">
        <f>VLOOKUP($O2734,'Mapa Oficinas'!$A$7:$C$46,2,FALSE)</f>
        <v>Interior - Santa Fe</v>
      </c>
      <c r="S2734" t="str">
        <f>VLOOKUP($O2734,'Mapa Oficinas'!$A$7:$C$46,3,FALSE)</f>
        <v>Capital Santa Fe</v>
      </c>
    </row>
    <row r="2735" spans="1:19" x14ac:dyDescent="0.2">
      <c r="A2735" s="1">
        <v>46112</v>
      </c>
      <c r="B2735" t="s">
        <v>45</v>
      </c>
      <c r="D2735" t="s">
        <v>46</v>
      </c>
      <c r="E2735" t="s">
        <v>16</v>
      </c>
      <c r="F2735" t="s">
        <v>47</v>
      </c>
      <c r="G2735" s="14">
        <v>75000</v>
      </c>
      <c r="H2735" s="14">
        <v>75000</v>
      </c>
      <c r="I2735" t="s">
        <v>22</v>
      </c>
      <c r="J2735" t="s">
        <v>22</v>
      </c>
      <c r="K2735" t="s">
        <v>48</v>
      </c>
      <c r="L2735" t="s">
        <v>49</v>
      </c>
      <c r="M2735" t="s">
        <v>28</v>
      </c>
      <c r="N2735">
        <v>2</v>
      </c>
      <c r="O2735" t="s">
        <v>50</v>
      </c>
      <c r="P2735" t="s">
        <v>21</v>
      </c>
      <c r="Q2735" t="s">
        <v>30</v>
      </c>
      <c r="R2735" t="str">
        <f>VLOOKUP($O2735,'Mapa Oficinas'!$A$7:$C$46,2,FALSE)</f>
        <v>CABA</v>
      </c>
      <c r="S2735" t="str">
        <f>VLOOKUP($O2735,'Mapa Oficinas'!$A$7:$C$46,3,FALSE)</f>
        <v>Villa Urquiza</v>
      </c>
    </row>
    <row r="2736" spans="1:19" x14ac:dyDescent="0.2">
      <c r="A2736" s="1">
        <v>46112</v>
      </c>
      <c r="B2736" t="s">
        <v>121</v>
      </c>
      <c r="D2736" t="s">
        <v>122</v>
      </c>
      <c r="E2736" t="s">
        <v>16</v>
      </c>
      <c r="F2736" t="s">
        <v>38</v>
      </c>
      <c r="G2736" s="14">
        <v>87000</v>
      </c>
      <c r="H2736" s="14">
        <v>84000</v>
      </c>
      <c r="I2736" t="s">
        <v>22</v>
      </c>
      <c r="J2736" t="s">
        <v>22</v>
      </c>
      <c r="K2736" t="s">
        <v>123</v>
      </c>
      <c r="L2736" t="s">
        <v>124</v>
      </c>
      <c r="M2736" t="s">
        <v>19</v>
      </c>
      <c r="N2736">
        <v>2</v>
      </c>
      <c r="O2736" t="s">
        <v>55</v>
      </c>
      <c r="P2736" t="s">
        <v>21</v>
      </c>
      <c r="Q2736" t="s">
        <v>30</v>
      </c>
      <c r="R2736" t="str">
        <f>VLOOKUP($O2736,'Mapa Oficinas'!$A$7:$C$46,2,FALSE)</f>
        <v>Interior - Santa Fe</v>
      </c>
      <c r="S2736" t="str">
        <f>VLOOKUP($O2736,'Mapa Oficinas'!$A$7:$C$46,3,FALSE)</f>
        <v>Capital Santa Fe</v>
      </c>
    </row>
    <row r="2737" spans="1:19" x14ac:dyDescent="0.2">
      <c r="A2737" s="1">
        <v>46112</v>
      </c>
      <c r="B2737" t="s">
        <v>93</v>
      </c>
      <c r="D2737" t="s">
        <v>94</v>
      </c>
      <c r="E2737" t="s">
        <v>16</v>
      </c>
      <c r="F2737" t="s">
        <v>47</v>
      </c>
      <c r="G2737" s="14">
        <v>85000</v>
      </c>
      <c r="H2737" s="14">
        <v>85000</v>
      </c>
      <c r="I2737" t="s">
        <v>22</v>
      </c>
      <c r="J2737" t="s">
        <v>22</v>
      </c>
      <c r="K2737" t="s">
        <v>95</v>
      </c>
      <c r="L2737" t="s">
        <v>96</v>
      </c>
      <c r="M2737" t="s">
        <v>97</v>
      </c>
      <c r="N2737">
        <v>2</v>
      </c>
      <c r="O2737" t="s">
        <v>98</v>
      </c>
      <c r="P2737" t="s">
        <v>21</v>
      </c>
      <c r="Q2737" t="s">
        <v>30</v>
      </c>
      <c r="R2737" t="str">
        <f>VLOOKUP($O2737,'Mapa Oficinas'!$A$7:$C$46,2,FALSE)</f>
        <v>Interior - Neuquén</v>
      </c>
      <c r="S2737" t="str">
        <f>VLOOKUP($O2737,'Mapa Oficinas'!$A$7:$C$46,3,FALSE)</f>
        <v>Villa La Angostura</v>
      </c>
    </row>
    <row r="2738" spans="1:19" x14ac:dyDescent="0.2">
      <c r="A2738" s="1">
        <v>46112</v>
      </c>
      <c r="B2738" t="s">
        <v>31</v>
      </c>
      <c r="D2738" t="s">
        <v>32</v>
      </c>
      <c r="E2738" t="s">
        <v>16</v>
      </c>
      <c r="F2738" t="s">
        <v>17</v>
      </c>
      <c r="G2738" s="14">
        <v>120000</v>
      </c>
      <c r="H2738" s="14">
        <v>102000</v>
      </c>
      <c r="I2738" t="s">
        <v>22</v>
      </c>
      <c r="J2738" t="s">
        <v>22</v>
      </c>
      <c r="K2738" t="s">
        <v>33</v>
      </c>
      <c r="L2738" t="s">
        <v>34</v>
      </c>
      <c r="M2738" t="s">
        <v>19</v>
      </c>
      <c r="N2738">
        <v>2</v>
      </c>
      <c r="O2738" t="s">
        <v>35</v>
      </c>
      <c r="P2738" t="s">
        <v>36</v>
      </c>
      <c r="Q2738" t="s">
        <v>30</v>
      </c>
      <c r="R2738" t="str">
        <f>VLOOKUP($O2738,'Mapa Oficinas'!$A$7:$C$46,2,FALSE)</f>
        <v>Zona Norte (GBA)</v>
      </c>
      <c r="S2738" t="str">
        <f>VLOOKUP($O2738,'Mapa Oficinas'!$A$7:$C$46,3,FALSE)</f>
        <v>Vicente López</v>
      </c>
    </row>
    <row r="2739" spans="1:19" x14ac:dyDescent="0.2">
      <c r="A2739" s="1">
        <v>46112</v>
      </c>
      <c r="B2739" t="s">
        <v>42</v>
      </c>
      <c r="D2739" t="s">
        <v>43</v>
      </c>
      <c r="E2739" t="s">
        <v>16</v>
      </c>
      <c r="F2739" t="s">
        <v>38</v>
      </c>
      <c r="G2739" s="14">
        <v>95000</v>
      </c>
      <c r="H2739" s="14">
        <v>102000</v>
      </c>
      <c r="I2739" t="s">
        <v>22</v>
      </c>
      <c r="J2739" t="s">
        <v>22</v>
      </c>
      <c r="L2739" t="s">
        <v>34</v>
      </c>
      <c r="M2739" t="s">
        <v>19</v>
      </c>
      <c r="N2739">
        <v>2</v>
      </c>
      <c r="O2739" t="s">
        <v>40</v>
      </c>
      <c r="P2739" t="s">
        <v>44</v>
      </c>
      <c r="Q2739" t="s">
        <v>30</v>
      </c>
      <c r="R2739" t="str">
        <f>VLOOKUP($O2739,'Mapa Oficinas'!$A$7:$C$46,2,FALSE)</f>
        <v>Zona Norte (GBA)</v>
      </c>
      <c r="S2739" t="str">
        <f>VLOOKUP($O2739,'Mapa Oficinas'!$A$7:$C$46,3,FALSE)</f>
        <v>Pilar</v>
      </c>
    </row>
    <row r="2740" spans="1:19" x14ac:dyDescent="0.2">
      <c r="A2740" s="1">
        <v>46112</v>
      </c>
      <c r="B2740" t="s">
        <v>89</v>
      </c>
      <c r="D2740" t="s">
        <v>90</v>
      </c>
      <c r="E2740" t="s">
        <v>16</v>
      </c>
      <c r="F2740" t="s">
        <v>53</v>
      </c>
      <c r="G2740" s="14">
        <v>115000</v>
      </c>
      <c r="H2740" s="14">
        <v>105000</v>
      </c>
      <c r="I2740" t="s">
        <v>22</v>
      </c>
      <c r="J2740" t="s">
        <v>22</v>
      </c>
      <c r="K2740" t="s">
        <v>91</v>
      </c>
      <c r="L2740" t="s">
        <v>92</v>
      </c>
      <c r="M2740" t="s">
        <v>28</v>
      </c>
      <c r="N2740">
        <v>2</v>
      </c>
      <c r="O2740" t="s">
        <v>55</v>
      </c>
      <c r="P2740" t="s">
        <v>21</v>
      </c>
      <c r="Q2740" t="s">
        <v>30</v>
      </c>
      <c r="R2740" t="str">
        <f>VLOOKUP($O2740,'Mapa Oficinas'!$A$7:$C$46,2,FALSE)</f>
        <v>Interior - Santa Fe</v>
      </c>
      <c r="S2740" t="str">
        <f>VLOOKUP($O2740,'Mapa Oficinas'!$A$7:$C$46,3,FALSE)</f>
        <v>Capital Santa Fe</v>
      </c>
    </row>
    <row r="2741" spans="1:19" x14ac:dyDescent="0.2">
      <c r="A2741" s="1">
        <v>46112</v>
      </c>
      <c r="B2741" t="s">
        <v>56</v>
      </c>
      <c r="D2741" t="s">
        <v>57</v>
      </c>
      <c r="E2741" t="s">
        <v>16</v>
      </c>
      <c r="F2741" t="s">
        <v>58</v>
      </c>
      <c r="G2741" s="14">
        <v>128000</v>
      </c>
      <c r="H2741" s="14">
        <v>121000</v>
      </c>
      <c r="I2741" t="s">
        <v>22</v>
      </c>
      <c r="J2741" t="s">
        <v>22</v>
      </c>
      <c r="K2741" t="s">
        <v>59</v>
      </c>
      <c r="L2741" t="s">
        <v>60</v>
      </c>
      <c r="M2741" t="s">
        <v>19</v>
      </c>
      <c r="N2741">
        <v>2</v>
      </c>
      <c r="O2741" t="s">
        <v>50</v>
      </c>
      <c r="P2741" t="s">
        <v>21</v>
      </c>
      <c r="Q2741" t="s">
        <v>30</v>
      </c>
      <c r="R2741" t="str">
        <f>VLOOKUP($O2741,'Mapa Oficinas'!$A$7:$C$46,2,FALSE)</f>
        <v>CABA</v>
      </c>
      <c r="S2741" t="str">
        <f>VLOOKUP($O2741,'Mapa Oficinas'!$A$7:$C$46,3,FALSE)</f>
        <v>Villa Urquiza</v>
      </c>
    </row>
    <row r="2742" spans="1:19" x14ac:dyDescent="0.2">
      <c r="A2742" s="1">
        <v>46112</v>
      </c>
      <c r="B2742" t="s">
        <v>99</v>
      </c>
      <c r="D2742" t="s">
        <v>100</v>
      </c>
      <c r="E2742" t="s">
        <v>16</v>
      </c>
      <c r="F2742" t="s">
        <v>17</v>
      </c>
      <c r="G2742" s="14">
        <v>160000</v>
      </c>
      <c r="H2742" s="14">
        <v>140000</v>
      </c>
      <c r="I2742" t="s">
        <v>22</v>
      </c>
      <c r="J2742" t="s">
        <v>22</v>
      </c>
      <c r="K2742" t="s">
        <v>101</v>
      </c>
      <c r="L2742" t="s">
        <v>102</v>
      </c>
      <c r="M2742" t="s">
        <v>72</v>
      </c>
      <c r="N2742">
        <v>2</v>
      </c>
      <c r="O2742" t="s">
        <v>103</v>
      </c>
      <c r="P2742" t="s">
        <v>21</v>
      </c>
      <c r="Q2742" t="s">
        <v>30</v>
      </c>
      <c r="R2742" t="str">
        <f>VLOOKUP($O2742,'Mapa Oficinas'!$A$7:$C$46,2,FALSE)</f>
        <v>CABA</v>
      </c>
      <c r="S2742" t="str">
        <f>VLOOKUP($O2742,'Mapa Oficinas'!$A$7:$C$46,3,FALSE)</f>
        <v>Barrio Parque</v>
      </c>
    </row>
    <row r="2743" spans="1:19" x14ac:dyDescent="0.2">
      <c r="A2743" s="1">
        <v>46112</v>
      </c>
      <c r="B2743" t="s">
        <v>24</v>
      </c>
      <c r="D2743" t="s">
        <v>25</v>
      </c>
      <c r="E2743" t="s">
        <v>16</v>
      </c>
      <c r="F2743" t="s">
        <v>17</v>
      </c>
      <c r="G2743" s="14">
        <v>170000</v>
      </c>
      <c r="H2743" s="14">
        <v>150000</v>
      </c>
      <c r="I2743" t="s">
        <v>22</v>
      </c>
      <c r="J2743" t="s">
        <v>22</v>
      </c>
      <c r="K2743" t="s">
        <v>26</v>
      </c>
      <c r="L2743" t="s">
        <v>27</v>
      </c>
      <c r="M2743" t="s">
        <v>28</v>
      </c>
      <c r="N2743">
        <v>2</v>
      </c>
      <c r="O2743" t="s">
        <v>29</v>
      </c>
      <c r="P2743" t="s">
        <v>21</v>
      </c>
      <c r="Q2743" t="s">
        <v>30</v>
      </c>
      <c r="R2743" t="str">
        <f>VLOOKUP($O2743,'Mapa Oficinas'!$A$7:$C$46,2,FALSE)</f>
        <v>CABA</v>
      </c>
      <c r="S2743" t="str">
        <f>VLOOKUP($O2743,'Mapa Oficinas'!$A$7:$C$46,3,FALSE)</f>
        <v>Núñez</v>
      </c>
    </row>
    <row r="2744" spans="1:19" x14ac:dyDescent="0.2">
      <c r="A2744" s="1">
        <v>46112</v>
      </c>
      <c r="B2744" t="s">
        <v>80</v>
      </c>
      <c r="D2744" t="s">
        <v>81</v>
      </c>
      <c r="E2744" t="s">
        <v>16</v>
      </c>
      <c r="F2744" t="s">
        <v>82</v>
      </c>
      <c r="G2744" s="14">
        <v>160000</v>
      </c>
      <c r="H2744" s="14">
        <v>155000</v>
      </c>
      <c r="I2744" t="s">
        <v>22</v>
      </c>
      <c r="J2744" t="s">
        <v>22</v>
      </c>
      <c r="K2744" t="s">
        <v>83</v>
      </c>
      <c r="L2744" t="s">
        <v>84</v>
      </c>
      <c r="M2744" t="s">
        <v>28</v>
      </c>
      <c r="N2744">
        <v>2</v>
      </c>
      <c r="O2744" t="s">
        <v>85</v>
      </c>
      <c r="P2744" t="s">
        <v>21</v>
      </c>
      <c r="Q2744" t="s">
        <v>30</v>
      </c>
      <c r="R2744" t="str">
        <f>VLOOKUP($O2744,'Mapa Oficinas'!$A$7:$C$46,2,FALSE)</f>
        <v>Interior - Jujuy</v>
      </c>
      <c r="S2744" t="str">
        <f>VLOOKUP($O2744,'Mapa Oficinas'!$A$7:$C$46,3,FALSE)</f>
        <v>Capital Jujuy</v>
      </c>
    </row>
    <row r="2745" spans="1:19" x14ac:dyDescent="0.2">
      <c r="A2745" s="1">
        <v>46112</v>
      </c>
      <c r="B2745" t="s">
        <v>108</v>
      </c>
      <c r="D2745" t="s">
        <v>109</v>
      </c>
      <c r="E2745" t="s">
        <v>16</v>
      </c>
      <c r="F2745" t="s">
        <v>17</v>
      </c>
      <c r="G2745" s="14">
        <v>148665</v>
      </c>
      <c r="H2745" s="14">
        <v>172500</v>
      </c>
      <c r="I2745" t="s">
        <v>22</v>
      </c>
      <c r="J2745" t="s">
        <v>22</v>
      </c>
      <c r="K2745" t="s">
        <v>110</v>
      </c>
      <c r="L2745" t="s">
        <v>111</v>
      </c>
      <c r="M2745" t="s">
        <v>19</v>
      </c>
      <c r="N2745">
        <v>2</v>
      </c>
      <c r="O2745" t="s">
        <v>103</v>
      </c>
      <c r="P2745" t="s">
        <v>21</v>
      </c>
      <c r="Q2745" t="s">
        <v>30</v>
      </c>
      <c r="R2745" t="str">
        <f>VLOOKUP($O2745,'Mapa Oficinas'!$A$7:$C$46,2,FALSE)</f>
        <v>CABA</v>
      </c>
      <c r="S2745" t="str">
        <f>VLOOKUP($O2745,'Mapa Oficinas'!$A$7:$C$46,3,FALSE)</f>
        <v>Barrio Parque</v>
      </c>
    </row>
    <row r="2746" spans="1:19" x14ac:dyDescent="0.2">
      <c r="A2746" s="1">
        <v>46112</v>
      </c>
      <c r="B2746" t="s">
        <v>104</v>
      </c>
      <c r="D2746" t="s">
        <v>105</v>
      </c>
      <c r="E2746" t="s">
        <v>16</v>
      </c>
      <c r="F2746" t="s">
        <v>17</v>
      </c>
      <c r="G2746" s="14">
        <v>475000</v>
      </c>
      <c r="H2746" s="14">
        <v>475000</v>
      </c>
      <c r="I2746" t="s">
        <v>22</v>
      </c>
      <c r="J2746" t="s">
        <v>22</v>
      </c>
      <c r="K2746" t="s">
        <v>106</v>
      </c>
      <c r="L2746" t="s">
        <v>107</v>
      </c>
      <c r="M2746" t="s">
        <v>28</v>
      </c>
      <c r="N2746">
        <v>2</v>
      </c>
      <c r="O2746" t="s">
        <v>103</v>
      </c>
      <c r="P2746" t="s">
        <v>21</v>
      </c>
      <c r="Q2746" t="s">
        <v>30</v>
      </c>
      <c r="R2746" t="str">
        <f>VLOOKUP($O2746,'Mapa Oficinas'!$A$7:$C$46,2,FALSE)</f>
        <v>CABA</v>
      </c>
      <c r="S2746" t="str">
        <f>VLOOKUP($O2746,'Mapa Oficinas'!$A$7:$C$46,3,FALSE)</f>
        <v>Barrio Parque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6ABF2-1F4E-5F42-852F-EBB4FB41362E}">
  <dimension ref="A2:Q380"/>
  <sheetViews>
    <sheetView topLeftCell="A332" workbookViewId="0">
      <selection activeCell="G383" sqref="G383"/>
    </sheetView>
  </sheetViews>
  <sheetFormatPr baseColWidth="10" defaultRowHeight="15" x14ac:dyDescent="0.2"/>
  <sheetData>
    <row r="2" spans="1:17" x14ac:dyDescent="0.2">
      <c r="A2" s="11">
        <v>45943</v>
      </c>
      <c r="B2" s="12">
        <v>9102025</v>
      </c>
      <c r="C2" s="12"/>
      <c r="D2" s="12" t="s">
        <v>3838</v>
      </c>
      <c r="E2" s="12" t="s">
        <v>16</v>
      </c>
      <c r="F2" s="12" t="s">
        <v>134</v>
      </c>
      <c r="G2" s="13">
        <v>43000</v>
      </c>
      <c r="H2" s="13">
        <v>750</v>
      </c>
      <c r="I2" s="12" t="s">
        <v>22</v>
      </c>
      <c r="J2" s="12" t="s">
        <v>22</v>
      </c>
      <c r="K2" s="12"/>
      <c r="L2" s="12" t="s">
        <v>129</v>
      </c>
      <c r="M2" s="12" t="s">
        <v>97</v>
      </c>
      <c r="N2" s="12">
        <v>1</v>
      </c>
      <c r="O2" s="12" t="s">
        <v>130</v>
      </c>
      <c r="P2" s="12" t="s">
        <v>44</v>
      </c>
      <c r="Q2" s="12" t="s">
        <v>30</v>
      </c>
    </row>
    <row r="3" spans="1:17" x14ac:dyDescent="0.2">
      <c r="A3" s="11">
        <v>45798</v>
      </c>
      <c r="B3" s="12" t="s">
        <v>6055</v>
      </c>
      <c r="C3" s="12"/>
      <c r="D3" s="12" t="s">
        <v>6056</v>
      </c>
      <c r="E3" s="12" t="s">
        <v>16</v>
      </c>
      <c r="F3" s="12" t="s">
        <v>17</v>
      </c>
      <c r="G3" s="13">
        <v>102194</v>
      </c>
      <c r="H3" s="13">
        <v>1000</v>
      </c>
      <c r="I3" s="12" t="s">
        <v>22</v>
      </c>
      <c r="J3" s="12" t="s">
        <v>22</v>
      </c>
      <c r="K3" s="12" t="s">
        <v>6056</v>
      </c>
      <c r="L3" s="12" t="s">
        <v>6057</v>
      </c>
      <c r="M3" s="12" t="s">
        <v>19</v>
      </c>
      <c r="N3" s="12">
        <v>2</v>
      </c>
      <c r="O3" s="12" t="s">
        <v>142</v>
      </c>
      <c r="P3" s="12" t="s">
        <v>41</v>
      </c>
      <c r="Q3" s="12" t="s">
        <v>30</v>
      </c>
    </row>
    <row r="4" spans="1:17" x14ac:dyDescent="0.2">
      <c r="A4" s="11">
        <v>45992</v>
      </c>
      <c r="B4" s="12" t="s">
        <v>2853</v>
      </c>
      <c r="C4" s="12"/>
      <c r="D4" s="12" t="s">
        <v>2854</v>
      </c>
      <c r="E4" s="12" t="s">
        <v>16</v>
      </c>
      <c r="F4" s="12" t="s">
        <v>17</v>
      </c>
      <c r="G4" s="13">
        <v>31900</v>
      </c>
      <c r="H4" s="13">
        <v>2000</v>
      </c>
      <c r="I4" s="12" t="s">
        <v>22</v>
      </c>
      <c r="J4" s="12" t="s">
        <v>18</v>
      </c>
      <c r="K4" s="12" t="s">
        <v>2855</v>
      </c>
      <c r="L4" s="12" t="s">
        <v>851</v>
      </c>
      <c r="M4" s="12" t="s">
        <v>19</v>
      </c>
      <c r="N4" s="12">
        <v>2</v>
      </c>
      <c r="O4" s="12" t="s">
        <v>65</v>
      </c>
      <c r="P4" s="12" t="s">
        <v>21</v>
      </c>
      <c r="Q4" s="12" t="s">
        <v>30</v>
      </c>
    </row>
    <row r="5" spans="1:17" x14ac:dyDescent="0.2">
      <c r="A5" s="11">
        <v>45706</v>
      </c>
      <c r="B5" s="12" t="s">
        <v>8020</v>
      </c>
      <c r="C5" s="12"/>
      <c r="D5" s="12" t="s">
        <v>8021</v>
      </c>
      <c r="E5" s="12" t="s">
        <v>16</v>
      </c>
      <c r="F5" s="12" t="s">
        <v>17</v>
      </c>
      <c r="G5" s="13">
        <v>800</v>
      </c>
      <c r="H5" s="13">
        <v>3000</v>
      </c>
      <c r="I5" s="12" t="s">
        <v>22</v>
      </c>
      <c r="J5" s="12" t="s">
        <v>22</v>
      </c>
      <c r="K5" s="12" t="s">
        <v>8021</v>
      </c>
      <c r="L5" s="12" t="s">
        <v>388</v>
      </c>
      <c r="M5" s="12" t="s">
        <v>19</v>
      </c>
      <c r="N5" s="12">
        <v>2</v>
      </c>
      <c r="O5" s="12" t="s">
        <v>142</v>
      </c>
      <c r="P5" s="12" t="s">
        <v>21</v>
      </c>
      <c r="Q5" s="12" t="s">
        <v>30</v>
      </c>
    </row>
    <row r="6" spans="1:17" x14ac:dyDescent="0.2">
      <c r="A6" s="11">
        <v>45758</v>
      </c>
      <c r="B6" s="12" t="s">
        <v>5753</v>
      </c>
      <c r="C6" s="12"/>
      <c r="D6" s="12" t="s">
        <v>5754</v>
      </c>
      <c r="E6" s="12" t="s">
        <v>16</v>
      </c>
      <c r="F6" s="12" t="s">
        <v>17</v>
      </c>
      <c r="G6" s="13">
        <v>5200</v>
      </c>
      <c r="H6" s="13">
        <v>4500</v>
      </c>
      <c r="I6" s="12" t="s">
        <v>22</v>
      </c>
      <c r="J6" s="12" t="s">
        <v>22</v>
      </c>
      <c r="K6" s="12" t="s">
        <v>5754</v>
      </c>
      <c r="L6" s="12" t="s">
        <v>5617</v>
      </c>
      <c r="M6" s="12" t="s">
        <v>97</v>
      </c>
      <c r="N6" s="12">
        <v>2</v>
      </c>
      <c r="O6" s="12" t="s">
        <v>171</v>
      </c>
      <c r="P6" s="12" t="s">
        <v>21</v>
      </c>
      <c r="Q6" s="12" t="s">
        <v>30</v>
      </c>
    </row>
    <row r="7" spans="1:17" x14ac:dyDescent="0.2">
      <c r="A7" s="11">
        <v>45721</v>
      </c>
      <c r="B7" s="12" t="s">
        <v>5753</v>
      </c>
      <c r="C7" s="12"/>
      <c r="D7" s="12" t="s">
        <v>5754</v>
      </c>
      <c r="E7" s="12" t="s">
        <v>16</v>
      </c>
      <c r="F7" s="12" t="s">
        <v>38</v>
      </c>
      <c r="G7" s="13">
        <v>5300</v>
      </c>
      <c r="H7" s="13">
        <v>4774</v>
      </c>
      <c r="I7" s="12" t="s">
        <v>22</v>
      </c>
      <c r="J7" s="12" t="s">
        <v>22</v>
      </c>
      <c r="K7" s="12" t="s">
        <v>5754</v>
      </c>
      <c r="L7" s="12" t="s">
        <v>5617</v>
      </c>
      <c r="M7" s="12" t="s">
        <v>97</v>
      </c>
      <c r="N7" s="12">
        <v>2</v>
      </c>
      <c r="O7" s="12" t="s">
        <v>171</v>
      </c>
      <c r="P7" s="12" t="s">
        <v>21</v>
      </c>
      <c r="Q7" s="12" t="s">
        <v>30</v>
      </c>
    </row>
    <row r="8" spans="1:17" x14ac:dyDescent="0.2">
      <c r="A8" s="11">
        <v>45992</v>
      </c>
      <c r="B8" s="12" t="s">
        <v>2847</v>
      </c>
      <c r="C8" s="12"/>
      <c r="D8" s="12" t="s">
        <v>2848</v>
      </c>
      <c r="E8" s="12" t="s">
        <v>16</v>
      </c>
      <c r="F8" s="12" t="s">
        <v>17</v>
      </c>
      <c r="G8" s="13">
        <v>48000</v>
      </c>
      <c r="H8" s="13">
        <v>4840</v>
      </c>
      <c r="I8" s="12" t="s">
        <v>22</v>
      </c>
      <c r="J8" s="12" t="s">
        <v>22</v>
      </c>
      <c r="K8" s="12" t="s">
        <v>2849</v>
      </c>
      <c r="L8" s="12" t="s">
        <v>851</v>
      </c>
      <c r="M8" s="12" t="s">
        <v>28</v>
      </c>
      <c r="N8" s="12">
        <v>2</v>
      </c>
      <c r="O8" s="12" t="s">
        <v>65</v>
      </c>
      <c r="P8" s="12" t="s">
        <v>21</v>
      </c>
      <c r="Q8" s="12" t="s">
        <v>30</v>
      </c>
    </row>
    <row r="9" spans="1:17" x14ac:dyDescent="0.2">
      <c r="A9" s="11">
        <v>45952</v>
      </c>
      <c r="B9" s="12" t="s">
        <v>3583</v>
      </c>
      <c r="C9" s="12"/>
      <c r="D9" s="12" t="s">
        <v>3584</v>
      </c>
      <c r="E9" s="12" t="s">
        <v>16</v>
      </c>
      <c r="F9" s="12" t="s">
        <v>243</v>
      </c>
      <c r="G9" s="13">
        <v>4900</v>
      </c>
      <c r="H9" s="13">
        <v>4900</v>
      </c>
      <c r="I9" s="12" t="s">
        <v>22</v>
      </c>
      <c r="J9" s="12" t="s">
        <v>22</v>
      </c>
      <c r="K9" s="12" t="s">
        <v>3585</v>
      </c>
      <c r="L9" s="12" t="s">
        <v>593</v>
      </c>
      <c r="M9" s="12" t="s">
        <v>188</v>
      </c>
      <c r="N9" s="12">
        <v>2</v>
      </c>
      <c r="O9" s="12" t="s">
        <v>65</v>
      </c>
      <c r="P9" s="12" t="s">
        <v>21</v>
      </c>
      <c r="Q9" s="12" t="s">
        <v>30</v>
      </c>
    </row>
    <row r="10" spans="1:17" x14ac:dyDescent="0.2">
      <c r="A10" s="11">
        <v>45992</v>
      </c>
      <c r="B10" s="12" t="s">
        <v>2868</v>
      </c>
      <c r="C10" s="12"/>
      <c r="D10" s="12" t="s">
        <v>2869</v>
      </c>
      <c r="E10" s="12" t="s">
        <v>16</v>
      </c>
      <c r="F10" s="12" t="s">
        <v>17</v>
      </c>
      <c r="G10" s="13">
        <v>140000</v>
      </c>
      <c r="H10" s="13">
        <v>5000</v>
      </c>
      <c r="I10" s="12" t="s">
        <v>22</v>
      </c>
      <c r="J10" s="12" t="s">
        <v>22</v>
      </c>
      <c r="K10" s="12" t="s">
        <v>2870</v>
      </c>
      <c r="L10" s="12" t="s">
        <v>2567</v>
      </c>
      <c r="M10" s="12" t="s">
        <v>28</v>
      </c>
      <c r="N10" s="12">
        <v>1</v>
      </c>
      <c r="O10" s="12" t="s">
        <v>65</v>
      </c>
      <c r="P10" s="12" t="s">
        <v>131</v>
      </c>
      <c r="Q10" s="12" t="s">
        <v>30</v>
      </c>
    </row>
    <row r="11" spans="1:17" x14ac:dyDescent="0.2">
      <c r="A11" s="11">
        <v>45777</v>
      </c>
      <c r="B11" s="12" t="s">
        <v>6952</v>
      </c>
      <c r="C11" s="12"/>
      <c r="D11" s="12" t="s">
        <v>6953</v>
      </c>
      <c r="E11" s="12" t="s">
        <v>16</v>
      </c>
      <c r="F11" s="12" t="s">
        <v>17</v>
      </c>
      <c r="G11" s="13">
        <v>7000</v>
      </c>
      <c r="H11" s="13">
        <v>5000</v>
      </c>
      <c r="I11" s="12" t="s">
        <v>22</v>
      </c>
      <c r="J11" s="12" t="s">
        <v>22</v>
      </c>
      <c r="K11" s="12" t="s">
        <v>6954</v>
      </c>
      <c r="L11" s="12" t="s">
        <v>226</v>
      </c>
      <c r="M11" s="12" t="s">
        <v>188</v>
      </c>
      <c r="N11" s="12">
        <v>2</v>
      </c>
      <c r="O11" s="12" t="s">
        <v>103</v>
      </c>
      <c r="P11" s="12" t="s">
        <v>21</v>
      </c>
      <c r="Q11" s="12" t="s">
        <v>30</v>
      </c>
    </row>
    <row r="12" spans="1:17" x14ac:dyDescent="0.2">
      <c r="A12" s="11">
        <v>45951</v>
      </c>
      <c r="B12" s="12" t="s">
        <v>3623</v>
      </c>
      <c r="C12" s="12"/>
      <c r="D12" s="12" t="s">
        <v>3624</v>
      </c>
      <c r="E12" s="12" t="s">
        <v>16</v>
      </c>
      <c r="F12" s="12" t="s">
        <v>47</v>
      </c>
      <c r="G12" s="13">
        <v>650</v>
      </c>
      <c r="H12" s="13">
        <v>5200</v>
      </c>
      <c r="I12" s="12" t="s">
        <v>22</v>
      </c>
      <c r="J12" s="12" t="s">
        <v>22</v>
      </c>
      <c r="K12" s="12" t="s">
        <v>3624</v>
      </c>
      <c r="L12" s="12" t="s">
        <v>1256</v>
      </c>
      <c r="M12" s="12" t="s">
        <v>19</v>
      </c>
      <c r="N12" s="12">
        <v>2</v>
      </c>
      <c r="O12" s="12" t="s">
        <v>142</v>
      </c>
      <c r="P12" s="12" t="s">
        <v>21</v>
      </c>
      <c r="Q12" s="12" t="s">
        <v>30</v>
      </c>
    </row>
    <row r="13" spans="1:17" x14ac:dyDescent="0.2">
      <c r="A13" s="11">
        <v>45842</v>
      </c>
      <c r="B13" s="12" t="s">
        <v>5753</v>
      </c>
      <c r="C13" s="12"/>
      <c r="D13" s="12" t="s">
        <v>5754</v>
      </c>
      <c r="E13" s="12" t="s">
        <v>16</v>
      </c>
      <c r="F13" s="12" t="s">
        <v>17</v>
      </c>
      <c r="G13" s="13">
        <v>5200</v>
      </c>
      <c r="H13" s="13">
        <v>5200</v>
      </c>
      <c r="I13" s="12" t="s">
        <v>22</v>
      </c>
      <c r="J13" s="12" t="s">
        <v>22</v>
      </c>
      <c r="K13" s="12" t="s">
        <v>5754</v>
      </c>
      <c r="L13" s="12" t="s">
        <v>5617</v>
      </c>
      <c r="M13" s="12" t="s">
        <v>97</v>
      </c>
      <c r="N13" s="12">
        <v>2</v>
      </c>
      <c r="O13" s="12" t="s">
        <v>171</v>
      </c>
      <c r="P13" s="12" t="s">
        <v>21</v>
      </c>
      <c r="Q13" s="12" t="s">
        <v>30</v>
      </c>
    </row>
    <row r="14" spans="1:17" x14ac:dyDescent="0.2">
      <c r="A14" s="11">
        <v>45954</v>
      </c>
      <c r="B14" s="12" t="s">
        <v>3523</v>
      </c>
      <c r="C14" s="12"/>
      <c r="D14" s="12" t="s">
        <v>3524</v>
      </c>
      <c r="E14" s="12" t="s">
        <v>16</v>
      </c>
      <c r="F14" s="12" t="s">
        <v>134</v>
      </c>
      <c r="G14" s="13">
        <v>2800</v>
      </c>
      <c r="H14" s="13">
        <v>5600</v>
      </c>
      <c r="I14" s="12" t="s">
        <v>22</v>
      </c>
      <c r="J14" s="12" t="s">
        <v>22</v>
      </c>
      <c r="K14" s="12" t="s">
        <v>594</v>
      </c>
      <c r="L14" s="12" t="s">
        <v>595</v>
      </c>
      <c r="M14" s="12" t="s">
        <v>28</v>
      </c>
      <c r="N14" s="12">
        <v>2</v>
      </c>
      <c r="O14" s="12" t="s">
        <v>130</v>
      </c>
      <c r="P14" s="12" t="s">
        <v>44</v>
      </c>
      <c r="Q14" s="12" t="s">
        <v>30</v>
      </c>
    </row>
    <row r="15" spans="1:17" x14ac:dyDescent="0.2">
      <c r="A15" s="11">
        <v>45992</v>
      </c>
      <c r="B15" s="12" t="s">
        <v>2723</v>
      </c>
      <c r="C15" s="12"/>
      <c r="D15" s="12" t="s">
        <v>2724</v>
      </c>
      <c r="E15" s="12" t="s">
        <v>16</v>
      </c>
      <c r="F15" s="12" t="s">
        <v>17</v>
      </c>
      <c r="G15" s="13">
        <v>600</v>
      </c>
      <c r="H15" s="13">
        <v>6000</v>
      </c>
      <c r="I15" s="12" t="s">
        <v>22</v>
      </c>
      <c r="J15" s="12" t="s">
        <v>22</v>
      </c>
      <c r="K15" s="12" t="s">
        <v>2725</v>
      </c>
      <c r="L15" s="12" t="s">
        <v>2726</v>
      </c>
      <c r="M15" s="12" t="s">
        <v>19</v>
      </c>
      <c r="N15" s="12">
        <v>1</v>
      </c>
      <c r="O15" s="12" t="s">
        <v>65</v>
      </c>
      <c r="P15" s="12" t="s">
        <v>131</v>
      </c>
      <c r="Q15" s="12" t="s">
        <v>30</v>
      </c>
    </row>
    <row r="16" spans="1:17" x14ac:dyDescent="0.2">
      <c r="A16" s="11">
        <v>45744</v>
      </c>
      <c r="B16" s="12" t="s">
        <v>7542</v>
      </c>
      <c r="C16" s="12"/>
      <c r="D16" s="12" t="s">
        <v>7543</v>
      </c>
      <c r="E16" s="12" t="s">
        <v>16</v>
      </c>
      <c r="F16" s="12" t="s">
        <v>17</v>
      </c>
      <c r="G16" s="13">
        <v>7000</v>
      </c>
      <c r="H16" s="13">
        <v>6000</v>
      </c>
      <c r="I16" s="12" t="s">
        <v>22</v>
      </c>
      <c r="J16" s="12" t="s">
        <v>22</v>
      </c>
      <c r="K16" s="12" t="s">
        <v>7544</v>
      </c>
      <c r="L16" s="12" t="s">
        <v>191</v>
      </c>
      <c r="M16" s="12" t="s">
        <v>188</v>
      </c>
      <c r="N16" s="12">
        <v>2</v>
      </c>
      <c r="O16" s="12" t="s">
        <v>73</v>
      </c>
      <c r="P16" s="12" t="s">
        <v>21</v>
      </c>
      <c r="Q16" s="12" t="s">
        <v>30</v>
      </c>
    </row>
    <row r="17" spans="1:17" x14ac:dyDescent="0.2">
      <c r="A17" s="11">
        <v>45933</v>
      </c>
      <c r="B17" s="12" t="s">
        <v>4006</v>
      </c>
      <c r="C17" s="12"/>
      <c r="D17" s="12" t="s">
        <v>4007</v>
      </c>
      <c r="E17" s="12" t="s">
        <v>16</v>
      </c>
      <c r="F17" s="12" t="s">
        <v>53</v>
      </c>
      <c r="G17" s="13">
        <v>7000</v>
      </c>
      <c r="H17" s="13">
        <v>6500</v>
      </c>
      <c r="I17" s="12" t="s">
        <v>22</v>
      </c>
      <c r="J17" s="12" t="s">
        <v>22</v>
      </c>
      <c r="K17" s="12" t="s">
        <v>4008</v>
      </c>
      <c r="L17" s="12" t="s">
        <v>54</v>
      </c>
      <c r="M17" s="12" t="s">
        <v>188</v>
      </c>
      <c r="N17" s="12">
        <v>2</v>
      </c>
      <c r="O17" s="12" t="s">
        <v>55</v>
      </c>
      <c r="P17" s="12" t="s">
        <v>21</v>
      </c>
      <c r="Q17" s="12" t="s">
        <v>30</v>
      </c>
    </row>
    <row r="18" spans="1:17" x14ac:dyDescent="0.2">
      <c r="A18" s="11">
        <v>46084</v>
      </c>
      <c r="B18" s="12" t="s">
        <v>968</v>
      </c>
      <c r="C18" s="12"/>
      <c r="D18" s="12" t="s">
        <v>969</v>
      </c>
      <c r="E18" s="12" t="s">
        <v>16</v>
      </c>
      <c r="F18" s="12" t="s">
        <v>82</v>
      </c>
      <c r="G18" s="13">
        <v>7000</v>
      </c>
      <c r="H18" s="13">
        <v>7000</v>
      </c>
      <c r="I18" s="12" t="s">
        <v>22</v>
      </c>
      <c r="J18" s="12" t="s">
        <v>22</v>
      </c>
      <c r="K18" s="12" t="s">
        <v>970</v>
      </c>
      <c r="L18" s="12" t="s">
        <v>54</v>
      </c>
      <c r="M18" s="12" t="s">
        <v>188</v>
      </c>
      <c r="N18" s="12">
        <v>2</v>
      </c>
      <c r="O18" s="12" t="s">
        <v>55</v>
      </c>
      <c r="P18" s="12" t="s">
        <v>41</v>
      </c>
      <c r="Q18" s="12" t="s">
        <v>30</v>
      </c>
    </row>
    <row r="19" spans="1:17" x14ac:dyDescent="0.2">
      <c r="A19" s="11">
        <v>45775</v>
      </c>
      <c r="B19" s="12" t="s">
        <v>7044</v>
      </c>
      <c r="C19" s="12"/>
      <c r="D19" s="12" t="s">
        <v>7045</v>
      </c>
      <c r="E19" s="12" t="s">
        <v>16</v>
      </c>
      <c r="F19" s="12" t="s">
        <v>17</v>
      </c>
      <c r="G19" s="13">
        <v>550</v>
      </c>
      <c r="H19" s="13">
        <v>7200</v>
      </c>
      <c r="I19" s="12" t="s">
        <v>22</v>
      </c>
      <c r="J19" s="12" t="s">
        <v>22</v>
      </c>
      <c r="K19" s="12" t="s">
        <v>7045</v>
      </c>
      <c r="L19" s="12" t="s">
        <v>7046</v>
      </c>
      <c r="M19" s="12" t="s">
        <v>19</v>
      </c>
      <c r="N19" s="12">
        <v>2</v>
      </c>
      <c r="O19" s="12" t="s">
        <v>142</v>
      </c>
      <c r="P19" s="12" t="s">
        <v>276</v>
      </c>
      <c r="Q19" s="12" t="s">
        <v>30</v>
      </c>
    </row>
    <row r="20" spans="1:17" x14ac:dyDescent="0.2">
      <c r="A20" s="11">
        <v>45993</v>
      </c>
      <c r="B20" s="12" t="s">
        <v>2690</v>
      </c>
      <c r="C20" s="12"/>
      <c r="D20" s="12" t="s">
        <v>2691</v>
      </c>
      <c r="E20" s="12" t="s">
        <v>16</v>
      </c>
      <c r="F20" s="12" t="s">
        <v>243</v>
      </c>
      <c r="G20" s="13">
        <v>8000</v>
      </c>
      <c r="H20" s="13">
        <v>7300</v>
      </c>
      <c r="I20" s="12" t="s">
        <v>22</v>
      </c>
      <c r="J20" s="12" t="s">
        <v>22</v>
      </c>
      <c r="K20" s="12" t="s">
        <v>2692</v>
      </c>
      <c r="L20" s="12" t="s">
        <v>2693</v>
      </c>
      <c r="M20" s="12" t="s">
        <v>97</v>
      </c>
      <c r="N20" s="12">
        <v>2</v>
      </c>
      <c r="O20" s="12" t="s">
        <v>246</v>
      </c>
      <c r="P20" s="12" t="s">
        <v>41</v>
      </c>
      <c r="Q20" s="12" t="s">
        <v>30</v>
      </c>
    </row>
    <row r="21" spans="1:17" x14ac:dyDescent="0.2">
      <c r="A21" s="11">
        <v>45660</v>
      </c>
      <c r="B21" s="12" t="s">
        <v>6264</v>
      </c>
      <c r="C21" s="12"/>
      <c r="D21" s="12" t="s">
        <v>6265</v>
      </c>
      <c r="E21" s="12" t="s">
        <v>16</v>
      </c>
      <c r="F21" s="12" t="s">
        <v>38</v>
      </c>
      <c r="G21" s="13">
        <v>9000</v>
      </c>
      <c r="H21" s="13">
        <v>7500</v>
      </c>
      <c r="I21" s="12" t="s">
        <v>22</v>
      </c>
      <c r="J21" s="12" t="s">
        <v>22</v>
      </c>
      <c r="K21" s="12" t="s">
        <v>6266</v>
      </c>
      <c r="L21" s="12" t="s">
        <v>905</v>
      </c>
      <c r="M21" s="12" t="s">
        <v>97</v>
      </c>
      <c r="N21" s="12">
        <v>2</v>
      </c>
      <c r="O21" s="12" t="s">
        <v>246</v>
      </c>
      <c r="P21" s="12" t="s">
        <v>21</v>
      </c>
      <c r="Q21" s="12" t="s">
        <v>30</v>
      </c>
    </row>
    <row r="22" spans="1:17" x14ac:dyDescent="0.2">
      <c r="A22" s="11">
        <v>46101</v>
      </c>
      <c r="B22" s="12" t="s">
        <v>403</v>
      </c>
      <c r="C22" s="12"/>
      <c r="D22" s="12" t="s">
        <v>404</v>
      </c>
      <c r="E22" s="12" t="s">
        <v>16</v>
      </c>
      <c r="F22" s="12" t="s">
        <v>17</v>
      </c>
      <c r="G22" s="13">
        <v>9000</v>
      </c>
      <c r="H22" s="13">
        <v>7800</v>
      </c>
      <c r="I22" s="12" t="s">
        <v>22</v>
      </c>
      <c r="J22" s="12" t="s">
        <v>22</v>
      </c>
      <c r="K22" s="12" t="s">
        <v>405</v>
      </c>
      <c r="L22" s="12" t="s">
        <v>406</v>
      </c>
      <c r="M22" s="12" t="s">
        <v>97</v>
      </c>
      <c r="N22" s="12">
        <v>2</v>
      </c>
      <c r="O22" s="12" t="s">
        <v>50</v>
      </c>
      <c r="P22" s="12" t="s">
        <v>21</v>
      </c>
      <c r="Q22" s="12" t="s">
        <v>30</v>
      </c>
    </row>
    <row r="23" spans="1:17" x14ac:dyDescent="0.2">
      <c r="A23" s="11">
        <v>45712</v>
      </c>
      <c r="B23" s="12" t="s">
        <v>7948</v>
      </c>
      <c r="C23" s="12"/>
      <c r="D23" s="12" t="s">
        <v>7949</v>
      </c>
      <c r="E23" s="12" t="s">
        <v>16</v>
      </c>
      <c r="F23" s="12" t="s">
        <v>243</v>
      </c>
      <c r="G23" s="13">
        <v>8000</v>
      </c>
      <c r="H23" s="13">
        <v>8000</v>
      </c>
      <c r="I23" s="12" t="s">
        <v>22</v>
      </c>
      <c r="J23" s="12" t="s">
        <v>22</v>
      </c>
      <c r="K23" s="12" t="s">
        <v>7950</v>
      </c>
      <c r="L23" s="12" t="s">
        <v>630</v>
      </c>
      <c r="M23" s="12" t="s">
        <v>97</v>
      </c>
      <c r="N23" s="12">
        <v>2</v>
      </c>
      <c r="O23" s="12" t="s">
        <v>246</v>
      </c>
      <c r="P23" s="12" t="s">
        <v>21</v>
      </c>
      <c r="Q23" s="12" t="s">
        <v>30</v>
      </c>
    </row>
    <row r="24" spans="1:17" x14ac:dyDescent="0.2">
      <c r="A24" s="11">
        <v>45784</v>
      </c>
      <c r="B24" s="12" t="s">
        <v>1919</v>
      </c>
      <c r="C24" s="12"/>
      <c r="D24" s="12" t="s">
        <v>1920</v>
      </c>
      <c r="E24" s="12" t="s">
        <v>16</v>
      </c>
      <c r="F24" s="12" t="s">
        <v>47</v>
      </c>
      <c r="G24" s="13">
        <v>9000</v>
      </c>
      <c r="H24" s="13">
        <v>8250</v>
      </c>
      <c r="I24" s="12" t="s">
        <v>22</v>
      </c>
      <c r="J24" s="12" t="s">
        <v>22</v>
      </c>
      <c r="K24" s="12" t="s">
        <v>1921</v>
      </c>
      <c r="L24" s="12" t="s">
        <v>1922</v>
      </c>
      <c r="M24" s="12" t="s">
        <v>97</v>
      </c>
      <c r="N24" s="12">
        <v>2</v>
      </c>
      <c r="O24" s="12" t="s">
        <v>171</v>
      </c>
      <c r="P24" s="12" t="s">
        <v>21</v>
      </c>
      <c r="Q24" s="12" t="s">
        <v>30</v>
      </c>
    </row>
    <row r="25" spans="1:17" x14ac:dyDescent="0.2">
      <c r="A25" s="11">
        <v>45784</v>
      </c>
      <c r="B25" s="12" t="s">
        <v>1919</v>
      </c>
      <c r="C25" s="12"/>
      <c r="D25" s="12" t="s">
        <v>1920</v>
      </c>
      <c r="E25" s="12" t="s">
        <v>16</v>
      </c>
      <c r="F25" s="12" t="s">
        <v>38</v>
      </c>
      <c r="G25" s="13">
        <v>9000</v>
      </c>
      <c r="H25" s="13">
        <v>8250</v>
      </c>
      <c r="I25" s="12" t="s">
        <v>22</v>
      </c>
      <c r="J25" s="12" t="s">
        <v>22</v>
      </c>
      <c r="K25" s="12" t="s">
        <v>1921</v>
      </c>
      <c r="L25" s="12" t="s">
        <v>1922</v>
      </c>
      <c r="M25" s="12" t="s">
        <v>97</v>
      </c>
      <c r="N25" s="12">
        <v>2</v>
      </c>
      <c r="O25" s="12" t="s">
        <v>171</v>
      </c>
      <c r="P25" s="12" t="s">
        <v>21</v>
      </c>
      <c r="Q25" s="12" t="s">
        <v>30</v>
      </c>
    </row>
    <row r="26" spans="1:17" x14ac:dyDescent="0.2">
      <c r="A26" s="11">
        <v>46014</v>
      </c>
      <c r="B26" s="12" t="s">
        <v>2227</v>
      </c>
      <c r="C26" s="12"/>
      <c r="D26" s="12" t="s">
        <v>2228</v>
      </c>
      <c r="E26" s="12" t="s">
        <v>16</v>
      </c>
      <c r="F26" s="12" t="s">
        <v>17</v>
      </c>
      <c r="G26" s="13">
        <v>900</v>
      </c>
      <c r="H26" s="13">
        <v>8260</v>
      </c>
      <c r="I26" s="12" t="s">
        <v>22</v>
      </c>
      <c r="J26" s="12" t="s">
        <v>22</v>
      </c>
      <c r="K26" s="12" t="s">
        <v>2229</v>
      </c>
      <c r="L26" s="12" t="s">
        <v>1279</v>
      </c>
      <c r="M26" s="12" t="s">
        <v>19</v>
      </c>
      <c r="N26" s="12">
        <v>2</v>
      </c>
      <c r="O26" s="12" t="s">
        <v>142</v>
      </c>
      <c r="P26" s="12" t="s">
        <v>41</v>
      </c>
      <c r="Q26" s="12" t="s">
        <v>30</v>
      </c>
    </row>
    <row r="27" spans="1:17" x14ac:dyDescent="0.2">
      <c r="A27" s="11">
        <v>45929</v>
      </c>
      <c r="B27" s="12" t="s">
        <v>4115</v>
      </c>
      <c r="C27" s="12"/>
      <c r="D27" s="12" t="s">
        <v>4116</v>
      </c>
      <c r="E27" s="12" t="s">
        <v>16</v>
      </c>
      <c r="F27" s="12" t="s">
        <v>38</v>
      </c>
      <c r="G27" s="13">
        <v>700</v>
      </c>
      <c r="H27" s="13">
        <v>8400</v>
      </c>
      <c r="I27" s="12" t="s">
        <v>22</v>
      </c>
      <c r="J27" s="12" t="s">
        <v>22</v>
      </c>
      <c r="K27" s="12" t="s">
        <v>4117</v>
      </c>
      <c r="L27" s="12" t="s">
        <v>4118</v>
      </c>
      <c r="M27" s="12" t="s">
        <v>28</v>
      </c>
      <c r="N27" s="12">
        <v>2</v>
      </c>
      <c r="O27" s="12" t="s">
        <v>98</v>
      </c>
      <c r="P27" s="12" t="s">
        <v>21</v>
      </c>
      <c r="Q27" s="12" t="s">
        <v>30</v>
      </c>
    </row>
    <row r="28" spans="1:17" x14ac:dyDescent="0.2">
      <c r="A28" s="11">
        <v>45992</v>
      </c>
      <c r="B28" s="12" t="s">
        <v>2859</v>
      </c>
      <c r="C28" s="12"/>
      <c r="D28" s="12" t="s">
        <v>2860</v>
      </c>
      <c r="E28" s="12" t="s">
        <v>16</v>
      </c>
      <c r="F28" s="12" t="s">
        <v>17</v>
      </c>
      <c r="G28" s="13">
        <v>34000</v>
      </c>
      <c r="H28" s="13">
        <v>8450</v>
      </c>
      <c r="I28" s="12" t="s">
        <v>22</v>
      </c>
      <c r="J28" s="12" t="s">
        <v>22</v>
      </c>
      <c r="K28" s="12"/>
      <c r="L28" s="12" t="s">
        <v>355</v>
      </c>
      <c r="M28" s="12" t="s">
        <v>28</v>
      </c>
      <c r="N28" s="12">
        <v>1</v>
      </c>
      <c r="O28" s="12" t="s">
        <v>65</v>
      </c>
      <c r="P28" s="12" t="s">
        <v>131</v>
      </c>
      <c r="Q28" s="12" t="s">
        <v>30</v>
      </c>
    </row>
    <row r="29" spans="1:17" x14ac:dyDescent="0.2">
      <c r="A29" s="11">
        <v>46077</v>
      </c>
      <c r="B29" s="12" t="s">
        <v>1133</v>
      </c>
      <c r="C29" s="12"/>
      <c r="D29" s="12" t="s">
        <v>1134</v>
      </c>
      <c r="E29" s="12" t="s">
        <v>16</v>
      </c>
      <c r="F29" s="12" t="s">
        <v>896</v>
      </c>
      <c r="G29" s="13">
        <v>8500</v>
      </c>
      <c r="H29" s="13">
        <v>8500</v>
      </c>
      <c r="I29" s="12" t="s">
        <v>22</v>
      </c>
      <c r="J29" s="12" t="s">
        <v>22</v>
      </c>
      <c r="K29" s="12" t="s">
        <v>1135</v>
      </c>
      <c r="L29" s="12" t="s">
        <v>1136</v>
      </c>
      <c r="M29" s="12" t="s">
        <v>97</v>
      </c>
      <c r="N29" s="12">
        <v>2</v>
      </c>
      <c r="O29" s="12" t="s">
        <v>227</v>
      </c>
      <c r="P29" s="12" t="s">
        <v>21</v>
      </c>
      <c r="Q29" s="12" t="s">
        <v>30</v>
      </c>
    </row>
    <row r="30" spans="1:17" x14ac:dyDescent="0.2">
      <c r="A30" s="11">
        <v>46066</v>
      </c>
      <c r="B30" s="12" t="s">
        <v>1300</v>
      </c>
      <c r="C30" s="12"/>
      <c r="D30" s="12" t="s">
        <v>1301</v>
      </c>
      <c r="E30" s="12" t="s">
        <v>16</v>
      </c>
      <c r="F30" s="12" t="s">
        <v>82</v>
      </c>
      <c r="G30" s="13">
        <v>10000</v>
      </c>
      <c r="H30" s="13">
        <v>8500</v>
      </c>
      <c r="I30" s="12" t="s">
        <v>22</v>
      </c>
      <c r="J30" s="12" t="s">
        <v>22</v>
      </c>
      <c r="K30" s="12" t="s">
        <v>1301</v>
      </c>
      <c r="L30" s="12" t="s">
        <v>977</v>
      </c>
      <c r="M30" s="12" t="s">
        <v>97</v>
      </c>
      <c r="N30" s="12">
        <v>2</v>
      </c>
      <c r="O30" s="12" t="s">
        <v>55</v>
      </c>
      <c r="P30" s="12" t="s">
        <v>41</v>
      </c>
      <c r="Q30" s="12" t="s">
        <v>30</v>
      </c>
    </row>
    <row r="31" spans="1:17" x14ac:dyDescent="0.2">
      <c r="A31" s="11">
        <v>46066</v>
      </c>
      <c r="B31" s="12" t="s">
        <v>1302</v>
      </c>
      <c r="C31" s="12"/>
      <c r="D31" s="12" t="s">
        <v>1301</v>
      </c>
      <c r="E31" s="12" t="s">
        <v>16</v>
      </c>
      <c r="F31" s="12" t="s">
        <v>82</v>
      </c>
      <c r="G31" s="13">
        <v>10000</v>
      </c>
      <c r="H31" s="13">
        <v>8500</v>
      </c>
      <c r="I31" s="12" t="s">
        <v>22</v>
      </c>
      <c r="J31" s="12" t="s">
        <v>22</v>
      </c>
      <c r="K31" s="12" t="s">
        <v>1301</v>
      </c>
      <c r="L31" s="12" t="s">
        <v>977</v>
      </c>
      <c r="M31" s="12" t="s">
        <v>97</v>
      </c>
      <c r="N31" s="12">
        <v>2</v>
      </c>
      <c r="O31" s="12" t="s">
        <v>55</v>
      </c>
      <c r="P31" s="12" t="s">
        <v>41</v>
      </c>
      <c r="Q31" s="12" t="s">
        <v>30</v>
      </c>
    </row>
    <row r="32" spans="1:17" x14ac:dyDescent="0.2">
      <c r="A32" s="11">
        <v>46066</v>
      </c>
      <c r="B32" s="12" t="s">
        <v>1307</v>
      </c>
      <c r="C32" s="12"/>
      <c r="D32" s="12" t="s">
        <v>1301</v>
      </c>
      <c r="E32" s="12" t="s">
        <v>16</v>
      </c>
      <c r="F32" s="12" t="s">
        <v>82</v>
      </c>
      <c r="G32" s="13">
        <v>10000</v>
      </c>
      <c r="H32" s="13">
        <v>8500</v>
      </c>
      <c r="I32" s="12" t="s">
        <v>22</v>
      </c>
      <c r="J32" s="12" t="s">
        <v>22</v>
      </c>
      <c r="K32" s="12" t="s">
        <v>1301</v>
      </c>
      <c r="L32" s="12" t="s">
        <v>977</v>
      </c>
      <c r="M32" s="12" t="s">
        <v>97</v>
      </c>
      <c r="N32" s="12">
        <v>2</v>
      </c>
      <c r="O32" s="12" t="s">
        <v>55</v>
      </c>
      <c r="P32" s="12" t="s">
        <v>41</v>
      </c>
      <c r="Q32" s="12" t="s">
        <v>30</v>
      </c>
    </row>
    <row r="33" spans="1:17" x14ac:dyDescent="0.2">
      <c r="A33" s="11">
        <v>46059</v>
      </c>
      <c r="B33" s="12" t="s">
        <v>1460</v>
      </c>
      <c r="C33" s="12"/>
      <c r="D33" s="12" t="s">
        <v>1301</v>
      </c>
      <c r="E33" s="12" t="s">
        <v>16</v>
      </c>
      <c r="F33" s="12" t="s">
        <v>82</v>
      </c>
      <c r="G33" s="13">
        <v>10000</v>
      </c>
      <c r="H33" s="13">
        <v>8500</v>
      </c>
      <c r="I33" s="12" t="s">
        <v>22</v>
      </c>
      <c r="J33" s="12" t="s">
        <v>22</v>
      </c>
      <c r="K33" s="12" t="s">
        <v>1301</v>
      </c>
      <c r="L33" s="12" t="s">
        <v>977</v>
      </c>
      <c r="M33" s="12" t="s">
        <v>97</v>
      </c>
      <c r="N33" s="12">
        <v>2</v>
      </c>
      <c r="O33" s="12" t="s">
        <v>55</v>
      </c>
      <c r="P33" s="12" t="s">
        <v>41</v>
      </c>
      <c r="Q33" s="12" t="s">
        <v>30</v>
      </c>
    </row>
    <row r="34" spans="1:17" x14ac:dyDescent="0.2">
      <c r="A34" s="11">
        <v>46059</v>
      </c>
      <c r="B34" s="12" t="s">
        <v>1461</v>
      </c>
      <c r="C34" s="12"/>
      <c r="D34" s="12" t="s">
        <v>1301</v>
      </c>
      <c r="E34" s="12" t="s">
        <v>16</v>
      </c>
      <c r="F34" s="12" t="s">
        <v>82</v>
      </c>
      <c r="G34" s="13">
        <v>10000</v>
      </c>
      <c r="H34" s="13">
        <v>8500</v>
      </c>
      <c r="I34" s="12" t="s">
        <v>22</v>
      </c>
      <c r="J34" s="12" t="s">
        <v>22</v>
      </c>
      <c r="K34" s="12" t="s">
        <v>1301</v>
      </c>
      <c r="L34" s="12" t="s">
        <v>977</v>
      </c>
      <c r="M34" s="12" t="s">
        <v>97</v>
      </c>
      <c r="N34" s="12">
        <v>2</v>
      </c>
      <c r="O34" s="12" t="s">
        <v>55</v>
      </c>
      <c r="P34" s="12" t="s">
        <v>41</v>
      </c>
      <c r="Q34" s="12" t="s">
        <v>30</v>
      </c>
    </row>
    <row r="35" spans="1:17" x14ac:dyDescent="0.2">
      <c r="A35" s="11">
        <v>45816</v>
      </c>
      <c r="B35" s="12" t="s">
        <v>6264</v>
      </c>
      <c r="C35" s="12"/>
      <c r="D35" s="12" t="s">
        <v>6265</v>
      </c>
      <c r="E35" s="12" t="s">
        <v>16</v>
      </c>
      <c r="F35" s="12" t="s">
        <v>243</v>
      </c>
      <c r="G35" s="13">
        <v>8600</v>
      </c>
      <c r="H35" s="13">
        <v>8600</v>
      </c>
      <c r="I35" s="12" t="s">
        <v>22</v>
      </c>
      <c r="J35" s="12" t="s">
        <v>22</v>
      </c>
      <c r="K35" s="12" t="s">
        <v>6266</v>
      </c>
      <c r="L35" s="12" t="s">
        <v>905</v>
      </c>
      <c r="M35" s="12" t="s">
        <v>97</v>
      </c>
      <c r="N35" s="12">
        <v>2</v>
      </c>
      <c r="O35" s="12" t="s">
        <v>246</v>
      </c>
      <c r="P35" s="12" t="s">
        <v>41</v>
      </c>
      <c r="Q35" s="12" t="s">
        <v>30</v>
      </c>
    </row>
    <row r="36" spans="1:17" x14ac:dyDescent="0.2">
      <c r="A36" s="11">
        <v>45973</v>
      </c>
      <c r="B36" s="12" t="s">
        <v>1300</v>
      </c>
      <c r="C36" s="12"/>
      <c r="D36" s="12" t="s">
        <v>1301</v>
      </c>
      <c r="E36" s="12" t="s">
        <v>16</v>
      </c>
      <c r="F36" s="12" t="s">
        <v>243</v>
      </c>
      <c r="G36" s="13">
        <v>10000</v>
      </c>
      <c r="H36" s="13">
        <v>9000</v>
      </c>
      <c r="I36" s="12" t="s">
        <v>22</v>
      </c>
      <c r="J36" s="12" t="s">
        <v>22</v>
      </c>
      <c r="K36" s="12" t="s">
        <v>1301</v>
      </c>
      <c r="L36" s="12" t="s">
        <v>977</v>
      </c>
      <c r="M36" s="12" t="s">
        <v>97</v>
      </c>
      <c r="N36" s="12">
        <v>2</v>
      </c>
      <c r="O36" s="12" t="s">
        <v>55</v>
      </c>
      <c r="P36" s="12" t="s">
        <v>41</v>
      </c>
      <c r="Q36" s="12" t="s">
        <v>30</v>
      </c>
    </row>
    <row r="37" spans="1:17" x14ac:dyDescent="0.2">
      <c r="A37" s="11">
        <v>45926</v>
      </c>
      <c r="B37" s="12" t="s">
        <v>4139</v>
      </c>
      <c r="C37" s="12"/>
      <c r="D37" s="12" t="s">
        <v>4140</v>
      </c>
      <c r="E37" s="12" t="s">
        <v>16</v>
      </c>
      <c r="F37" s="12" t="s">
        <v>47</v>
      </c>
      <c r="G37" s="13">
        <v>450000</v>
      </c>
      <c r="H37" s="13">
        <v>9000</v>
      </c>
      <c r="I37" s="12" t="s">
        <v>22</v>
      </c>
      <c r="J37" s="12" t="s">
        <v>18</v>
      </c>
      <c r="K37" s="12" t="s">
        <v>4141</v>
      </c>
      <c r="L37" s="12" t="s">
        <v>1719</v>
      </c>
      <c r="M37" s="12" t="s">
        <v>19</v>
      </c>
      <c r="N37" s="12">
        <v>2</v>
      </c>
      <c r="O37" s="12" t="s">
        <v>50</v>
      </c>
      <c r="P37" s="12" t="s">
        <v>21</v>
      </c>
      <c r="Q37" s="12" t="s">
        <v>30</v>
      </c>
    </row>
    <row r="38" spans="1:17" x14ac:dyDescent="0.2">
      <c r="A38" s="11">
        <v>45897</v>
      </c>
      <c r="B38" s="12" t="s">
        <v>4730</v>
      </c>
      <c r="C38" s="12"/>
      <c r="D38" s="12" t="s">
        <v>4731</v>
      </c>
      <c r="E38" s="12" t="s">
        <v>16</v>
      </c>
      <c r="F38" s="12" t="s">
        <v>243</v>
      </c>
      <c r="G38" s="13">
        <v>11000</v>
      </c>
      <c r="H38" s="13">
        <v>9000</v>
      </c>
      <c r="I38" s="12" t="s">
        <v>22</v>
      </c>
      <c r="J38" s="12" t="s">
        <v>22</v>
      </c>
      <c r="K38" s="12" t="s">
        <v>4732</v>
      </c>
      <c r="L38" s="12" t="s">
        <v>2693</v>
      </c>
      <c r="M38" s="12" t="s">
        <v>97</v>
      </c>
      <c r="N38" s="12">
        <v>2</v>
      </c>
      <c r="O38" s="12" t="s">
        <v>246</v>
      </c>
      <c r="P38" s="12" t="s">
        <v>21</v>
      </c>
      <c r="Q38" s="12" t="s">
        <v>30</v>
      </c>
    </row>
    <row r="39" spans="1:17" x14ac:dyDescent="0.2">
      <c r="A39" s="11">
        <v>45780</v>
      </c>
      <c r="B39" s="12" t="s">
        <v>1919</v>
      </c>
      <c r="C39" s="12"/>
      <c r="D39" s="12" t="s">
        <v>1920</v>
      </c>
      <c r="E39" s="12" t="s">
        <v>16</v>
      </c>
      <c r="F39" s="12" t="s">
        <v>134</v>
      </c>
      <c r="G39" s="13">
        <v>9000</v>
      </c>
      <c r="H39" s="13">
        <v>9000</v>
      </c>
      <c r="I39" s="12" t="s">
        <v>22</v>
      </c>
      <c r="J39" s="12" t="s">
        <v>22</v>
      </c>
      <c r="K39" s="12" t="s">
        <v>1921</v>
      </c>
      <c r="L39" s="12" t="s">
        <v>1922</v>
      </c>
      <c r="M39" s="12" t="s">
        <v>97</v>
      </c>
      <c r="N39" s="12">
        <v>2</v>
      </c>
      <c r="O39" s="12" t="s">
        <v>171</v>
      </c>
      <c r="P39" s="12" t="s">
        <v>21</v>
      </c>
      <c r="Q39" s="12" t="s">
        <v>30</v>
      </c>
    </row>
    <row r="40" spans="1:17" x14ac:dyDescent="0.2">
      <c r="A40" s="11">
        <v>45780</v>
      </c>
      <c r="B40" s="12" t="s">
        <v>1919</v>
      </c>
      <c r="C40" s="12"/>
      <c r="D40" s="12" t="s">
        <v>1920</v>
      </c>
      <c r="E40" s="12" t="s">
        <v>16</v>
      </c>
      <c r="F40" s="12" t="s">
        <v>82</v>
      </c>
      <c r="G40" s="13">
        <v>9000</v>
      </c>
      <c r="H40" s="13">
        <v>9000</v>
      </c>
      <c r="I40" s="12" t="s">
        <v>22</v>
      </c>
      <c r="J40" s="12" t="s">
        <v>22</v>
      </c>
      <c r="K40" s="12" t="s">
        <v>1921</v>
      </c>
      <c r="L40" s="12" t="s">
        <v>1922</v>
      </c>
      <c r="M40" s="12" t="s">
        <v>97</v>
      </c>
      <c r="N40" s="12">
        <v>2</v>
      </c>
      <c r="O40" s="12" t="s">
        <v>171</v>
      </c>
      <c r="P40" s="12" t="s">
        <v>21</v>
      </c>
      <c r="Q40" s="12" t="s">
        <v>30</v>
      </c>
    </row>
    <row r="41" spans="1:17" x14ac:dyDescent="0.2">
      <c r="A41" s="11">
        <v>46094</v>
      </c>
      <c r="B41" s="12" t="s">
        <v>687</v>
      </c>
      <c r="C41" s="12"/>
      <c r="D41" s="12" t="s">
        <v>688</v>
      </c>
      <c r="E41" s="12" t="s">
        <v>16</v>
      </c>
      <c r="F41" s="12" t="s">
        <v>17</v>
      </c>
      <c r="G41" s="13">
        <v>0</v>
      </c>
      <c r="H41" s="13">
        <v>9500</v>
      </c>
      <c r="I41" s="12" t="s">
        <v>22</v>
      </c>
      <c r="J41" s="12" t="s">
        <v>22</v>
      </c>
      <c r="K41" s="12"/>
      <c r="L41" s="12" t="s">
        <v>689</v>
      </c>
      <c r="M41" s="12" t="s">
        <v>97</v>
      </c>
      <c r="N41" s="12">
        <v>1</v>
      </c>
      <c r="O41" s="12" t="s">
        <v>65</v>
      </c>
      <c r="P41" s="12" t="s">
        <v>131</v>
      </c>
      <c r="Q41" s="12" t="s">
        <v>30</v>
      </c>
    </row>
    <row r="42" spans="1:17" x14ac:dyDescent="0.2">
      <c r="A42" s="11">
        <v>45841</v>
      </c>
      <c r="B42" s="12" t="s">
        <v>5778</v>
      </c>
      <c r="C42" s="12"/>
      <c r="D42" s="12" t="s">
        <v>5779</v>
      </c>
      <c r="E42" s="12" t="s">
        <v>16</v>
      </c>
      <c r="F42" s="12" t="s">
        <v>134</v>
      </c>
      <c r="G42" s="13">
        <v>10000</v>
      </c>
      <c r="H42" s="13">
        <v>9500</v>
      </c>
      <c r="I42" s="12" t="s">
        <v>22</v>
      </c>
      <c r="J42" s="12" t="s">
        <v>22</v>
      </c>
      <c r="K42" s="12" t="s">
        <v>594</v>
      </c>
      <c r="L42" s="12" t="s">
        <v>136</v>
      </c>
      <c r="M42" s="12" t="s">
        <v>188</v>
      </c>
      <c r="N42" s="12">
        <v>2</v>
      </c>
      <c r="O42" s="12" t="s">
        <v>130</v>
      </c>
      <c r="P42" s="12" t="s">
        <v>21</v>
      </c>
      <c r="Q42" s="12" t="s">
        <v>30</v>
      </c>
    </row>
    <row r="43" spans="1:17" x14ac:dyDescent="0.2">
      <c r="A43" s="11">
        <v>45761</v>
      </c>
      <c r="B43" s="12" t="s">
        <v>7280</v>
      </c>
      <c r="C43" s="12"/>
      <c r="D43" s="12" t="s">
        <v>7281</v>
      </c>
      <c r="E43" s="12" t="s">
        <v>16</v>
      </c>
      <c r="F43" s="12" t="s">
        <v>82</v>
      </c>
      <c r="G43" s="13">
        <v>10500</v>
      </c>
      <c r="H43" s="13">
        <v>9551</v>
      </c>
      <c r="I43" s="12" t="s">
        <v>22</v>
      </c>
      <c r="J43" s="12" t="s">
        <v>22</v>
      </c>
      <c r="K43" s="12" t="s">
        <v>7282</v>
      </c>
      <c r="L43" s="12" t="s">
        <v>7283</v>
      </c>
      <c r="M43" s="12" t="s">
        <v>97</v>
      </c>
      <c r="N43" s="12">
        <v>2</v>
      </c>
      <c r="O43" s="12" t="s">
        <v>85</v>
      </c>
      <c r="P43" s="12" t="s">
        <v>41</v>
      </c>
      <c r="Q43" s="12" t="s">
        <v>30</v>
      </c>
    </row>
    <row r="44" spans="1:17" x14ac:dyDescent="0.2">
      <c r="A44" s="11">
        <v>45854</v>
      </c>
      <c r="B44" s="12" t="s">
        <v>5553</v>
      </c>
      <c r="C44" s="12"/>
      <c r="D44" s="12" t="s">
        <v>5554</v>
      </c>
      <c r="E44" s="12" t="s">
        <v>16</v>
      </c>
      <c r="F44" s="12" t="s">
        <v>38</v>
      </c>
      <c r="G44" s="13">
        <v>9600</v>
      </c>
      <c r="H44" s="13">
        <v>9600</v>
      </c>
      <c r="I44" s="12" t="s">
        <v>22</v>
      </c>
      <c r="J44" s="12" t="s">
        <v>22</v>
      </c>
      <c r="K44" s="12" t="s">
        <v>5555</v>
      </c>
      <c r="L44" s="12" t="s">
        <v>5556</v>
      </c>
      <c r="M44" s="12" t="s">
        <v>97</v>
      </c>
      <c r="N44" s="12">
        <v>2</v>
      </c>
      <c r="O44" s="12" t="s">
        <v>246</v>
      </c>
      <c r="P44" s="12" t="s">
        <v>41</v>
      </c>
      <c r="Q44" s="12" t="s">
        <v>30</v>
      </c>
    </row>
    <row r="45" spans="1:17" x14ac:dyDescent="0.2">
      <c r="A45" s="11">
        <v>46065</v>
      </c>
      <c r="B45" s="12" t="s">
        <v>1358</v>
      </c>
      <c r="C45" s="12"/>
      <c r="D45" s="12" t="s">
        <v>1359</v>
      </c>
      <c r="E45" s="12" t="s">
        <v>16</v>
      </c>
      <c r="F45" s="12" t="s">
        <v>243</v>
      </c>
      <c r="G45" s="13">
        <v>10500</v>
      </c>
      <c r="H45" s="13">
        <v>9965</v>
      </c>
      <c r="I45" s="12" t="s">
        <v>22</v>
      </c>
      <c r="J45" s="12" t="s">
        <v>22</v>
      </c>
      <c r="K45" s="12" t="s">
        <v>904</v>
      </c>
      <c r="L45" s="12" t="s">
        <v>905</v>
      </c>
      <c r="M45" s="12" t="s">
        <v>97</v>
      </c>
      <c r="N45" s="12">
        <v>2</v>
      </c>
      <c r="O45" s="12" t="s">
        <v>246</v>
      </c>
      <c r="P45" s="12" t="s">
        <v>21</v>
      </c>
      <c r="Q45" s="12" t="s">
        <v>30</v>
      </c>
    </row>
    <row r="46" spans="1:17" x14ac:dyDescent="0.2">
      <c r="A46" s="11">
        <v>46063</v>
      </c>
      <c r="B46" s="12" t="s">
        <v>1404</v>
      </c>
      <c r="C46" s="12"/>
      <c r="D46" s="12" t="s">
        <v>1405</v>
      </c>
      <c r="E46" s="12" t="s">
        <v>16</v>
      </c>
      <c r="F46" s="12" t="s">
        <v>17</v>
      </c>
      <c r="G46" s="13">
        <v>10000</v>
      </c>
      <c r="H46" s="13">
        <v>10000</v>
      </c>
      <c r="I46" s="12" t="s">
        <v>22</v>
      </c>
      <c r="J46" s="12" t="s">
        <v>22</v>
      </c>
      <c r="K46" s="12" t="s">
        <v>1406</v>
      </c>
      <c r="L46" s="12" t="s">
        <v>1407</v>
      </c>
      <c r="M46" s="12" t="s">
        <v>97</v>
      </c>
      <c r="N46" s="12">
        <v>2</v>
      </c>
      <c r="O46" s="12" t="s">
        <v>246</v>
      </c>
      <c r="P46" s="12" t="s">
        <v>21</v>
      </c>
      <c r="Q46" s="12" t="s">
        <v>30</v>
      </c>
    </row>
    <row r="47" spans="1:17" x14ac:dyDescent="0.2">
      <c r="A47" s="11">
        <v>46056</v>
      </c>
      <c r="B47" s="12" t="s">
        <v>1553</v>
      </c>
      <c r="C47" s="12"/>
      <c r="D47" s="12" t="s">
        <v>1554</v>
      </c>
      <c r="E47" s="12" t="s">
        <v>16</v>
      </c>
      <c r="F47" s="12" t="s">
        <v>243</v>
      </c>
      <c r="G47" s="13">
        <v>10500</v>
      </c>
      <c r="H47" s="13">
        <v>10000</v>
      </c>
      <c r="I47" s="12" t="s">
        <v>22</v>
      </c>
      <c r="J47" s="12" t="s">
        <v>22</v>
      </c>
      <c r="K47" s="12" t="s">
        <v>1555</v>
      </c>
      <c r="L47" s="12" t="s">
        <v>630</v>
      </c>
      <c r="M47" s="12" t="s">
        <v>97</v>
      </c>
      <c r="N47" s="12">
        <v>2</v>
      </c>
      <c r="O47" s="12" t="s">
        <v>246</v>
      </c>
      <c r="P47" s="12" t="s">
        <v>21</v>
      </c>
      <c r="Q47" s="12" t="s">
        <v>30</v>
      </c>
    </row>
    <row r="48" spans="1:17" x14ac:dyDescent="0.2">
      <c r="A48" s="11">
        <v>46036</v>
      </c>
      <c r="B48" s="12" t="s">
        <v>1919</v>
      </c>
      <c r="C48" s="12"/>
      <c r="D48" s="12" t="s">
        <v>1920</v>
      </c>
      <c r="E48" s="12" t="s">
        <v>16</v>
      </c>
      <c r="F48" s="12" t="s">
        <v>17</v>
      </c>
      <c r="G48" s="13">
        <v>10000</v>
      </c>
      <c r="H48" s="13">
        <v>10000</v>
      </c>
      <c r="I48" s="12" t="s">
        <v>22</v>
      </c>
      <c r="J48" s="12" t="s">
        <v>22</v>
      </c>
      <c r="K48" s="12" t="s">
        <v>1921</v>
      </c>
      <c r="L48" s="12" t="s">
        <v>1922</v>
      </c>
      <c r="M48" s="12" t="s">
        <v>97</v>
      </c>
      <c r="N48" s="12">
        <v>2</v>
      </c>
      <c r="O48" s="12" t="s">
        <v>171</v>
      </c>
      <c r="P48" s="12" t="s">
        <v>21</v>
      </c>
      <c r="Q48" s="12" t="s">
        <v>30</v>
      </c>
    </row>
    <row r="49" spans="1:17" x14ac:dyDescent="0.2">
      <c r="A49" s="11">
        <v>46028</v>
      </c>
      <c r="B49" s="12" t="s">
        <v>2089</v>
      </c>
      <c r="C49" s="12"/>
      <c r="D49" s="12" t="s">
        <v>2090</v>
      </c>
      <c r="E49" s="12" t="s">
        <v>16</v>
      </c>
      <c r="F49" s="12" t="s">
        <v>243</v>
      </c>
      <c r="G49" s="13">
        <v>12000</v>
      </c>
      <c r="H49" s="13">
        <v>10000</v>
      </c>
      <c r="I49" s="12" t="s">
        <v>22</v>
      </c>
      <c r="J49" s="12" t="s">
        <v>22</v>
      </c>
      <c r="K49" s="12" t="s">
        <v>2091</v>
      </c>
      <c r="L49" s="12" t="s">
        <v>54</v>
      </c>
      <c r="M49" s="12" t="s">
        <v>97</v>
      </c>
      <c r="N49" s="12">
        <v>2</v>
      </c>
      <c r="O49" s="12" t="s">
        <v>55</v>
      </c>
      <c r="P49" s="12" t="s">
        <v>21</v>
      </c>
      <c r="Q49" s="12" t="s">
        <v>30</v>
      </c>
    </row>
    <row r="50" spans="1:17" x14ac:dyDescent="0.2">
      <c r="A50" s="11">
        <v>45992</v>
      </c>
      <c r="B50" s="12" t="s">
        <v>2837</v>
      </c>
      <c r="C50" s="12"/>
      <c r="D50" s="12" t="s">
        <v>2838</v>
      </c>
      <c r="E50" s="12" t="s">
        <v>16</v>
      </c>
      <c r="F50" s="12" t="s">
        <v>17</v>
      </c>
      <c r="G50" s="13">
        <v>115000</v>
      </c>
      <c r="H50" s="13">
        <v>10000</v>
      </c>
      <c r="I50" s="12" t="s">
        <v>22</v>
      </c>
      <c r="J50" s="12" t="s">
        <v>22</v>
      </c>
      <c r="K50" s="12" t="s">
        <v>2839</v>
      </c>
      <c r="L50" s="12" t="s">
        <v>946</v>
      </c>
      <c r="M50" s="12" t="s">
        <v>28</v>
      </c>
      <c r="N50" s="12">
        <v>1</v>
      </c>
      <c r="O50" s="12" t="s">
        <v>65</v>
      </c>
      <c r="P50" s="12" t="s">
        <v>131</v>
      </c>
      <c r="Q50" s="12" t="s">
        <v>30</v>
      </c>
    </row>
    <row r="51" spans="1:17" x14ac:dyDescent="0.2">
      <c r="A51" s="11">
        <v>45981</v>
      </c>
      <c r="B51" s="12" t="s">
        <v>3023</v>
      </c>
      <c r="C51" s="12"/>
      <c r="D51" s="12" t="s">
        <v>3024</v>
      </c>
      <c r="E51" s="12" t="s">
        <v>16</v>
      </c>
      <c r="F51" s="12" t="s">
        <v>17</v>
      </c>
      <c r="G51" s="13">
        <v>13000</v>
      </c>
      <c r="H51" s="13">
        <v>10000</v>
      </c>
      <c r="I51" s="12" t="s">
        <v>22</v>
      </c>
      <c r="J51" s="12" t="s">
        <v>22</v>
      </c>
      <c r="K51" s="12" t="s">
        <v>3025</v>
      </c>
      <c r="L51" s="12" t="s">
        <v>3026</v>
      </c>
      <c r="M51" s="12" t="s">
        <v>97</v>
      </c>
      <c r="N51" s="12">
        <v>2</v>
      </c>
      <c r="O51" s="12" t="s">
        <v>73</v>
      </c>
      <c r="P51" s="12" t="s">
        <v>21</v>
      </c>
      <c r="Q51" s="12" t="s">
        <v>30</v>
      </c>
    </row>
    <row r="52" spans="1:17" x14ac:dyDescent="0.2">
      <c r="A52" s="11">
        <v>45965</v>
      </c>
      <c r="B52" s="12" t="s">
        <v>3358</v>
      </c>
      <c r="C52" s="12"/>
      <c r="D52" s="12" t="s">
        <v>3359</v>
      </c>
      <c r="E52" s="12" t="s">
        <v>16</v>
      </c>
      <c r="F52" s="12" t="s">
        <v>82</v>
      </c>
      <c r="G52" s="13">
        <v>10500</v>
      </c>
      <c r="H52" s="13">
        <v>10000</v>
      </c>
      <c r="I52" s="12" t="s">
        <v>22</v>
      </c>
      <c r="J52" s="12" t="s">
        <v>22</v>
      </c>
      <c r="K52" s="12" t="s">
        <v>3360</v>
      </c>
      <c r="L52" s="12" t="s">
        <v>3361</v>
      </c>
      <c r="M52" s="12" t="s">
        <v>97</v>
      </c>
      <c r="N52" s="12">
        <v>2</v>
      </c>
      <c r="O52" s="12" t="s">
        <v>85</v>
      </c>
      <c r="P52" s="12" t="s">
        <v>21</v>
      </c>
      <c r="Q52" s="12" t="s">
        <v>30</v>
      </c>
    </row>
    <row r="53" spans="1:17" x14ac:dyDescent="0.2">
      <c r="A53" s="11">
        <v>45938</v>
      </c>
      <c r="B53" s="12" t="s">
        <v>3897</v>
      </c>
      <c r="C53" s="12"/>
      <c r="D53" s="12" t="s">
        <v>3898</v>
      </c>
      <c r="E53" s="12" t="s">
        <v>16</v>
      </c>
      <c r="F53" s="12" t="s">
        <v>82</v>
      </c>
      <c r="G53" s="13">
        <v>13000</v>
      </c>
      <c r="H53" s="13">
        <v>10000</v>
      </c>
      <c r="I53" s="12" t="s">
        <v>22</v>
      </c>
      <c r="J53" s="12" t="s">
        <v>22</v>
      </c>
      <c r="K53" s="12" t="s">
        <v>3899</v>
      </c>
      <c r="L53" s="12" t="s">
        <v>3900</v>
      </c>
      <c r="M53" s="12" t="s">
        <v>97</v>
      </c>
      <c r="N53" s="12">
        <v>2</v>
      </c>
      <c r="O53" s="12" t="s">
        <v>55</v>
      </c>
      <c r="P53" s="12" t="s">
        <v>21</v>
      </c>
      <c r="Q53" s="12" t="s">
        <v>30</v>
      </c>
    </row>
    <row r="54" spans="1:17" x14ac:dyDescent="0.2">
      <c r="A54" s="11">
        <v>45856</v>
      </c>
      <c r="B54" s="12" t="s">
        <v>1919</v>
      </c>
      <c r="C54" s="12"/>
      <c r="D54" s="12" t="s">
        <v>1920</v>
      </c>
      <c r="E54" s="12" t="s">
        <v>16</v>
      </c>
      <c r="F54" s="12" t="s">
        <v>17</v>
      </c>
      <c r="G54" s="13">
        <v>12000</v>
      </c>
      <c r="H54" s="13">
        <v>10000</v>
      </c>
      <c r="I54" s="12" t="s">
        <v>22</v>
      </c>
      <c r="J54" s="12" t="s">
        <v>22</v>
      </c>
      <c r="K54" s="12" t="s">
        <v>1921</v>
      </c>
      <c r="L54" s="12" t="s">
        <v>1922</v>
      </c>
      <c r="M54" s="12" t="s">
        <v>97</v>
      </c>
      <c r="N54" s="12">
        <v>2</v>
      </c>
      <c r="O54" s="12" t="s">
        <v>171</v>
      </c>
      <c r="P54" s="12" t="s">
        <v>21</v>
      </c>
      <c r="Q54" s="12" t="s">
        <v>30</v>
      </c>
    </row>
    <row r="55" spans="1:17" x14ac:dyDescent="0.2">
      <c r="A55" s="11">
        <v>45853</v>
      </c>
      <c r="B55" s="12" t="s">
        <v>5590</v>
      </c>
      <c r="C55" s="12"/>
      <c r="D55" s="12" t="s">
        <v>5591</v>
      </c>
      <c r="E55" s="12" t="s">
        <v>16</v>
      </c>
      <c r="F55" s="12" t="s">
        <v>17</v>
      </c>
      <c r="G55" s="13">
        <v>10000</v>
      </c>
      <c r="H55" s="13">
        <v>10000</v>
      </c>
      <c r="I55" s="12" t="s">
        <v>22</v>
      </c>
      <c r="J55" s="12" t="s">
        <v>22</v>
      </c>
      <c r="K55" s="12" t="s">
        <v>5592</v>
      </c>
      <c r="L55" s="12" t="s">
        <v>226</v>
      </c>
      <c r="M55" s="12" t="s">
        <v>188</v>
      </c>
      <c r="N55" s="12">
        <v>2</v>
      </c>
      <c r="O55" s="12" t="s">
        <v>201</v>
      </c>
      <c r="P55" s="12" t="s">
        <v>21</v>
      </c>
      <c r="Q55" s="12" t="s">
        <v>30</v>
      </c>
    </row>
    <row r="56" spans="1:17" x14ac:dyDescent="0.2">
      <c r="A56" s="11">
        <v>45839</v>
      </c>
      <c r="B56" s="12" t="s">
        <v>1919</v>
      </c>
      <c r="C56" s="12"/>
      <c r="D56" s="12" t="s">
        <v>1920</v>
      </c>
      <c r="E56" s="12" t="s">
        <v>16</v>
      </c>
      <c r="F56" s="12" t="s">
        <v>17</v>
      </c>
      <c r="G56" s="13">
        <v>12000</v>
      </c>
      <c r="H56" s="13">
        <v>10000</v>
      </c>
      <c r="I56" s="12" t="s">
        <v>22</v>
      </c>
      <c r="J56" s="12" t="s">
        <v>22</v>
      </c>
      <c r="K56" s="12" t="s">
        <v>1921</v>
      </c>
      <c r="L56" s="12" t="s">
        <v>1922</v>
      </c>
      <c r="M56" s="12" t="s">
        <v>97</v>
      </c>
      <c r="N56" s="12">
        <v>2</v>
      </c>
      <c r="O56" s="12" t="s">
        <v>171</v>
      </c>
      <c r="P56" s="12" t="s">
        <v>21</v>
      </c>
      <c r="Q56" s="12" t="s">
        <v>30</v>
      </c>
    </row>
    <row r="57" spans="1:17" x14ac:dyDescent="0.2">
      <c r="A57" s="11">
        <v>45839</v>
      </c>
      <c r="B57" s="12" t="s">
        <v>1919</v>
      </c>
      <c r="C57" s="12"/>
      <c r="D57" s="12" t="s">
        <v>1920</v>
      </c>
      <c r="E57" s="12" t="s">
        <v>16</v>
      </c>
      <c r="F57" s="12" t="s">
        <v>17</v>
      </c>
      <c r="G57" s="13">
        <v>12000</v>
      </c>
      <c r="H57" s="13">
        <v>10000</v>
      </c>
      <c r="I57" s="12" t="s">
        <v>22</v>
      </c>
      <c r="J57" s="12" t="s">
        <v>22</v>
      </c>
      <c r="K57" s="12" t="s">
        <v>1921</v>
      </c>
      <c r="L57" s="12" t="s">
        <v>1922</v>
      </c>
      <c r="M57" s="12" t="s">
        <v>97</v>
      </c>
      <c r="N57" s="12">
        <v>2</v>
      </c>
      <c r="O57" s="12" t="s">
        <v>171</v>
      </c>
      <c r="P57" s="12" t="s">
        <v>21</v>
      </c>
      <c r="Q57" s="12" t="s">
        <v>30</v>
      </c>
    </row>
    <row r="58" spans="1:17" x14ac:dyDescent="0.2">
      <c r="A58" s="11">
        <v>45837</v>
      </c>
      <c r="B58" s="12" t="s">
        <v>5905</v>
      </c>
      <c r="C58" s="12"/>
      <c r="D58" s="12" t="s">
        <v>5906</v>
      </c>
      <c r="E58" s="12" t="s">
        <v>16</v>
      </c>
      <c r="F58" s="12" t="s">
        <v>17</v>
      </c>
      <c r="G58" s="13">
        <v>155000</v>
      </c>
      <c r="H58" s="13">
        <v>10000</v>
      </c>
      <c r="I58" s="12" t="s">
        <v>22</v>
      </c>
      <c r="J58" s="12" t="s">
        <v>22</v>
      </c>
      <c r="K58" s="12" t="s">
        <v>5907</v>
      </c>
      <c r="L58" s="12" t="s">
        <v>4389</v>
      </c>
      <c r="M58" s="12" t="s">
        <v>28</v>
      </c>
      <c r="N58" s="12">
        <v>2</v>
      </c>
      <c r="O58" s="12" t="s">
        <v>142</v>
      </c>
      <c r="P58" s="12" t="s">
        <v>21</v>
      </c>
      <c r="Q58" s="12" t="s">
        <v>30</v>
      </c>
    </row>
    <row r="59" spans="1:17" x14ac:dyDescent="0.2">
      <c r="A59" s="11">
        <v>45775</v>
      </c>
      <c r="B59" s="12" t="s">
        <v>7031</v>
      </c>
      <c r="C59" s="12"/>
      <c r="D59" s="12" t="s">
        <v>7032</v>
      </c>
      <c r="E59" s="12" t="s">
        <v>16</v>
      </c>
      <c r="F59" s="12" t="s">
        <v>38</v>
      </c>
      <c r="G59" s="13">
        <v>10000</v>
      </c>
      <c r="H59" s="13">
        <v>10000</v>
      </c>
      <c r="I59" s="12" t="s">
        <v>22</v>
      </c>
      <c r="J59" s="12" t="s">
        <v>22</v>
      </c>
      <c r="K59" s="12" t="s">
        <v>7033</v>
      </c>
      <c r="L59" s="12" t="s">
        <v>5599</v>
      </c>
      <c r="M59" s="12" t="s">
        <v>97</v>
      </c>
      <c r="N59" s="12">
        <v>2</v>
      </c>
      <c r="O59" s="12" t="s">
        <v>85</v>
      </c>
      <c r="P59" s="12" t="s">
        <v>41</v>
      </c>
      <c r="Q59" s="12" t="s">
        <v>30</v>
      </c>
    </row>
    <row r="60" spans="1:17" x14ac:dyDescent="0.2">
      <c r="A60" s="11">
        <v>45760</v>
      </c>
      <c r="B60" s="12"/>
      <c r="C60" s="12"/>
      <c r="D60" s="12" t="s">
        <v>7309</v>
      </c>
      <c r="E60" s="12" t="s">
        <v>16</v>
      </c>
      <c r="F60" s="12" t="s">
        <v>896</v>
      </c>
      <c r="G60" s="13">
        <v>10000</v>
      </c>
      <c r="H60" s="13">
        <v>10000</v>
      </c>
      <c r="I60" s="12" t="s">
        <v>22</v>
      </c>
      <c r="J60" s="12" t="s">
        <v>22</v>
      </c>
      <c r="K60" s="12"/>
      <c r="L60" s="12" t="s">
        <v>1011</v>
      </c>
      <c r="M60" s="12" t="s">
        <v>97</v>
      </c>
      <c r="N60" s="12">
        <v>1</v>
      </c>
      <c r="O60" s="12" t="s">
        <v>367</v>
      </c>
      <c r="P60" s="12" t="s">
        <v>131</v>
      </c>
      <c r="Q60" s="12" t="s">
        <v>30</v>
      </c>
    </row>
    <row r="61" spans="1:17" x14ac:dyDescent="0.2">
      <c r="A61" s="11">
        <v>45713</v>
      </c>
      <c r="B61" s="12"/>
      <c r="C61" s="12"/>
      <c r="D61" s="12" t="s">
        <v>7936</v>
      </c>
      <c r="E61" s="12" t="s">
        <v>16</v>
      </c>
      <c r="F61" s="12" t="s">
        <v>82</v>
      </c>
      <c r="G61" s="13">
        <v>10000</v>
      </c>
      <c r="H61" s="13">
        <v>10000</v>
      </c>
      <c r="I61" s="12" t="s">
        <v>22</v>
      </c>
      <c r="J61" s="12" t="s">
        <v>22</v>
      </c>
      <c r="K61" s="12"/>
      <c r="L61" s="12" t="s">
        <v>1011</v>
      </c>
      <c r="M61" s="12" t="s">
        <v>97</v>
      </c>
      <c r="N61" s="12">
        <v>1</v>
      </c>
      <c r="O61" s="12" t="s">
        <v>367</v>
      </c>
      <c r="P61" s="12" t="s">
        <v>131</v>
      </c>
      <c r="Q61" s="12" t="s">
        <v>30</v>
      </c>
    </row>
    <row r="62" spans="1:17" x14ac:dyDescent="0.2">
      <c r="A62" s="11">
        <v>45700</v>
      </c>
      <c r="B62" s="12" t="s">
        <v>8099</v>
      </c>
      <c r="C62" s="12"/>
      <c r="D62" s="12" t="s">
        <v>8100</v>
      </c>
      <c r="E62" s="12" t="s">
        <v>16</v>
      </c>
      <c r="F62" s="12" t="s">
        <v>58</v>
      </c>
      <c r="G62" s="13">
        <v>10500</v>
      </c>
      <c r="H62" s="13">
        <v>10000</v>
      </c>
      <c r="I62" s="12" t="s">
        <v>22</v>
      </c>
      <c r="J62" s="12" t="s">
        <v>22</v>
      </c>
      <c r="K62" s="12" t="s">
        <v>8101</v>
      </c>
      <c r="L62" s="12" t="s">
        <v>5752</v>
      </c>
      <c r="M62" s="12" t="s">
        <v>188</v>
      </c>
      <c r="N62" s="12">
        <v>2</v>
      </c>
      <c r="O62" s="12" t="s">
        <v>171</v>
      </c>
      <c r="P62" s="12" t="s">
        <v>21</v>
      </c>
      <c r="Q62" s="12" t="s">
        <v>30</v>
      </c>
    </row>
    <row r="63" spans="1:17" x14ac:dyDescent="0.2">
      <c r="A63" s="11">
        <v>46108</v>
      </c>
      <c r="B63" s="12" t="s">
        <v>230</v>
      </c>
      <c r="C63" s="12"/>
      <c r="D63" s="12" t="s">
        <v>231</v>
      </c>
      <c r="E63" s="12" t="s">
        <v>16</v>
      </c>
      <c r="F63" s="12" t="s">
        <v>17</v>
      </c>
      <c r="G63" s="13">
        <v>15000</v>
      </c>
      <c r="H63" s="13">
        <v>10500</v>
      </c>
      <c r="I63" s="12" t="s">
        <v>22</v>
      </c>
      <c r="J63" s="12" t="s">
        <v>22</v>
      </c>
      <c r="K63" s="12" t="s">
        <v>232</v>
      </c>
      <c r="L63" s="12" t="s">
        <v>79</v>
      </c>
      <c r="M63" s="12" t="s">
        <v>188</v>
      </c>
      <c r="N63" s="12">
        <v>2</v>
      </c>
      <c r="O63" s="12" t="s">
        <v>50</v>
      </c>
      <c r="P63" s="12" t="s">
        <v>21</v>
      </c>
      <c r="Q63" s="12" t="s">
        <v>30</v>
      </c>
    </row>
    <row r="64" spans="1:17" x14ac:dyDescent="0.2">
      <c r="A64" s="11">
        <v>46087</v>
      </c>
      <c r="B64" s="12" t="s">
        <v>902</v>
      </c>
      <c r="C64" s="12"/>
      <c r="D64" s="12" t="s">
        <v>903</v>
      </c>
      <c r="E64" s="12" t="s">
        <v>16</v>
      </c>
      <c r="F64" s="12" t="s">
        <v>243</v>
      </c>
      <c r="G64" s="13">
        <v>10500</v>
      </c>
      <c r="H64" s="13">
        <v>10500</v>
      </c>
      <c r="I64" s="12" t="s">
        <v>22</v>
      </c>
      <c r="J64" s="12" t="s">
        <v>22</v>
      </c>
      <c r="K64" s="12" t="s">
        <v>904</v>
      </c>
      <c r="L64" s="12" t="s">
        <v>905</v>
      </c>
      <c r="M64" s="12" t="s">
        <v>97</v>
      </c>
      <c r="N64" s="12">
        <v>2</v>
      </c>
      <c r="O64" s="12" t="s">
        <v>246</v>
      </c>
      <c r="P64" s="12" t="s">
        <v>21</v>
      </c>
      <c r="Q64" s="12" t="s">
        <v>30</v>
      </c>
    </row>
    <row r="65" spans="1:17" x14ac:dyDescent="0.2">
      <c r="A65" s="11">
        <v>45912</v>
      </c>
      <c r="B65" s="12" t="s">
        <v>4409</v>
      </c>
      <c r="C65" s="12"/>
      <c r="D65" s="12" t="s">
        <v>4410</v>
      </c>
      <c r="E65" s="12" t="s">
        <v>16</v>
      </c>
      <c r="F65" s="12" t="s">
        <v>243</v>
      </c>
      <c r="G65" s="13">
        <v>12000</v>
      </c>
      <c r="H65" s="13">
        <v>10500</v>
      </c>
      <c r="I65" s="12" t="s">
        <v>22</v>
      </c>
      <c r="J65" s="12" t="s">
        <v>22</v>
      </c>
      <c r="K65" s="12" t="s">
        <v>4411</v>
      </c>
      <c r="L65" s="12" t="s">
        <v>4412</v>
      </c>
      <c r="M65" s="12" t="s">
        <v>97</v>
      </c>
      <c r="N65" s="12">
        <v>2</v>
      </c>
      <c r="O65" s="12" t="s">
        <v>246</v>
      </c>
      <c r="P65" s="12" t="s">
        <v>21</v>
      </c>
      <c r="Q65" s="12" t="s">
        <v>30</v>
      </c>
    </row>
    <row r="66" spans="1:17" x14ac:dyDescent="0.2">
      <c r="A66" s="11">
        <v>45777</v>
      </c>
      <c r="B66" s="12" t="s">
        <v>6984</v>
      </c>
      <c r="C66" s="12"/>
      <c r="D66" s="12" t="s">
        <v>6985</v>
      </c>
      <c r="E66" s="12" t="s">
        <v>16</v>
      </c>
      <c r="F66" s="12" t="s">
        <v>243</v>
      </c>
      <c r="G66" s="13">
        <v>10000</v>
      </c>
      <c r="H66" s="13">
        <v>10500</v>
      </c>
      <c r="I66" s="12" t="s">
        <v>22</v>
      </c>
      <c r="J66" s="12" t="s">
        <v>22</v>
      </c>
      <c r="K66" s="12" t="s">
        <v>6986</v>
      </c>
      <c r="L66" s="12" t="s">
        <v>1239</v>
      </c>
      <c r="M66" s="12" t="s">
        <v>97</v>
      </c>
      <c r="N66" s="12">
        <v>2</v>
      </c>
      <c r="O66" s="12" t="s">
        <v>246</v>
      </c>
      <c r="P66" s="12" t="s">
        <v>21</v>
      </c>
      <c r="Q66" s="12" t="s">
        <v>30</v>
      </c>
    </row>
    <row r="67" spans="1:17" x14ac:dyDescent="0.2">
      <c r="A67" s="11">
        <v>45687</v>
      </c>
      <c r="B67" s="12" t="s">
        <v>8236</v>
      </c>
      <c r="C67" s="12"/>
      <c r="D67" s="12" t="s">
        <v>8237</v>
      </c>
      <c r="E67" s="12" t="s">
        <v>16</v>
      </c>
      <c r="F67" s="12" t="s">
        <v>243</v>
      </c>
      <c r="G67" s="13">
        <v>10500</v>
      </c>
      <c r="H67" s="13">
        <v>10500</v>
      </c>
      <c r="I67" s="12" t="s">
        <v>22</v>
      </c>
      <c r="J67" s="12" t="s">
        <v>22</v>
      </c>
      <c r="K67" s="12" t="s">
        <v>8238</v>
      </c>
      <c r="L67" s="12" t="s">
        <v>905</v>
      </c>
      <c r="M67" s="12" t="s">
        <v>97</v>
      </c>
      <c r="N67" s="12">
        <v>2</v>
      </c>
      <c r="O67" s="12" t="s">
        <v>246</v>
      </c>
      <c r="P67" s="12" t="s">
        <v>21</v>
      </c>
      <c r="Q67" s="12" t="s">
        <v>30</v>
      </c>
    </row>
    <row r="68" spans="1:17" x14ac:dyDescent="0.2">
      <c r="A68" s="11">
        <v>46111</v>
      </c>
      <c r="B68" s="12" t="s">
        <v>185</v>
      </c>
      <c r="C68" s="12"/>
      <c r="D68" s="12" t="s">
        <v>186</v>
      </c>
      <c r="E68" s="12" t="s">
        <v>16</v>
      </c>
      <c r="F68" s="12" t="s">
        <v>17</v>
      </c>
      <c r="G68" s="13">
        <v>12000</v>
      </c>
      <c r="H68" s="13">
        <v>10600</v>
      </c>
      <c r="I68" s="12" t="s">
        <v>22</v>
      </c>
      <c r="J68" s="12" t="s">
        <v>22</v>
      </c>
      <c r="K68" s="12" t="s">
        <v>187</v>
      </c>
      <c r="L68" s="12" t="s">
        <v>111</v>
      </c>
      <c r="M68" s="12" t="s">
        <v>188</v>
      </c>
      <c r="N68" s="12">
        <v>2</v>
      </c>
      <c r="O68" s="12" t="s">
        <v>78</v>
      </c>
      <c r="P68" s="12" t="s">
        <v>21</v>
      </c>
      <c r="Q68" s="12" t="s">
        <v>30</v>
      </c>
    </row>
    <row r="69" spans="1:17" x14ac:dyDescent="0.2">
      <c r="A69" s="11">
        <v>46049</v>
      </c>
      <c r="B69" s="12" t="s">
        <v>1696</v>
      </c>
      <c r="C69" s="12"/>
      <c r="D69" s="12" t="s">
        <v>1697</v>
      </c>
      <c r="E69" s="12" t="s">
        <v>16</v>
      </c>
      <c r="F69" s="12" t="s">
        <v>243</v>
      </c>
      <c r="G69" s="13">
        <v>12500</v>
      </c>
      <c r="H69" s="13">
        <v>11000</v>
      </c>
      <c r="I69" s="12" t="s">
        <v>22</v>
      </c>
      <c r="J69" s="12" t="s">
        <v>22</v>
      </c>
      <c r="K69" s="12" t="s">
        <v>1698</v>
      </c>
      <c r="L69" s="12" t="s">
        <v>630</v>
      </c>
      <c r="M69" s="12" t="s">
        <v>97</v>
      </c>
      <c r="N69" s="12">
        <v>2</v>
      </c>
      <c r="O69" s="12" t="s">
        <v>246</v>
      </c>
      <c r="P69" s="12" t="s">
        <v>21</v>
      </c>
      <c r="Q69" s="12" t="s">
        <v>30</v>
      </c>
    </row>
    <row r="70" spans="1:17" x14ac:dyDescent="0.2">
      <c r="A70" s="11">
        <v>45658</v>
      </c>
      <c r="B70" s="12" t="s">
        <v>8513</v>
      </c>
      <c r="C70" s="12"/>
      <c r="D70" s="12" t="s">
        <v>8514</v>
      </c>
      <c r="E70" s="12" t="s">
        <v>16</v>
      </c>
      <c r="F70" s="12" t="s">
        <v>17</v>
      </c>
      <c r="G70" s="13">
        <v>13000</v>
      </c>
      <c r="H70" s="13">
        <v>11000</v>
      </c>
      <c r="I70" s="12" t="s">
        <v>22</v>
      </c>
      <c r="J70" s="12" t="s">
        <v>22</v>
      </c>
      <c r="K70" s="12" t="s">
        <v>8515</v>
      </c>
      <c r="L70" s="12" t="s">
        <v>191</v>
      </c>
      <c r="M70" s="12" t="s">
        <v>188</v>
      </c>
      <c r="N70" s="12">
        <v>2</v>
      </c>
      <c r="O70" s="12" t="s">
        <v>201</v>
      </c>
      <c r="P70" s="12" t="s">
        <v>21</v>
      </c>
      <c r="Q70" s="12" t="s">
        <v>30</v>
      </c>
    </row>
    <row r="71" spans="1:17" x14ac:dyDescent="0.2">
      <c r="A71" s="11">
        <v>45973</v>
      </c>
      <c r="B71" s="12" t="s">
        <v>3238</v>
      </c>
      <c r="C71" s="12"/>
      <c r="D71" s="12" t="s">
        <v>3239</v>
      </c>
      <c r="E71" s="12" t="s">
        <v>16</v>
      </c>
      <c r="F71" s="12" t="s">
        <v>17</v>
      </c>
      <c r="G71" s="13">
        <v>13000</v>
      </c>
      <c r="H71" s="13">
        <v>11500</v>
      </c>
      <c r="I71" s="12" t="s">
        <v>22</v>
      </c>
      <c r="J71" s="12" t="s">
        <v>22</v>
      </c>
      <c r="K71" s="12" t="s">
        <v>3240</v>
      </c>
      <c r="L71" s="12" t="s">
        <v>191</v>
      </c>
      <c r="M71" s="12" t="s">
        <v>188</v>
      </c>
      <c r="N71" s="12">
        <v>2</v>
      </c>
      <c r="O71" s="12" t="s">
        <v>73</v>
      </c>
      <c r="P71" s="12" t="s">
        <v>41</v>
      </c>
      <c r="Q71" s="12" t="s">
        <v>30</v>
      </c>
    </row>
    <row r="72" spans="1:17" x14ac:dyDescent="0.2">
      <c r="A72" s="11">
        <v>45946</v>
      </c>
      <c r="B72" s="12" t="s">
        <v>3728</v>
      </c>
      <c r="C72" s="12"/>
      <c r="D72" s="12" t="s">
        <v>3729</v>
      </c>
      <c r="E72" s="12" t="s">
        <v>16</v>
      </c>
      <c r="F72" s="12" t="s">
        <v>243</v>
      </c>
      <c r="G72" s="13">
        <v>12000</v>
      </c>
      <c r="H72" s="13">
        <v>11500</v>
      </c>
      <c r="I72" s="12" t="s">
        <v>22</v>
      </c>
      <c r="J72" s="12" t="s">
        <v>22</v>
      </c>
      <c r="K72" s="12" t="s">
        <v>3730</v>
      </c>
      <c r="L72" s="12" t="s">
        <v>1239</v>
      </c>
      <c r="M72" s="12" t="s">
        <v>97</v>
      </c>
      <c r="N72" s="12">
        <v>2</v>
      </c>
      <c r="O72" s="12" t="s">
        <v>246</v>
      </c>
      <c r="P72" s="12" t="s">
        <v>41</v>
      </c>
      <c r="Q72" s="12" t="s">
        <v>30</v>
      </c>
    </row>
    <row r="73" spans="1:17" x14ac:dyDescent="0.2">
      <c r="A73" s="11">
        <v>45827</v>
      </c>
      <c r="B73" s="12" t="s">
        <v>6089</v>
      </c>
      <c r="C73" s="12"/>
      <c r="D73" s="12" t="s">
        <v>6090</v>
      </c>
      <c r="E73" s="12" t="s">
        <v>16</v>
      </c>
      <c r="F73" s="12" t="s">
        <v>243</v>
      </c>
      <c r="G73" s="13">
        <v>12000</v>
      </c>
      <c r="H73" s="13">
        <v>11500</v>
      </c>
      <c r="I73" s="12" t="s">
        <v>22</v>
      </c>
      <c r="J73" s="12" t="s">
        <v>22</v>
      </c>
      <c r="K73" s="12" t="s">
        <v>6091</v>
      </c>
      <c r="L73" s="12" t="s">
        <v>1239</v>
      </c>
      <c r="M73" s="12" t="s">
        <v>97</v>
      </c>
      <c r="N73" s="12">
        <v>2</v>
      </c>
      <c r="O73" s="12" t="s">
        <v>246</v>
      </c>
      <c r="P73" s="12" t="s">
        <v>21</v>
      </c>
      <c r="Q73" s="12" t="s">
        <v>30</v>
      </c>
    </row>
    <row r="74" spans="1:17" x14ac:dyDescent="0.2">
      <c r="A74" s="11">
        <v>45721</v>
      </c>
      <c r="B74" s="12" t="s">
        <v>7857</v>
      </c>
      <c r="C74" s="12"/>
      <c r="D74" s="12" t="s">
        <v>7858</v>
      </c>
      <c r="E74" s="12" t="s">
        <v>16</v>
      </c>
      <c r="F74" s="12" t="s">
        <v>243</v>
      </c>
      <c r="G74" s="13">
        <v>13000</v>
      </c>
      <c r="H74" s="13">
        <v>11500</v>
      </c>
      <c r="I74" s="12" t="s">
        <v>22</v>
      </c>
      <c r="J74" s="12" t="s">
        <v>22</v>
      </c>
      <c r="K74" s="12" t="s">
        <v>7859</v>
      </c>
      <c r="L74" s="12" t="s">
        <v>1407</v>
      </c>
      <c r="M74" s="12" t="s">
        <v>97</v>
      </c>
      <c r="N74" s="12">
        <v>2</v>
      </c>
      <c r="O74" s="12" t="s">
        <v>246</v>
      </c>
      <c r="P74" s="12" t="s">
        <v>41</v>
      </c>
      <c r="Q74" s="12" t="s">
        <v>30</v>
      </c>
    </row>
    <row r="75" spans="1:17" x14ac:dyDescent="0.2">
      <c r="A75" s="11">
        <v>45761</v>
      </c>
      <c r="B75" s="12" t="s">
        <v>7273</v>
      </c>
      <c r="C75" s="12"/>
      <c r="D75" s="12" t="s">
        <v>7274</v>
      </c>
      <c r="E75" s="12" t="s">
        <v>16</v>
      </c>
      <c r="F75" s="12" t="s">
        <v>38</v>
      </c>
      <c r="G75" s="13">
        <v>14900</v>
      </c>
      <c r="H75" s="13">
        <v>11540</v>
      </c>
      <c r="I75" s="12" t="s">
        <v>22</v>
      </c>
      <c r="J75" s="12" t="s">
        <v>22</v>
      </c>
      <c r="K75" s="12" t="s">
        <v>7275</v>
      </c>
      <c r="L75" s="12" t="s">
        <v>7276</v>
      </c>
      <c r="M75" s="12" t="s">
        <v>97</v>
      </c>
      <c r="N75" s="12">
        <v>2</v>
      </c>
      <c r="O75" s="12" t="s">
        <v>85</v>
      </c>
      <c r="P75" s="12" t="s">
        <v>21</v>
      </c>
      <c r="Q75" s="12" t="s">
        <v>30</v>
      </c>
    </row>
    <row r="76" spans="1:17" x14ac:dyDescent="0.2">
      <c r="A76" s="11">
        <v>45743</v>
      </c>
      <c r="B76" s="12" t="s">
        <v>7573</v>
      </c>
      <c r="C76" s="12"/>
      <c r="D76" s="12" t="s">
        <v>7574</v>
      </c>
      <c r="E76" s="12" t="s">
        <v>16</v>
      </c>
      <c r="F76" s="12" t="s">
        <v>38</v>
      </c>
      <c r="G76" s="13">
        <v>12000</v>
      </c>
      <c r="H76" s="13">
        <v>11600</v>
      </c>
      <c r="I76" s="12" t="s">
        <v>22</v>
      </c>
      <c r="J76" s="12" t="s">
        <v>22</v>
      </c>
      <c r="K76" s="12" t="s">
        <v>7575</v>
      </c>
      <c r="L76" s="12" t="s">
        <v>630</v>
      </c>
      <c r="M76" s="12" t="s">
        <v>97</v>
      </c>
      <c r="N76" s="12">
        <v>1</v>
      </c>
      <c r="O76" s="12" t="s">
        <v>246</v>
      </c>
      <c r="P76" s="12" t="s">
        <v>131</v>
      </c>
      <c r="Q76" s="12" t="s">
        <v>30</v>
      </c>
    </row>
    <row r="77" spans="1:17" x14ac:dyDescent="0.2">
      <c r="A77" s="11">
        <v>46072</v>
      </c>
      <c r="B77" s="12" t="s">
        <v>1236</v>
      </c>
      <c r="C77" s="12"/>
      <c r="D77" s="12" t="s">
        <v>1237</v>
      </c>
      <c r="E77" s="12" t="s">
        <v>16</v>
      </c>
      <c r="F77" s="12" t="s">
        <v>82</v>
      </c>
      <c r="G77" s="13">
        <v>12000</v>
      </c>
      <c r="H77" s="13">
        <v>12000</v>
      </c>
      <c r="I77" s="12" t="s">
        <v>22</v>
      </c>
      <c r="J77" s="12" t="s">
        <v>22</v>
      </c>
      <c r="K77" s="12" t="s">
        <v>1238</v>
      </c>
      <c r="L77" s="12" t="s">
        <v>1239</v>
      </c>
      <c r="M77" s="12" t="s">
        <v>97</v>
      </c>
      <c r="N77" s="12">
        <v>2</v>
      </c>
      <c r="O77" s="12" t="s">
        <v>246</v>
      </c>
      <c r="P77" s="12" t="s">
        <v>21</v>
      </c>
      <c r="Q77" s="12" t="s">
        <v>30</v>
      </c>
    </row>
    <row r="78" spans="1:17" x14ac:dyDescent="0.2">
      <c r="A78" s="11">
        <v>46051</v>
      </c>
      <c r="B78" s="12" t="s">
        <v>1623</v>
      </c>
      <c r="C78" s="12"/>
      <c r="D78" s="12" t="s">
        <v>1624</v>
      </c>
      <c r="E78" s="12" t="s">
        <v>16</v>
      </c>
      <c r="F78" s="12" t="s">
        <v>17</v>
      </c>
      <c r="G78" s="13">
        <v>12000</v>
      </c>
      <c r="H78" s="13">
        <v>12000</v>
      </c>
      <c r="I78" s="12" t="s">
        <v>22</v>
      </c>
      <c r="J78" s="12" t="s">
        <v>22</v>
      </c>
      <c r="K78" s="12" t="s">
        <v>1625</v>
      </c>
      <c r="L78" s="12" t="s">
        <v>867</v>
      </c>
      <c r="M78" s="12" t="s">
        <v>188</v>
      </c>
      <c r="N78" s="12">
        <v>2</v>
      </c>
      <c r="O78" s="12" t="s">
        <v>50</v>
      </c>
      <c r="P78" s="12" t="s">
        <v>21</v>
      </c>
      <c r="Q78" s="12" t="s">
        <v>30</v>
      </c>
    </row>
    <row r="79" spans="1:17" x14ac:dyDescent="0.2">
      <c r="A79" s="11">
        <v>46050</v>
      </c>
      <c r="B79" s="12" t="s">
        <v>1663</v>
      </c>
      <c r="C79" s="12"/>
      <c r="D79" s="12" t="s">
        <v>1664</v>
      </c>
      <c r="E79" s="12" t="s">
        <v>16</v>
      </c>
      <c r="F79" s="12" t="s">
        <v>243</v>
      </c>
      <c r="G79" s="13">
        <v>12000</v>
      </c>
      <c r="H79" s="13">
        <v>12000</v>
      </c>
      <c r="I79" s="12" t="s">
        <v>22</v>
      </c>
      <c r="J79" s="12" t="s">
        <v>22</v>
      </c>
      <c r="K79" s="12" t="s">
        <v>1665</v>
      </c>
      <c r="L79" s="12" t="s">
        <v>1666</v>
      </c>
      <c r="M79" s="12" t="s">
        <v>97</v>
      </c>
      <c r="N79" s="12">
        <v>2</v>
      </c>
      <c r="O79" s="12" t="s">
        <v>246</v>
      </c>
      <c r="P79" s="12" t="s">
        <v>21</v>
      </c>
      <c r="Q79" s="12" t="s">
        <v>30</v>
      </c>
    </row>
    <row r="80" spans="1:17" x14ac:dyDescent="0.2">
      <c r="A80" s="11">
        <v>45952</v>
      </c>
      <c r="B80" s="12" t="s">
        <v>3614</v>
      </c>
      <c r="C80" s="12"/>
      <c r="D80" s="12" t="s">
        <v>3615</v>
      </c>
      <c r="E80" s="12" t="s">
        <v>16</v>
      </c>
      <c r="F80" s="12" t="s">
        <v>17</v>
      </c>
      <c r="G80" s="13">
        <v>17000</v>
      </c>
      <c r="H80" s="13">
        <v>12000</v>
      </c>
      <c r="I80" s="12" t="s">
        <v>22</v>
      </c>
      <c r="J80" s="12" t="s">
        <v>22</v>
      </c>
      <c r="K80" s="12" t="s">
        <v>3616</v>
      </c>
      <c r="L80" s="12" t="s">
        <v>191</v>
      </c>
      <c r="M80" s="12" t="s">
        <v>188</v>
      </c>
      <c r="N80" s="12">
        <v>2</v>
      </c>
      <c r="O80" s="12" t="s">
        <v>20</v>
      </c>
      <c r="P80" s="12" t="s">
        <v>21</v>
      </c>
      <c r="Q80" s="12" t="s">
        <v>30</v>
      </c>
    </row>
    <row r="81" spans="1:17" x14ac:dyDescent="0.2">
      <c r="A81" s="11">
        <v>45944</v>
      </c>
      <c r="B81" s="12" t="s">
        <v>3790</v>
      </c>
      <c r="C81" s="12"/>
      <c r="D81" s="12" t="s">
        <v>3791</v>
      </c>
      <c r="E81" s="12" t="s">
        <v>16</v>
      </c>
      <c r="F81" s="12" t="s">
        <v>243</v>
      </c>
      <c r="G81" s="13">
        <v>12500</v>
      </c>
      <c r="H81" s="13">
        <v>12000</v>
      </c>
      <c r="I81" s="12" t="s">
        <v>22</v>
      </c>
      <c r="J81" s="12" t="s">
        <v>22</v>
      </c>
      <c r="K81" s="12" t="s">
        <v>3792</v>
      </c>
      <c r="L81" s="12" t="s">
        <v>3793</v>
      </c>
      <c r="M81" s="12" t="s">
        <v>97</v>
      </c>
      <c r="N81" s="12">
        <v>2</v>
      </c>
      <c r="O81" s="12" t="s">
        <v>85</v>
      </c>
      <c r="P81" s="12" t="s">
        <v>41</v>
      </c>
      <c r="Q81" s="12" t="s">
        <v>30</v>
      </c>
    </row>
    <row r="82" spans="1:17" x14ac:dyDescent="0.2">
      <c r="A82" s="11">
        <v>45904</v>
      </c>
      <c r="B82" s="12" t="s">
        <v>1919</v>
      </c>
      <c r="C82" s="12"/>
      <c r="D82" s="12" t="s">
        <v>1920</v>
      </c>
      <c r="E82" s="12" t="s">
        <v>16</v>
      </c>
      <c r="F82" s="12" t="s">
        <v>58</v>
      </c>
      <c r="G82" s="13">
        <v>10000</v>
      </c>
      <c r="H82" s="13">
        <v>12000</v>
      </c>
      <c r="I82" s="12" t="s">
        <v>22</v>
      </c>
      <c r="J82" s="12" t="s">
        <v>22</v>
      </c>
      <c r="K82" s="12" t="s">
        <v>1921</v>
      </c>
      <c r="L82" s="12" t="s">
        <v>1922</v>
      </c>
      <c r="M82" s="12" t="s">
        <v>97</v>
      </c>
      <c r="N82" s="12">
        <v>2</v>
      </c>
      <c r="O82" s="12" t="s">
        <v>171</v>
      </c>
      <c r="P82" s="12" t="s">
        <v>21</v>
      </c>
      <c r="Q82" s="12" t="s">
        <v>30</v>
      </c>
    </row>
    <row r="83" spans="1:17" x14ac:dyDescent="0.2">
      <c r="A83" s="11">
        <v>45839</v>
      </c>
      <c r="B83" s="12" t="s">
        <v>1919</v>
      </c>
      <c r="C83" s="12"/>
      <c r="D83" s="12" t="s">
        <v>1920</v>
      </c>
      <c r="E83" s="12" t="s">
        <v>16</v>
      </c>
      <c r="F83" s="12" t="s">
        <v>17</v>
      </c>
      <c r="G83" s="13">
        <v>12000</v>
      </c>
      <c r="H83" s="13">
        <v>12000</v>
      </c>
      <c r="I83" s="12" t="s">
        <v>22</v>
      </c>
      <c r="J83" s="12" t="s">
        <v>22</v>
      </c>
      <c r="K83" s="12" t="s">
        <v>1921</v>
      </c>
      <c r="L83" s="12" t="s">
        <v>1922</v>
      </c>
      <c r="M83" s="12" t="s">
        <v>97</v>
      </c>
      <c r="N83" s="12">
        <v>2</v>
      </c>
      <c r="O83" s="12" t="s">
        <v>171</v>
      </c>
      <c r="P83" s="12" t="s">
        <v>21</v>
      </c>
      <c r="Q83" s="12" t="s">
        <v>30</v>
      </c>
    </row>
    <row r="84" spans="1:17" x14ac:dyDescent="0.2">
      <c r="A84" s="11">
        <v>45696</v>
      </c>
      <c r="B84" s="12" t="s">
        <v>8139</v>
      </c>
      <c r="C84" s="12"/>
      <c r="D84" s="12" t="s">
        <v>8140</v>
      </c>
      <c r="E84" s="12" t="s">
        <v>16</v>
      </c>
      <c r="F84" s="12" t="s">
        <v>134</v>
      </c>
      <c r="G84" s="13">
        <v>12000</v>
      </c>
      <c r="H84" s="13">
        <v>12000</v>
      </c>
      <c r="I84" s="12" t="s">
        <v>22</v>
      </c>
      <c r="J84" s="12" t="s">
        <v>22</v>
      </c>
      <c r="K84" s="12" t="s">
        <v>8141</v>
      </c>
      <c r="L84" s="12" t="s">
        <v>7531</v>
      </c>
      <c r="M84" s="12" t="s">
        <v>97</v>
      </c>
      <c r="N84" s="12">
        <v>2</v>
      </c>
      <c r="O84" s="12" t="s">
        <v>171</v>
      </c>
      <c r="P84" s="12" t="s">
        <v>21</v>
      </c>
      <c r="Q84" s="12" t="s">
        <v>30</v>
      </c>
    </row>
    <row r="85" spans="1:17" x14ac:dyDescent="0.2">
      <c r="A85" s="11">
        <v>46034</v>
      </c>
      <c r="B85" s="12" t="s">
        <v>1980</v>
      </c>
      <c r="C85" s="12"/>
      <c r="D85" s="12" t="s">
        <v>1980</v>
      </c>
      <c r="E85" s="12" t="s">
        <v>16</v>
      </c>
      <c r="F85" s="12" t="s">
        <v>47</v>
      </c>
      <c r="G85" s="13">
        <v>49000</v>
      </c>
      <c r="H85" s="13">
        <v>12250</v>
      </c>
      <c r="I85" s="12" t="s">
        <v>22</v>
      </c>
      <c r="J85" s="12" t="s">
        <v>22</v>
      </c>
      <c r="K85" s="12" t="s">
        <v>1980</v>
      </c>
      <c r="L85" s="12" t="s">
        <v>523</v>
      </c>
      <c r="M85" s="12" t="s">
        <v>19</v>
      </c>
      <c r="N85" s="12">
        <v>2</v>
      </c>
      <c r="O85" s="12" t="s">
        <v>50</v>
      </c>
      <c r="P85" s="12" t="s">
        <v>21</v>
      </c>
      <c r="Q85" s="12" t="s">
        <v>30</v>
      </c>
    </row>
    <row r="86" spans="1:17" x14ac:dyDescent="0.2">
      <c r="A86" s="11">
        <v>45937</v>
      </c>
      <c r="B86" s="12" t="s">
        <v>3790</v>
      </c>
      <c r="C86" s="12"/>
      <c r="D86" s="12" t="s">
        <v>3791</v>
      </c>
      <c r="E86" s="12" t="s">
        <v>16</v>
      </c>
      <c r="F86" s="12" t="s">
        <v>243</v>
      </c>
      <c r="G86" s="13">
        <v>12500</v>
      </c>
      <c r="H86" s="13">
        <v>12500</v>
      </c>
      <c r="I86" s="12" t="s">
        <v>22</v>
      </c>
      <c r="J86" s="12" t="s">
        <v>22</v>
      </c>
      <c r="K86" s="12" t="s">
        <v>3792</v>
      </c>
      <c r="L86" s="12" t="s">
        <v>3793</v>
      </c>
      <c r="M86" s="12" t="s">
        <v>97</v>
      </c>
      <c r="N86" s="12">
        <v>2</v>
      </c>
      <c r="O86" s="12" t="s">
        <v>85</v>
      </c>
      <c r="P86" s="12" t="s">
        <v>21</v>
      </c>
      <c r="Q86" s="12" t="s">
        <v>30</v>
      </c>
    </row>
    <row r="87" spans="1:17" x14ac:dyDescent="0.2">
      <c r="A87" s="11">
        <v>45761</v>
      </c>
      <c r="B87" s="12" t="s">
        <v>7302</v>
      </c>
      <c r="C87" s="12"/>
      <c r="D87" s="12" t="s">
        <v>7303</v>
      </c>
      <c r="E87" s="12" t="s">
        <v>16</v>
      </c>
      <c r="F87" s="12" t="s">
        <v>38</v>
      </c>
      <c r="G87" s="13">
        <v>12500</v>
      </c>
      <c r="H87" s="13">
        <v>12500</v>
      </c>
      <c r="I87" s="12" t="s">
        <v>22</v>
      </c>
      <c r="J87" s="12" t="s">
        <v>22</v>
      </c>
      <c r="K87" s="12" t="s">
        <v>1406</v>
      </c>
      <c r="L87" s="12" t="s">
        <v>630</v>
      </c>
      <c r="M87" s="12" t="s">
        <v>97</v>
      </c>
      <c r="N87" s="12">
        <v>2</v>
      </c>
      <c r="O87" s="12" t="s">
        <v>246</v>
      </c>
      <c r="P87" s="12" t="s">
        <v>21</v>
      </c>
      <c r="Q87" s="12" t="s">
        <v>30</v>
      </c>
    </row>
    <row r="88" spans="1:17" x14ac:dyDescent="0.2">
      <c r="A88" s="11">
        <v>45750</v>
      </c>
      <c r="B88" s="12" t="s">
        <v>7438</v>
      </c>
      <c r="C88" s="12"/>
      <c r="D88" s="12" t="s">
        <v>7439</v>
      </c>
      <c r="E88" s="12" t="s">
        <v>16</v>
      </c>
      <c r="F88" s="12" t="s">
        <v>53</v>
      </c>
      <c r="G88" s="13">
        <v>14000</v>
      </c>
      <c r="H88" s="13">
        <v>12500</v>
      </c>
      <c r="I88" s="12" t="s">
        <v>22</v>
      </c>
      <c r="J88" s="12" t="s">
        <v>22</v>
      </c>
      <c r="K88" s="12" t="s">
        <v>7440</v>
      </c>
      <c r="L88" s="12" t="s">
        <v>7441</v>
      </c>
      <c r="M88" s="12" t="s">
        <v>97</v>
      </c>
      <c r="N88" s="12">
        <v>2</v>
      </c>
      <c r="O88" s="12" t="s">
        <v>55</v>
      </c>
      <c r="P88" s="12" t="s">
        <v>21</v>
      </c>
      <c r="Q88" s="12" t="s">
        <v>30</v>
      </c>
    </row>
    <row r="89" spans="1:17" x14ac:dyDescent="0.2">
      <c r="A89" s="11">
        <v>45936</v>
      </c>
      <c r="B89" s="12" t="s">
        <v>3971</v>
      </c>
      <c r="C89" s="12"/>
      <c r="D89" s="12" t="s">
        <v>3972</v>
      </c>
      <c r="E89" s="12" t="s">
        <v>16</v>
      </c>
      <c r="F89" s="12" t="s">
        <v>38</v>
      </c>
      <c r="G89" s="13">
        <v>13000</v>
      </c>
      <c r="H89" s="13">
        <v>12800</v>
      </c>
      <c r="I89" s="12" t="s">
        <v>22</v>
      </c>
      <c r="J89" s="12" t="s">
        <v>22</v>
      </c>
      <c r="K89" s="12" t="s">
        <v>3973</v>
      </c>
      <c r="L89" s="12" t="s">
        <v>630</v>
      </c>
      <c r="M89" s="12" t="s">
        <v>97</v>
      </c>
      <c r="N89" s="12">
        <v>2</v>
      </c>
      <c r="O89" s="12" t="s">
        <v>246</v>
      </c>
      <c r="P89" s="12" t="s">
        <v>21</v>
      </c>
      <c r="Q89" s="12" t="s">
        <v>30</v>
      </c>
    </row>
    <row r="90" spans="1:17" x14ac:dyDescent="0.2">
      <c r="A90" s="11">
        <v>46002</v>
      </c>
      <c r="B90" s="12" t="s">
        <v>2519</v>
      </c>
      <c r="C90" s="12"/>
      <c r="D90" s="12" t="s">
        <v>2520</v>
      </c>
      <c r="E90" s="12" t="s">
        <v>16</v>
      </c>
      <c r="F90" s="12" t="s">
        <v>17</v>
      </c>
      <c r="G90" s="13">
        <v>15000</v>
      </c>
      <c r="H90" s="13">
        <v>13000</v>
      </c>
      <c r="I90" s="12" t="s">
        <v>22</v>
      </c>
      <c r="J90" s="12" t="s">
        <v>22</v>
      </c>
      <c r="K90" s="12" t="s">
        <v>2521</v>
      </c>
      <c r="L90" s="12" t="s">
        <v>191</v>
      </c>
      <c r="M90" s="12" t="s">
        <v>188</v>
      </c>
      <c r="N90" s="12">
        <v>2</v>
      </c>
      <c r="O90" s="12" t="s">
        <v>73</v>
      </c>
      <c r="P90" s="12" t="s">
        <v>21</v>
      </c>
      <c r="Q90" s="12" t="s">
        <v>30</v>
      </c>
    </row>
    <row r="91" spans="1:17" x14ac:dyDescent="0.2">
      <c r="A91" s="11">
        <v>45852</v>
      </c>
      <c r="B91" s="12" t="s">
        <v>5596</v>
      </c>
      <c r="C91" s="12"/>
      <c r="D91" s="12" t="s">
        <v>5597</v>
      </c>
      <c r="E91" s="12" t="s">
        <v>16</v>
      </c>
      <c r="F91" s="12" t="s">
        <v>82</v>
      </c>
      <c r="G91" s="13">
        <v>13000</v>
      </c>
      <c r="H91" s="13">
        <v>13000</v>
      </c>
      <c r="I91" s="12" t="s">
        <v>22</v>
      </c>
      <c r="J91" s="12" t="s">
        <v>22</v>
      </c>
      <c r="K91" s="12" t="s">
        <v>5598</v>
      </c>
      <c r="L91" s="12" t="s">
        <v>5599</v>
      </c>
      <c r="M91" s="12" t="s">
        <v>97</v>
      </c>
      <c r="N91" s="12">
        <v>2</v>
      </c>
      <c r="O91" s="12" t="s">
        <v>85</v>
      </c>
      <c r="P91" s="12" t="s">
        <v>41</v>
      </c>
      <c r="Q91" s="12" t="s">
        <v>30</v>
      </c>
    </row>
    <row r="92" spans="1:17" x14ac:dyDescent="0.2">
      <c r="A92" s="11">
        <v>45835</v>
      </c>
      <c r="B92" s="12" t="s">
        <v>5967</v>
      </c>
      <c r="C92" s="12"/>
      <c r="D92" s="12" t="s">
        <v>5968</v>
      </c>
      <c r="E92" s="12" t="s">
        <v>16</v>
      </c>
      <c r="F92" s="12" t="s">
        <v>58</v>
      </c>
      <c r="G92" s="13">
        <v>13000</v>
      </c>
      <c r="H92" s="13">
        <v>13000</v>
      </c>
      <c r="I92" s="12" t="s">
        <v>22</v>
      </c>
      <c r="J92" s="12" t="s">
        <v>22</v>
      </c>
      <c r="K92" s="12" t="s">
        <v>5969</v>
      </c>
      <c r="L92" s="12" t="s">
        <v>191</v>
      </c>
      <c r="M92" s="12" t="s">
        <v>188</v>
      </c>
      <c r="N92" s="12">
        <v>2</v>
      </c>
      <c r="O92" s="12" t="s">
        <v>73</v>
      </c>
      <c r="P92" s="12" t="s">
        <v>21</v>
      </c>
      <c r="Q92" s="12" t="s">
        <v>30</v>
      </c>
    </row>
    <row r="93" spans="1:17" x14ac:dyDescent="0.2">
      <c r="A93" s="11">
        <v>45992</v>
      </c>
      <c r="B93" s="12" t="s">
        <v>2736</v>
      </c>
      <c r="C93" s="12"/>
      <c r="D93" s="12" t="s">
        <v>2737</v>
      </c>
      <c r="E93" s="12" t="s">
        <v>16</v>
      </c>
      <c r="F93" s="12" t="s">
        <v>17</v>
      </c>
      <c r="G93" s="13">
        <v>14000</v>
      </c>
      <c r="H93" s="13">
        <v>13500</v>
      </c>
      <c r="I93" s="12" t="s">
        <v>22</v>
      </c>
      <c r="J93" s="12" t="s">
        <v>22</v>
      </c>
      <c r="K93" s="12" t="s">
        <v>2738</v>
      </c>
      <c r="L93" s="12" t="s">
        <v>946</v>
      </c>
      <c r="M93" s="12" t="s">
        <v>97</v>
      </c>
      <c r="N93" s="12">
        <v>2</v>
      </c>
      <c r="O93" s="12" t="s">
        <v>65</v>
      </c>
      <c r="P93" s="12" t="s">
        <v>41</v>
      </c>
      <c r="Q93" s="12" t="s">
        <v>30</v>
      </c>
    </row>
    <row r="94" spans="1:17" x14ac:dyDescent="0.2">
      <c r="A94" s="11">
        <v>45925</v>
      </c>
      <c r="B94" s="12" t="s">
        <v>4169</v>
      </c>
      <c r="C94" s="12"/>
      <c r="D94" s="12" t="s">
        <v>4170</v>
      </c>
      <c r="E94" s="12" t="s">
        <v>16</v>
      </c>
      <c r="F94" s="12" t="s">
        <v>134</v>
      </c>
      <c r="G94" s="13">
        <v>16000</v>
      </c>
      <c r="H94" s="13">
        <v>13700</v>
      </c>
      <c r="I94" s="12" t="s">
        <v>22</v>
      </c>
      <c r="J94" s="12" t="s">
        <v>22</v>
      </c>
      <c r="K94" s="12" t="s">
        <v>4171</v>
      </c>
      <c r="L94" s="12" t="s">
        <v>1827</v>
      </c>
      <c r="M94" s="12" t="s">
        <v>97</v>
      </c>
      <c r="N94" s="12">
        <v>1</v>
      </c>
      <c r="O94" s="12" t="s">
        <v>151</v>
      </c>
      <c r="P94" s="12" t="s">
        <v>66</v>
      </c>
      <c r="Q94" s="12" t="s">
        <v>30</v>
      </c>
    </row>
    <row r="95" spans="1:17" x14ac:dyDescent="0.2">
      <c r="A95" s="11">
        <v>46100</v>
      </c>
      <c r="B95" s="12" t="s">
        <v>399</v>
      </c>
      <c r="C95" s="12"/>
      <c r="D95" s="12" t="s">
        <v>400</v>
      </c>
      <c r="E95" s="12" t="s">
        <v>16</v>
      </c>
      <c r="F95" s="12" t="s">
        <v>243</v>
      </c>
      <c r="G95" s="13">
        <v>23</v>
      </c>
      <c r="H95" s="13">
        <v>13800</v>
      </c>
      <c r="I95" s="12" t="s">
        <v>22</v>
      </c>
      <c r="J95" s="12" t="s">
        <v>22</v>
      </c>
      <c r="K95" s="12" t="s">
        <v>401</v>
      </c>
      <c r="L95" s="12" t="s">
        <v>402</v>
      </c>
      <c r="M95" s="12" t="s">
        <v>97</v>
      </c>
      <c r="N95" s="12">
        <v>1</v>
      </c>
      <c r="O95" s="12" t="s">
        <v>246</v>
      </c>
      <c r="P95" s="12" t="s">
        <v>66</v>
      </c>
      <c r="Q95" s="12" t="s">
        <v>30</v>
      </c>
    </row>
    <row r="96" spans="1:17" x14ac:dyDescent="0.2">
      <c r="A96" s="11">
        <v>45805</v>
      </c>
      <c r="B96" s="12" t="s">
        <v>6508</v>
      </c>
      <c r="C96" s="12"/>
      <c r="D96" s="12" t="s">
        <v>6509</v>
      </c>
      <c r="E96" s="12" t="s">
        <v>16</v>
      </c>
      <c r="F96" s="12" t="s">
        <v>1708</v>
      </c>
      <c r="G96" s="13">
        <v>15000</v>
      </c>
      <c r="H96" s="13">
        <v>14000</v>
      </c>
      <c r="I96" s="12" t="s">
        <v>22</v>
      </c>
      <c r="J96" s="12" t="s">
        <v>22</v>
      </c>
      <c r="K96" s="12" t="s">
        <v>6510</v>
      </c>
      <c r="L96" s="12" t="s">
        <v>54</v>
      </c>
      <c r="M96" s="12" t="s">
        <v>13</v>
      </c>
      <c r="N96" s="12">
        <v>1</v>
      </c>
      <c r="O96" s="12" t="s">
        <v>55</v>
      </c>
      <c r="P96" s="12" t="s">
        <v>66</v>
      </c>
      <c r="Q96" s="12" t="s">
        <v>30</v>
      </c>
    </row>
    <row r="97" spans="1:17" x14ac:dyDescent="0.2">
      <c r="A97" s="11">
        <v>45733</v>
      </c>
      <c r="B97" s="12" t="s">
        <v>7717</v>
      </c>
      <c r="C97" s="12"/>
      <c r="D97" s="12" t="s">
        <v>7718</v>
      </c>
      <c r="E97" s="12" t="s">
        <v>16</v>
      </c>
      <c r="F97" s="12" t="s">
        <v>134</v>
      </c>
      <c r="G97" s="13">
        <v>15000</v>
      </c>
      <c r="H97" s="13">
        <v>14000</v>
      </c>
      <c r="I97" s="12" t="s">
        <v>22</v>
      </c>
      <c r="J97" s="12" t="s">
        <v>22</v>
      </c>
      <c r="K97" s="12" t="s">
        <v>594</v>
      </c>
      <c r="L97" s="12" t="s">
        <v>136</v>
      </c>
      <c r="M97" s="12" t="s">
        <v>188</v>
      </c>
      <c r="N97" s="12">
        <v>2</v>
      </c>
      <c r="O97" s="12" t="s">
        <v>130</v>
      </c>
      <c r="P97" s="12" t="s">
        <v>41</v>
      </c>
      <c r="Q97" s="12" t="s">
        <v>30</v>
      </c>
    </row>
    <row r="98" spans="1:17" x14ac:dyDescent="0.2">
      <c r="A98" s="11">
        <v>46101</v>
      </c>
      <c r="B98" s="12" t="s">
        <v>399</v>
      </c>
      <c r="C98" s="12"/>
      <c r="D98" s="12" t="s">
        <v>400</v>
      </c>
      <c r="E98" s="12" t="s">
        <v>16</v>
      </c>
      <c r="F98" s="12" t="s">
        <v>243</v>
      </c>
      <c r="G98" s="13">
        <v>23</v>
      </c>
      <c r="H98" s="13">
        <v>14400</v>
      </c>
      <c r="I98" s="12" t="s">
        <v>22</v>
      </c>
      <c r="J98" s="12" t="s">
        <v>22</v>
      </c>
      <c r="K98" s="12" t="s">
        <v>401</v>
      </c>
      <c r="L98" s="12" t="s">
        <v>402</v>
      </c>
      <c r="M98" s="12" t="s">
        <v>97</v>
      </c>
      <c r="N98" s="12">
        <v>1</v>
      </c>
      <c r="O98" s="12" t="s">
        <v>246</v>
      </c>
      <c r="P98" s="12" t="s">
        <v>66</v>
      </c>
      <c r="Q98" s="12" t="s">
        <v>30</v>
      </c>
    </row>
    <row r="99" spans="1:17" x14ac:dyDescent="0.2">
      <c r="A99" s="11">
        <v>45712</v>
      </c>
      <c r="B99" s="12" t="s">
        <v>7320</v>
      </c>
      <c r="C99" s="12"/>
      <c r="D99" s="12" t="s">
        <v>7321</v>
      </c>
      <c r="E99" s="12" t="s">
        <v>16</v>
      </c>
      <c r="F99" s="12" t="s">
        <v>17</v>
      </c>
      <c r="G99" s="13">
        <v>1200</v>
      </c>
      <c r="H99" s="13">
        <v>14400</v>
      </c>
      <c r="I99" s="12" t="s">
        <v>22</v>
      </c>
      <c r="J99" s="12" t="s">
        <v>22</v>
      </c>
      <c r="K99" s="12" t="s">
        <v>7322</v>
      </c>
      <c r="L99" s="12" t="s">
        <v>7323</v>
      </c>
      <c r="M99" s="12" t="s">
        <v>19</v>
      </c>
      <c r="N99" s="12">
        <v>2</v>
      </c>
      <c r="O99" s="12" t="s">
        <v>142</v>
      </c>
      <c r="P99" s="12" t="s">
        <v>21</v>
      </c>
      <c r="Q99" s="12" t="s">
        <v>30</v>
      </c>
    </row>
    <row r="100" spans="1:17" x14ac:dyDescent="0.2">
      <c r="A100" s="11">
        <v>46108</v>
      </c>
      <c r="B100" s="12" t="s">
        <v>137</v>
      </c>
      <c r="C100" s="12"/>
      <c r="D100" s="12" t="s">
        <v>138</v>
      </c>
      <c r="E100" s="12" t="s">
        <v>16</v>
      </c>
      <c r="F100" s="12" t="s">
        <v>47</v>
      </c>
      <c r="G100" s="13">
        <v>750000</v>
      </c>
      <c r="H100" s="13">
        <v>15000</v>
      </c>
      <c r="I100" s="12" t="s">
        <v>22</v>
      </c>
      <c r="J100" s="12" t="s">
        <v>18</v>
      </c>
      <c r="K100" s="12" t="s">
        <v>139</v>
      </c>
      <c r="L100" s="12" t="s">
        <v>140</v>
      </c>
      <c r="M100" s="12" t="s">
        <v>19</v>
      </c>
      <c r="N100" s="12">
        <v>2</v>
      </c>
      <c r="O100" s="12" t="s">
        <v>50</v>
      </c>
      <c r="P100" s="12" t="s">
        <v>21</v>
      </c>
      <c r="Q100" s="12" t="s">
        <v>30</v>
      </c>
    </row>
    <row r="101" spans="1:17" x14ac:dyDescent="0.2">
      <c r="A101" s="11">
        <v>46105</v>
      </c>
      <c r="B101" s="12" t="s">
        <v>374</v>
      </c>
      <c r="C101" s="12"/>
      <c r="D101" s="12" t="s">
        <v>375</v>
      </c>
      <c r="E101" s="12" t="s">
        <v>16</v>
      </c>
      <c r="F101" s="12" t="s">
        <v>17</v>
      </c>
      <c r="G101" s="13">
        <v>15000</v>
      </c>
      <c r="H101" s="13">
        <v>15000</v>
      </c>
      <c r="I101" s="12" t="s">
        <v>22</v>
      </c>
      <c r="J101" s="12" t="s">
        <v>22</v>
      </c>
      <c r="K101" s="12"/>
      <c r="L101" s="12" t="s">
        <v>376</v>
      </c>
      <c r="M101" s="12" t="s">
        <v>188</v>
      </c>
      <c r="N101" s="12">
        <v>2</v>
      </c>
      <c r="O101" s="12" t="s">
        <v>142</v>
      </c>
      <c r="P101" s="12" t="s">
        <v>21</v>
      </c>
      <c r="Q101" s="12" t="s">
        <v>30</v>
      </c>
    </row>
    <row r="102" spans="1:17" x14ac:dyDescent="0.2">
      <c r="A102" s="11">
        <v>46101</v>
      </c>
      <c r="B102" s="12" t="s">
        <v>450</v>
      </c>
      <c r="C102" s="12"/>
      <c r="D102" s="12" t="s">
        <v>451</v>
      </c>
      <c r="E102" s="12" t="s">
        <v>16</v>
      </c>
      <c r="F102" s="12" t="s">
        <v>17</v>
      </c>
      <c r="G102" s="13">
        <v>16000</v>
      </c>
      <c r="H102" s="13">
        <v>15000</v>
      </c>
      <c r="I102" s="12" t="s">
        <v>22</v>
      </c>
      <c r="J102" s="12" t="s">
        <v>22</v>
      </c>
      <c r="K102" s="12" t="s">
        <v>452</v>
      </c>
      <c r="L102" s="12" t="s">
        <v>449</v>
      </c>
      <c r="M102" s="12" t="s">
        <v>97</v>
      </c>
      <c r="N102" s="12">
        <v>2</v>
      </c>
      <c r="O102" s="12" t="s">
        <v>367</v>
      </c>
      <c r="P102" s="12" t="s">
        <v>21</v>
      </c>
      <c r="Q102" s="12" t="s">
        <v>30</v>
      </c>
    </row>
    <row r="103" spans="1:17" x14ac:dyDescent="0.2">
      <c r="A103" s="11">
        <v>46058</v>
      </c>
      <c r="B103" s="12" t="s">
        <v>1499</v>
      </c>
      <c r="C103" s="12"/>
      <c r="D103" s="12" t="s">
        <v>1500</v>
      </c>
      <c r="E103" s="12" t="s">
        <v>16</v>
      </c>
      <c r="F103" s="12" t="s">
        <v>38</v>
      </c>
      <c r="G103" s="13">
        <v>16000</v>
      </c>
      <c r="H103" s="13">
        <v>15000</v>
      </c>
      <c r="I103" s="12" t="s">
        <v>22</v>
      </c>
      <c r="J103" s="12" t="s">
        <v>22</v>
      </c>
      <c r="K103" s="12" t="s">
        <v>1501</v>
      </c>
      <c r="L103" s="12" t="s">
        <v>337</v>
      </c>
      <c r="M103" s="12" t="s">
        <v>97</v>
      </c>
      <c r="N103" s="12">
        <v>2</v>
      </c>
      <c r="O103" s="12" t="s">
        <v>55</v>
      </c>
      <c r="P103" s="12" t="s">
        <v>21</v>
      </c>
      <c r="Q103" s="12" t="s">
        <v>30</v>
      </c>
    </row>
    <row r="104" spans="1:17" x14ac:dyDescent="0.2">
      <c r="A104" s="11">
        <v>46048</v>
      </c>
      <c r="B104" s="12" t="s">
        <v>1714</v>
      </c>
      <c r="C104" s="12"/>
      <c r="D104" s="12" t="s">
        <v>1715</v>
      </c>
      <c r="E104" s="12" t="s">
        <v>16</v>
      </c>
      <c r="F104" s="12" t="s">
        <v>243</v>
      </c>
      <c r="G104" s="13">
        <v>15000</v>
      </c>
      <c r="H104" s="13">
        <v>15000</v>
      </c>
      <c r="I104" s="12" t="s">
        <v>22</v>
      </c>
      <c r="J104" s="12" t="s">
        <v>22</v>
      </c>
      <c r="K104" s="12" t="s">
        <v>1716</v>
      </c>
      <c r="L104" s="12" t="s">
        <v>54</v>
      </c>
      <c r="M104" s="12" t="s">
        <v>97</v>
      </c>
      <c r="N104" s="12">
        <v>2</v>
      </c>
      <c r="O104" s="12" t="s">
        <v>55</v>
      </c>
      <c r="P104" s="12" t="s">
        <v>21</v>
      </c>
      <c r="Q104" s="12" t="s">
        <v>30</v>
      </c>
    </row>
    <row r="105" spans="1:17" x14ac:dyDescent="0.2">
      <c r="A105" s="11">
        <v>45959</v>
      </c>
      <c r="B105" s="12" t="s">
        <v>3426</v>
      </c>
      <c r="C105" s="12"/>
      <c r="D105" s="12" t="s">
        <v>3426</v>
      </c>
      <c r="E105" s="12" t="s">
        <v>16</v>
      </c>
      <c r="F105" s="12" t="s">
        <v>47</v>
      </c>
      <c r="G105" s="13">
        <v>15000</v>
      </c>
      <c r="H105" s="13">
        <v>15000</v>
      </c>
      <c r="I105" s="12" t="s">
        <v>22</v>
      </c>
      <c r="J105" s="12" t="s">
        <v>22</v>
      </c>
      <c r="K105" s="12" t="s">
        <v>3426</v>
      </c>
      <c r="L105" s="12" t="s">
        <v>523</v>
      </c>
      <c r="M105" s="12" t="s">
        <v>19</v>
      </c>
      <c r="N105" s="12">
        <v>2</v>
      </c>
      <c r="O105" s="12" t="s">
        <v>50</v>
      </c>
      <c r="P105" s="12" t="s">
        <v>41</v>
      </c>
      <c r="Q105" s="12" t="s">
        <v>30</v>
      </c>
    </row>
    <row r="106" spans="1:17" x14ac:dyDescent="0.2">
      <c r="A106" s="11">
        <v>45958</v>
      </c>
      <c r="B106" s="12" t="s">
        <v>3461</v>
      </c>
      <c r="C106" s="12"/>
      <c r="D106" s="12" t="s">
        <v>3462</v>
      </c>
      <c r="E106" s="12" t="s">
        <v>16</v>
      </c>
      <c r="F106" s="12" t="s">
        <v>82</v>
      </c>
      <c r="G106" s="13">
        <v>15000</v>
      </c>
      <c r="H106" s="13">
        <v>15000</v>
      </c>
      <c r="I106" s="12" t="s">
        <v>22</v>
      </c>
      <c r="J106" s="12" t="s">
        <v>22</v>
      </c>
      <c r="K106" s="12" t="s">
        <v>3463</v>
      </c>
      <c r="L106" s="12" t="s">
        <v>54</v>
      </c>
      <c r="M106" s="12" t="s">
        <v>97</v>
      </c>
      <c r="N106" s="12">
        <v>2</v>
      </c>
      <c r="O106" s="12" t="s">
        <v>55</v>
      </c>
      <c r="P106" s="12" t="s">
        <v>21</v>
      </c>
      <c r="Q106" s="12" t="s">
        <v>30</v>
      </c>
    </row>
    <row r="107" spans="1:17" x14ac:dyDescent="0.2">
      <c r="A107" s="11">
        <v>45906</v>
      </c>
      <c r="B107" s="12" t="s">
        <v>4522</v>
      </c>
      <c r="C107" s="12"/>
      <c r="D107" s="12" t="s">
        <v>4523</v>
      </c>
      <c r="E107" s="12" t="s">
        <v>16</v>
      </c>
      <c r="F107" s="12" t="s">
        <v>17</v>
      </c>
      <c r="G107" s="13">
        <v>15000</v>
      </c>
      <c r="H107" s="13">
        <v>15000</v>
      </c>
      <c r="I107" s="12" t="s">
        <v>22</v>
      </c>
      <c r="J107" s="12" t="s">
        <v>22</v>
      </c>
      <c r="K107" s="12" t="s">
        <v>4524</v>
      </c>
      <c r="L107" s="12" t="s">
        <v>1114</v>
      </c>
      <c r="M107" s="12" t="s">
        <v>97</v>
      </c>
      <c r="N107" s="12">
        <v>2</v>
      </c>
      <c r="O107" s="12" t="s">
        <v>1081</v>
      </c>
      <c r="P107" s="12" t="s">
        <v>21</v>
      </c>
      <c r="Q107" s="12" t="s">
        <v>30</v>
      </c>
    </row>
    <row r="108" spans="1:17" x14ac:dyDescent="0.2">
      <c r="A108" s="11">
        <v>45836</v>
      </c>
      <c r="B108" s="12" t="s">
        <v>5908</v>
      </c>
      <c r="C108" s="12"/>
      <c r="D108" s="12" t="s">
        <v>5909</v>
      </c>
      <c r="E108" s="12" t="s">
        <v>16</v>
      </c>
      <c r="F108" s="12" t="s">
        <v>17</v>
      </c>
      <c r="G108" s="13">
        <v>14000</v>
      </c>
      <c r="H108" s="13">
        <v>15000</v>
      </c>
      <c r="I108" s="12" t="s">
        <v>22</v>
      </c>
      <c r="J108" s="12" t="s">
        <v>22</v>
      </c>
      <c r="K108" s="12" t="s">
        <v>5910</v>
      </c>
      <c r="L108" s="12" t="s">
        <v>1598</v>
      </c>
      <c r="M108" s="12" t="s">
        <v>97</v>
      </c>
      <c r="N108" s="12">
        <v>2</v>
      </c>
      <c r="O108" s="12" t="s">
        <v>151</v>
      </c>
      <c r="P108" s="12" t="s">
        <v>276</v>
      </c>
      <c r="Q108" s="12" t="s">
        <v>30</v>
      </c>
    </row>
    <row r="109" spans="1:17" x14ac:dyDescent="0.2">
      <c r="A109" s="11">
        <v>45821</v>
      </c>
      <c r="B109" s="12" t="s">
        <v>6141</v>
      </c>
      <c r="C109" s="12"/>
      <c r="D109" s="12" t="s">
        <v>6142</v>
      </c>
      <c r="E109" s="12" t="s">
        <v>16</v>
      </c>
      <c r="F109" s="12" t="s">
        <v>17</v>
      </c>
      <c r="G109" s="13">
        <v>15000</v>
      </c>
      <c r="H109" s="13">
        <v>15000</v>
      </c>
      <c r="I109" s="12" t="s">
        <v>22</v>
      </c>
      <c r="J109" s="12" t="s">
        <v>22</v>
      </c>
      <c r="K109" s="12" t="s">
        <v>6143</v>
      </c>
      <c r="L109" s="12" t="s">
        <v>191</v>
      </c>
      <c r="M109" s="12" t="s">
        <v>188</v>
      </c>
      <c r="N109" s="12">
        <v>2</v>
      </c>
      <c r="O109" s="12" t="s">
        <v>20</v>
      </c>
      <c r="P109" s="12" t="s">
        <v>21</v>
      </c>
      <c r="Q109" s="12" t="s">
        <v>30</v>
      </c>
    </row>
    <row r="110" spans="1:17" x14ac:dyDescent="0.2">
      <c r="A110" s="11">
        <v>45803</v>
      </c>
      <c r="B110" s="12" t="s">
        <v>6531</v>
      </c>
      <c r="C110" s="12"/>
      <c r="D110" s="12" t="s">
        <v>6532</v>
      </c>
      <c r="E110" s="12" t="s">
        <v>16</v>
      </c>
      <c r="F110" s="12" t="s">
        <v>17</v>
      </c>
      <c r="G110" s="13">
        <v>15000</v>
      </c>
      <c r="H110" s="13">
        <v>15000</v>
      </c>
      <c r="I110" s="12" t="s">
        <v>22</v>
      </c>
      <c r="J110" s="12" t="s">
        <v>22</v>
      </c>
      <c r="K110" s="12"/>
      <c r="L110" s="12" t="s">
        <v>160</v>
      </c>
      <c r="M110" s="12" t="s">
        <v>97</v>
      </c>
      <c r="N110" s="12">
        <v>2</v>
      </c>
      <c r="O110" s="12" t="s">
        <v>151</v>
      </c>
      <c r="P110" s="12" t="s">
        <v>21</v>
      </c>
      <c r="Q110" s="12" t="s">
        <v>30</v>
      </c>
    </row>
    <row r="111" spans="1:17" x14ac:dyDescent="0.2">
      <c r="A111" s="11">
        <v>45685</v>
      </c>
      <c r="B111" s="12" t="s">
        <v>8261</v>
      </c>
      <c r="C111" s="12"/>
      <c r="D111" s="12" t="s">
        <v>8262</v>
      </c>
      <c r="E111" s="12" t="s">
        <v>16</v>
      </c>
      <c r="F111" s="12" t="s">
        <v>243</v>
      </c>
      <c r="G111" s="13">
        <v>15000</v>
      </c>
      <c r="H111" s="13">
        <v>15000</v>
      </c>
      <c r="I111" s="12" t="s">
        <v>22</v>
      </c>
      <c r="J111" s="12" t="s">
        <v>22</v>
      </c>
      <c r="K111" s="12" t="s">
        <v>8263</v>
      </c>
      <c r="L111" s="12" t="s">
        <v>630</v>
      </c>
      <c r="M111" s="12" t="s">
        <v>97</v>
      </c>
      <c r="N111" s="12">
        <v>2</v>
      </c>
      <c r="O111" s="12" t="s">
        <v>246</v>
      </c>
      <c r="P111" s="12" t="s">
        <v>21</v>
      </c>
      <c r="Q111" s="12" t="s">
        <v>30</v>
      </c>
    </row>
    <row r="112" spans="1:17" x14ac:dyDescent="0.2">
      <c r="A112" s="11">
        <v>45665</v>
      </c>
      <c r="B112" s="12" t="s">
        <v>8459</v>
      </c>
      <c r="C112" s="12"/>
      <c r="D112" s="12" t="s">
        <v>8460</v>
      </c>
      <c r="E112" s="12" t="s">
        <v>16</v>
      </c>
      <c r="F112" s="12" t="s">
        <v>53</v>
      </c>
      <c r="G112" s="13">
        <v>15000</v>
      </c>
      <c r="H112" s="13">
        <v>15000</v>
      </c>
      <c r="I112" s="12" t="s">
        <v>22</v>
      </c>
      <c r="J112" s="12" t="s">
        <v>22</v>
      </c>
      <c r="K112" s="12" t="s">
        <v>8461</v>
      </c>
      <c r="L112" s="12" t="s">
        <v>6112</v>
      </c>
      <c r="M112" s="12" t="s">
        <v>300</v>
      </c>
      <c r="N112" s="12">
        <v>2</v>
      </c>
      <c r="O112" s="12" t="s">
        <v>156</v>
      </c>
      <c r="P112" s="12" t="s">
        <v>21</v>
      </c>
      <c r="Q112" s="12" t="s">
        <v>30</v>
      </c>
    </row>
    <row r="113" spans="1:17" x14ac:dyDescent="0.2">
      <c r="A113" s="11">
        <v>46083</v>
      </c>
      <c r="B113" s="12" t="s">
        <v>1008</v>
      </c>
      <c r="C113" s="12"/>
      <c r="D113" s="12" t="s">
        <v>1009</v>
      </c>
      <c r="E113" s="12" t="s">
        <v>16</v>
      </c>
      <c r="F113" s="12" t="s">
        <v>82</v>
      </c>
      <c r="G113" s="13">
        <v>17900</v>
      </c>
      <c r="H113" s="13">
        <v>15500</v>
      </c>
      <c r="I113" s="12" t="s">
        <v>22</v>
      </c>
      <c r="J113" s="12" t="s">
        <v>22</v>
      </c>
      <c r="K113" s="12" t="s">
        <v>1010</v>
      </c>
      <c r="L113" s="12" t="s">
        <v>1011</v>
      </c>
      <c r="M113" s="12" t="s">
        <v>97</v>
      </c>
      <c r="N113" s="12">
        <v>2</v>
      </c>
      <c r="O113" s="12" t="s">
        <v>367</v>
      </c>
      <c r="P113" s="12" t="s">
        <v>21</v>
      </c>
      <c r="Q113" s="12" t="s">
        <v>30</v>
      </c>
    </row>
    <row r="114" spans="1:17" x14ac:dyDescent="0.2">
      <c r="A114" s="11">
        <v>45877</v>
      </c>
      <c r="B114" s="12" t="s">
        <v>5115</v>
      </c>
      <c r="C114" s="12"/>
      <c r="D114" s="12" t="s">
        <v>5116</v>
      </c>
      <c r="E114" s="12" t="s">
        <v>16</v>
      </c>
      <c r="F114" s="12" t="s">
        <v>17</v>
      </c>
      <c r="G114" s="13">
        <v>1300</v>
      </c>
      <c r="H114" s="13">
        <v>15600</v>
      </c>
      <c r="I114" s="12" t="s">
        <v>22</v>
      </c>
      <c r="J114" s="12" t="s">
        <v>22</v>
      </c>
      <c r="K114" s="12" t="s">
        <v>5117</v>
      </c>
      <c r="L114" s="12" t="s">
        <v>191</v>
      </c>
      <c r="M114" s="12" t="s">
        <v>19</v>
      </c>
      <c r="N114" s="12">
        <v>2</v>
      </c>
      <c r="O114" s="12" t="s">
        <v>103</v>
      </c>
      <c r="P114" s="12" t="s">
        <v>21</v>
      </c>
      <c r="Q114" s="12" t="s">
        <v>30</v>
      </c>
    </row>
    <row r="115" spans="1:17" x14ac:dyDescent="0.2">
      <c r="A115" s="11">
        <v>45974</v>
      </c>
      <c r="B115" s="12" t="s">
        <v>3196</v>
      </c>
      <c r="C115" s="12"/>
      <c r="D115" s="12" t="s">
        <v>3197</v>
      </c>
      <c r="E115" s="12" t="s">
        <v>16</v>
      </c>
      <c r="F115" s="12" t="s">
        <v>184</v>
      </c>
      <c r="G115" s="13">
        <v>17500</v>
      </c>
      <c r="H115" s="13">
        <v>16000</v>
      </c>
      <c r="I115" s="12" t="s">
        <v>22</v>
      </c>
      <c r="J115" s="12" t="s">
        <v>22</v>
      </c>
      <c r="K115" s="12" t="s">
        <v>3198</v>
      </c>
      <c r="L115" s="12" t="s">
        <v>3199</v>
      </c>
      <c r="M115" s="12" t="s">
        <v>2595</v>
      </c>
      <c r="N115" s="12">
        <v>2</v>
      </c>
      <c r="O115" s="12" t="s">
        <v>130</v>
      </c>
      <c r="P115" s="12" t="s">
        <v>41</v>
      </c>
      <c r="Q115" s="12" t="s">
        <v>30</v>
      </c>
    </row>
    <row r="116" spans="1:17" x14ac:dyDescent="0.2">
      <c r="A116" s="11">
        <v>45797</v>
      </c>
      <c r="B116" s="12"/>
      <c r="C116" s="12"/>
      <c r="D116" s="12" t="s">
        <v>6653</v>
      </c>
      <c r="E116" s="12" t="s">
        <v>16</v>
      </c>
      <c r="F116" s="12" t="s">
        <v>82</v>
      </c>
      <c r="G116" s="13">
        <v>16000</v>
      </c>
      <c r="H116" s="13">
        <v>16000</v>
      </c>
      <c r="I116" s="12" t="s">
        <v>22</v>
      </c>
      <c r="J116" s="12" t="s">
        <v>22</v>
      </c>
      <c r="K116" s="12"/>
      <c r="L116" s="12" t="s">
        <v>1011</v>
      </c>
      <c r="M116" s="12" t="s">
        <v>97</v>
      </c>
      <c r="N116" s="12">
        <v>1</v>
      </c>
      <c r="O116" s="12" t="s">
        <v>367</v>
      </c>
      <c r="P116" s="12" t="s">
        <v>131</v>
      </c>
      <c r="Q116" s="12" t="s">
        <v>30</v>
      </c>
    </row>
    <row r="117" spans="1:17" x14ac:dyDescent="0.2">
      <c r="A117" s="11">
        <v>45995</v>
      </c>
      <c r="B117" s="12" t="s">
        <v>2643</v>
      </c>
      <c r="C117" s="12"/>
      <c r="D117" s="12" t="s">
        <v>2644</v>
      </c>
      <c r="E117" s="12" t="s">
        <v>16</v>
      </c>
      <c r="F117" s="12" t="s">
        <v>17</v>
      </c>
      <c r="G117" s="13">
        <v>65000</v>
      </c>
      <c r="H117" s="13">
        <v>16250</v>
      </c>
      <c r="I117" s="12" t="s">
        <v>22</v>
      </c>
      <c r="J117" s="12" t="s">
        <v>22</v>
      </c>
      <c r="K117" s="12" t="s">
        <v>2643</v>
      </c>
      <c r="L117" s="12" t="s">
        <v>523</v>
      </c>
      <c r="M117" s="12" t="s">
        <v>19</v>
      </c>
      <c r="N117" s="12">
        <v>2</v>
      </c>
      <c r="O117" s="12" t="s">
        <v>50</v>
      </c>
      <c r="P117" s="12" t="s">
        <v>21</v>
      </c>
      <c r="Q117" s="12" t="s">
        <v>30</v>
      </c>
    </row>
    <row r="118" spans="1:17" x14ac:dyDescent="0.2">
      <c r="A118" s="11">
        <v>45680</v>
      </c>
      <c r="B118" s="12" t="s">
        <v>8307</v>
      </c>
      <c r="C118" s="12"/>
      <c r="D118" s="12" t="s">
        <v>8308</v>
      </c>
      <c r="E118" s="12" t="s">
        <v>16</v>
      </c>
      <c r="F118" s="12" t="s">
        <v>134</v>
      </c>
      <c r="G118" s="13">
        <v>16284</v>
      </c>
      <c r="H118" s="13">
        <v>16274</v>
      </c>
      <c r="I118" s="12" t="s">
        <v>22</v>
      </c>
      <c r="J118" s="12" t="s">
        <v>22</v>
      </c>
      <c r="K118" s="12" t="s">
        <v>8308</v>
      </c>
      <c r="L118" s="12" t="s">
        <v>2701</v>
      </c>
      <c r="M118" s="12" t="s">
        <v>97</v>
      </c>
      <c r="N118" s="12">
        <v>2</v>
      </c>
      <c r="O118" s="12" t="s">
        <v>171</v>
      </c>
      <c r="P118" s="12" t="s">
        <v>21</v>
      </c>
      <c r="Q118" s="12" t="s">
        <v>30</v>
      </c>
    </row>
    <row r="119" spans="1:17" x14ac:dyDescent="0.2">
      <c r="A119" s="11">
        <v>45831</v>
      </c>
      <c r="B119" s="12" t="s">
        <v>6063</v>
      </c>
      <c r="C119" s="12"/>
      <c r="D119" s="12" t="s">
        <v>6064</v>
      </c>
      <c r="E119" s="12" t="s">
        <v>16</v>
      </c>
      <c r="F119" s="12" t="s">
        <v>134</v>
      </c>
      <c r="G119" s="13">
        <v>17600</v>
      </c>
      <c r="H119" s="13">
        <v>16417</v>
      </c>
      <c r="I119" s="12" t="s">
        <v>22</v>
      </c>
      <c r="J119" s="12" t="s">
        <v>22</v>
      </c>
      <c r="K119" s="12" t="s">
        <v>2966</v>
      </c>
      <c r="L119" s="12" t="s">
        <v>5880</v>
      </c>
      <c r="M119" s="12" t="s">
        <v>97</v>
      </c>
      <c r="N119" s="12">
        <v>2</v>
      </c>
      <c r="O119" s="12" t="s">
        <v>130</v>
      </c>
      <c r="P119" s="12" t="s">
        <v>41</v>
      </c>
      <c r="Q119" s="12" t="s">
        <v>30</v>
      </c>
    </row>
    <row r="120" spans="1:17" x14ac:dyDescent="0.2">
      <c r="A120" s="11">
        <v>45861</v>
      </c>
      <c r="B120" s="12" t="s">
        <v>5430</v>
      </c>
      <c r="C120" s="12"/>
      <c r="D120" s="12" t="s">
        <v>5431</v>
      </c>
      <c r="E120" s="12" t="s">
        <v>16</v>
      </c>
      <c r="F120" s="12" t="s">
        <v>17</v>
      </c>
      <c r="G120" s="13">
        <v>18000</v>
      </c>
      <c r="H120" s="13">
        <v>16500</v>
      </c>
      <c r="I120" s="12" t="s">
        <v>22</v>
      </c>
      <c r="J120" s="12" t="s">
        <v>22</v>
      </c>
      <c r="K120" s="12" t="s">
        <v>5432</v>
      </c>
      <c r="L120" s="12" t="s">
        <v>54</v>
      </c>
      <c r="M120" s="12" t="s">
        <v>13</v>
      </c>
      <c r="N120" s="12">
        <v>1</v>
      </c>
      <c r="O120" s="12" t="s">
        <v>55</v>
      </c>
      <c r="P120" s="12" t="s">
        <v>131</v>
      </c>
      <c r="Q120" s="12" t="s">
        <v>30</v>
      </c>
    </row>
    <row r="121" spans="1:17" x14ac:dyDescent="0.2">
      <c r="A121" s="11">
        <v>45874</v>
      </c>
      <c r="B121" s="12" t="s">
        <v>5200</v>
      </c>
      <c r="C121" s="12"/>
      <c r="D121" s="12" t="s">
        <v>5201</v>
      </c>
      <c r="E121" s="12" t="s">
        <v>16</v>
      </c>
      <c r="F121" s="12" t="s">
        <v>17</v>
      </c>
      <c r="G121" s="13">
        <v>10000</v>
      </c>
      <c r="H121" s="13">
        <v>16660</v>
      </c>
      <c r="I121" s="12" t="s">
        <v>22</v>
      </c>
      <c r="J121" s="12" t="s">
        <v>22</v>
      </c>
      <c r="K121" s="12" t="s">
        <v>5202</v>
      </c>
      <c r="L121" s="12" t="s">
        <v>679</v>
      </c>
      <c r="M121" s="12" t="s">
        <v>97</v>
      </c>
      <c r="N121" s="12">
        <v>2</v>
      </c>
      <c r="O121" s="12" t="s">
        <v>151</v>
      </c>
      <c r="P121" s="12" t="s">
        <v>21</v>
      </c>
      <c r="Q121" s="12" t="s">
        <v>30</v>
      </c>
    </row>
    <row r="122" spans="1:17" x14ac:dyDescent="0.2">
      <c r="A122" s="11">
        <v>45749</v>
      </c>
      <c r="B122" s="12" t="s">
        <v>7451</v>
      </c>
      <c r="C122" s="12"/>
      <c r="D122" s="12" t="s">
        <v>7452</v>
      </c>
      <c r="E122" s="12" t="s">
        <v>16</v>
      </c>
      <c r="F122" s="12" t="s">
        <v>17</v>
      </c>
      <c r="G122" s="13">
        <v>10000</v>
      </c>
      <c r="H122" s="13">
        <v>16660</v>
      </c>
      <c r="I122" s="12" t="s">
        <v>22</v>
      </c>
      <c r="J122" s="12" t="s">
        <v>22</v>
      </c>
      <c r="K122" s="12" t="s">
        <v>7453</v>
      </c>
      <c r="L122" s="12" t="s">
        <v>7454</v>
      </c>
      <c r="M122" s="12" t="s">
        <v>97</v>
      </c>
      <c r="N122" s="12">
        <v>2</v>
      </c>
      <c r="O122" s="12" t="s">
        <v>151</v>
      </c>
      <c r="P122" s="12" t="s">
        <v>21</v>
      </c>
      <c r="Q122" s="12" t="s">
        <v>30</v>
      </c>
    </row>
    <row r="123" spans="1:17" x14ac:dyDescent="0.2">
      <c r="A123" s="11">
        <v>45747</v>
      </c>
      <c r="B123" s="12" t="s">
        <v>7500</v>
      </c>
      <c r="C123" s="12"/>
      <c r="D123" s="12" t="s">
        <v>7501</v>
      </c>
      <c r="E123" s="12" t="s">
        <v>16</v>
      </c>
      <c r="F123" s="12" t="s">
        <v>17</v>
      </c>
      <c r="G123" s="13">
        <v>4500</v>
      </c>
      <c r="H123" s="13">
        <v>16660</v>
      </c>
      <c r="I123" s="12" t="s">
        <v>22</v>
      </c>
      <c r="J123" s="12" t="s">
        <v>22</v>
      </c>
      <c r="K123" s="12" t="s">
        <v>7502</v>
      </c>
      <c r="L123" s="12" t="s">
        <v>679</v>
      </c>
      <c r="M123" s="12" t="s">
        <v>97</v>
      </c>
      <c r="N123" s="12">
        <v>2</v>
      </c>
      <c r="O123" s="12" t="s">
        <v>151</v>
      </c>
      <c r="P123" s="12" t="s">
        <v>41</v>
      </c>
      <c r="Q123" s="12" t="s">
        <v>30</v>
      </c>
    </row>
    <row r="124" spans="1:17" x14ac:dyDescent="0.2">
      <c r="A124" s="11">
        <v>46031</v>
      </c>
      <c r="B124" s="12" t="s">
        <v>2009</v>
      </c>
      <c r="C124" s="12"/>
      <c r="D124" s="12" t="s">
        <v>2010</v>
      </c>
      <c r="E124" s="12" t="s">
        <v>16</v>
      </c>
      <c r="F124" s="12" t="s">
        <v>53</v>
      </c>
      <c r="G124" s="13">
        <v>11000000</v>
      </c>
      <c r="H124" s="13">
        <v>17000</v>
      </c>
      <c r="I124" s="12" t="s">
        <v>22</v>
      </c>
      <c r="J124" s="12" t="s">
        <v>18</v>
      </c>
      <c r="K124" s="12" t="s">
        <v>2011</v>
      </c>
      <c r="L124" s="12" t="s">
        <v>679</v>
      </c>
      <c r="M124" s="12" t="s">
        <v>97</v>
      </c>
      <c r="N124" s="12">
        <v>2</v>
      </c>
      <c r="O124" s="12" t="s">
        <v>151</v>
      </c>
      <c r="P124" s="12" t="s">
        <v>41</v>
      </c>
      <c r="Q124" s="12" t="s">
        <v>30</v>
      </c>
    </row>
    <row r="125" spans="1:17" x14ac:dyDescent="0.2">
      <c r="A125" s="11">
        <v>46008</v>
      </c>
      <c r="B125" s="12" t="s">
        <v>2401</v>
      </c>
      <c r="C125" s="12"/>
      <c r="D125" s="12" t="s">
        <v>2402</v>
      </c>
      <c r="E125" s="12" t="s">
        <v>16</v>
      </c>
      <c r="F125" s="12" t="s">
        <v>47</v>
      </c>
      <c r="G125" s="13">
        <v>19000</v>
      </c>
      <c r="H125" s="13">
        <v>17000</v>
      </c>
      <c r="I125" s="12" t="s">
        <v>22</v>
      </c>
      <c r="J125" s="12" t="s">
        <v>22</v>
      </c>
      <c r="K125" s="12" t="s">
        <v>2403</v>
      </c>
      <c r="L125" s="12" t="s">
        <v>299</v>
      </c>
      <c r="M125" s="12" t="s">
        <v>13</v>
      </c>
      <c r="N125" s="12">
        <v>2</v>
      </c>
      <c r="O125" s="12" t="s">
        <v>87</v>
      </c>
      <c r="P125" s="12" t="s">
        <v>21</v>
      </c>
      <c r="Q125" s="12" t="s">
        <v>30</v>
      </c>
    </row>
    <row r="126" spans="1:17" x14ac:dyDescent="0.2">
      <c r="A126" s="11">
        <v>45972</v>
      </c>
      <c r="B126" s="12" t="s">
        <v>3261</v>
      </c>
      <c r="C126" s="12"/>
      <c r="D126" s="12" t="s">
        <v>3262</v>
      </c>
      <c r="E126" s="12" t="s">
        <v>16</v>
      </c>
      <c r="F126" s="12" t="s">
        <v>47</v>
      </c>
      <c r="G126" s="13">
        <v>900000</v>
      </c>
      <c r="H126" s="13">
        <v>17000</v>
      </c>
      <c r="I126" s="12" t="s">
        <v>22</v>
      </c>
      <c r="J126" s="12" t="s">
        <v>18</v>
      </c>
      <c r="K126" s="12" t="s">
        <v>3263</v>
      </c>
      <c r="L126" s="12" t="s">
        <v>205</v>
      </c>
      <c r="M126" s="12" t="s">
        <v>19</v>
      </c>
      <c r="N126" s="12">
        <v>2</v>
      </c>
      <c r="O126" s="12" t="s">
        <v>50</v>
      </c>
      <c r="P126" s="12" t="s">
        <v>21</v>
      </c>
      <c r="Q126" s="12" t="s">
        <v>30</v>
      </c>
    </row>
    <row r="127" spans="1:17" x14ac:dyDescent="0.2">
      <c r="A127" s="11">
        <v>45857</v>
      </c>
      <c r="B127" s="12" t="s">
        <v>5479</v>
      </c>
      <c r="C127" s="12"/>
      <c r="D127" s="12" t="s">
        <v>5480</v>
      </c>
      <c r="E127" s="12" t="s">
        <v>16</v>
      </c>
      <c r="F127" s="12" t="s">
        <v>17</v>
      </c>
      <c r="G127" s="13">
        <v>18200</v>
      </c>
      <c r="H127" s="13">
        <v>17000</v>
      </c>
      <c r="I127" s="12" t="s">
        <v>22</v>
      </c>
      <c r="J127" s="12" t="s">
        <v>22</v>
      </c>
      <c r="K127" s="12" t="s">
        <v>5481</v>
      </c>
      <c r="L127" s="12" t="s">
        <v>5482</v>
      </c>
      <c r="M127" s="12" t="s">
        <v>97</v>
      </c>
      <c r="N127" s="12">
        <v>2</v>
      </c>
      <c r="O127" s="12" t="s">
        <v>151</v>
      </c>
      <c r="P127" s="12" t="s">
        <v>276</v>
      </c>
      <c r="Q127" s="12" t="s">
        <v>30</v>
      </c>
    </row>
    <row r="128" spans="1:17" x14ac:dyDescent="0.2">
      <c r="A128" s="11">
        <v>45968</v>
      </c>
      <c r="B128" s="12" t="s">
        <v>3312</v>
      </c>
      <c r="C128" s="12"/>
      <c r="D128" s="12" t="s">
        <v>1715</v>
      </c>
      <c r="E128" s="12" t="s">
        <v>16</v>
      </c>
      <c r="F128" s="12" t="s">
        <v>38</v>
      </c>
      <c r="G128" s="13">
        <v>15000</v>
      </c>
      <c r="H128" s="13">
        <v>17100</v>
      </c>
      <c r="I128" s="12" t="s">
        <v>22</v>
      </c>
      <c r="J128" s="12" t="s">
        <v>22</v>
      </c>
      <c r="K128" s="12" t="s">
        <v>1715</v>
      </c>
      <c r="L128" s="12" t="s">
        <v>54</v>
      </c>
      <c r="M128" s="12" t="s">
        <v>97</v>
      </c>
      <c r="N128" s="12">
        <v>2</v>
      </c>
      <c r="O128" s="12" t="s">
        <v>55</v>
      </c>
      <c r="P128" s="12" t="s">
        <v>21</v>
      </c>
      <c r="Q128" s="12" t="s">
        <v>30</v>
      </c>
    </row>
    <row r="129" spans="1:17" x14ac:dyDescent="0.2">
      <c r="A129" s="11">
        <v>46077</v>
      </c>
      <c r="B129" s="12" t="s">
        <v>1143</v>
      </c>
      <c r="C129" s="12"/>
      <c r="D129" s="12" t="s">
        <v>1144</v>
      </c>
      <c r="E129" s="12" t="s">
        <v>16</v>
      </c>
      <c r="F129" s="12" t="s">
        <v>17</v>
      </c>
      <c r="G129" s="13">
        <v>18000</v>
      </c>
      <c r="H129" s="13">
        <v>17500</v>
      </c>
      <c r="I129" s="12" t="s">
        <v>22</v>
      </c>
      <c r="J129" s="12" t="s">
        <v>22</v>
      </c>
      <c r="K129" s="12" t="s">
        <v>1145</v>
      </c>
      <c r="L129" s="12" t="s">
        <v>1146</v>
      </c>
      <c r="M129" s="12" t="s">
        <v>97</v>
      </c>
      <c r="N129" s="12">
        <v>1</v>
      </c>
      <c r="O129" s="12" t="s">
        <v>227</v>
      </c>
      <c r="P129" s="12" t="s">
        <v>66</v>
      </c>
      <c r="Q129" s="12" t="s">
        <v>30</v>
      </c>
    </row>
    <row r="130" spans="1:17" x14ac:dyDescent="0.2">
      <c r="A130" s="11">
        <v>45992</v>
      </c>
      <c r="B130" s="12" t="s">
        <v>2843</v>
      </c>
      <c r="C130" s="12"/>
      <c r="D130" s="12" t="s">
        <v>2844</v>
      </c>
      <c r="E130" s="12" t="s">
        <v>16</v>
      </c>
      <c r="F130" s="12" t="s">
        <v>17</v>
      </c>
      <c r="G130" s="13">
        <v>18900</v>
      </c>
      <c r="H130" s="13">
        <v>17500</v>
      </c>
      <c r="I130" s="12" t="s">
        <v>22</v>
      </c>
      <c r="J130" s="12" t="s">
        <v>22</v>
      </c>
      <c r="K130" s="12" t="s">
        <v>2845</v>
      </c>
      <c r="L130" s="12" t="s">
        <v>2846</v>
      </c>
      <c r="M130" s="12" t="s">
        <v>97</v>
      </c>
      <c r="N130" s="12">
        <v>1</v>
      </c>
      <c r="O130" s="12" t="s">
        <v>65</v>
      </c>
      <c r="P130" s="12" t="s">
        <v>131</v>
      </c>
      <c r="Q130" s="12" t="s">
        <v>30</v>
      </c>
    </row>
    <row r="131" spans="1:17" x14ac:dyDescent="0.2">
      <c r="A131" s="11">
        <v>45754</v>
      </c>
      <c r="B131" s="12" t="s">
        <v>2843</v>
      </c>
      <c r="C131" s="12"/>
      <c r="D131" s="12" t="s">
        <v>2844</v>
      </c>
      <c r="E131" s="12" t="s">
        <v>16</v>
      </c>
      <c r="F131" s="12" t="s">
        <v>58</v>
      </c>
      <c r="G131" s="13">
        <v>18900</v>
      </c>
      <c r="H131" s="13">
        <v>17500</v>
      </c>
      <c r="I131" s="12" t="s">
        <v>22</v>
      </c>
      <c r="J131" s="12" t="s">
        <v>22</v>
      </c>
      <c r="K131" s="12" t="s">
        <v>2845</v>
      </c>
      <c r="L131" s="12" t="s">
        <v>2846</v>
      </c>
      <c r="M131" s="12" t="s">
        <v>97</v>
      </c>
      <c r="N131" s="12">
        <v>2</v>
      </c>
      <c r="O131" s="12" t="s">
        <v>65</v>
      </c>
      <c r="P131" s="12" t="s">
        <v>276</v>
      </c>
      <c r="Q131" s="12" t="s">
        <v>30</v>
      </c>
    </row>
    <row r="132" spans="1:17" x14ac:dyDescent="0.2">
      <c r="A132" s="11">
        <v>46098</v>
      </c>
      <c r="B132" s="12" t="s">
        <v>548</v>
      </c>
      <c r="C132" s="12"/>
      <c r="D132" s="12" t="s">
        <v>549</v>
      </c>
      <c r="E132" s="12" t="s">
        <v>16</v>
      </c>
      <c r="F132" s="12" t="s">
        <v>17</v>
      </c>
      <c r="G132" s="13">
        <v>18000</v>
      </c>
      <c r="H132" s="13">
        <v>18000</v>
      </c>
      <c r="I132" s="12" t="s">
        <v>22</v>
      </c>
      <c r="J132" s="12" t="s">
        <v>22</v>
      </c>
      <c r="K132" s="12" t="s">
        <v>550</v>
      </c>
      <c r="L132" s="12" t="s">
        <v>551</v>
      </c>
      <c r="M132" s="12" t="s">
        <v>188</v>
      </c>
      <c r="N132" s="12">
        <v>2</v>
      </c>
      <c r="O132" s="12" t="s">
        <v>201</v>
      </c>
      <c r="P132" s="12" t="s">
        <v>21</v>
      </c>
      <c r="Q132" s="12" t="s">
        <v>30</v>
      </c>
    </row>
    <row r="133" spans="1:17" x14ac:dyDescent="0.2">
      <c r="A133" s="11">
        <v>46097</v>
      </c>
      <c r="B133" s="12" t="s">
        <v>627</v>
      </c>
      <c r="C133" s="12"/>
      <c r="D133" s="12" t="s">
        <v>628</v>
      </c>
      <c r="E133" s="12" t="s">
        <v>16</v>
      </c>
      <c r="F133" s="12" t="s">
        <v>243</v>
      </c>
      <c r="G133" s="13">
        <v>18000</v>
      </c>
      <c r="H133" s="13">
        <v>18000</v>
      </c>
      <c r="I133" s="12" t="s">
        <v>22</v>
      </c>
      <c r="J133" s="12" t="s">
        <v>22</v>
      </c>
      <c r="K133" s="12" t="s">
        <v>629</v>
      </c>
      <c r="L133" s="12" t="s">
        <v>630</v>
      </c>
      <c r="M133" s="12" t="s">
        <v>97</v>
      </c>
      <c r="N133" s="12">
        <v>2</v>
      </c>
      <c r="O133" s="12" t="s">
        <v>246</v>
      </c>
      <c r="P133" s="12" t="s">
        <v>41</v>
      </c>
      <c r="Q133" s="12" t="s">
        <v>30</v>
      </c>
    </row>
    <row r="134" spans="1:17" x14ac:dyDescent="0.2">
      <c r="A134" s="11">
        <v>46078</v>
      </c>
      <c r="B134" s="12" t="s">
        <v>1112</v>
      </c>
      <c r="C134" s="12"/>
      <c r="D134" s="12" t="s">
        <v>1113</v>
      </c>
      <c r="E134" s="12" t="s">
        <v>16</v>
      </c>
      <c r="F134" s="12" t="s">
        <v>47</v>
      </c>
      <c r="G134" s="13">
        <v>18000</v>
      </c>
      <c r="H134" s="13">
        <v>18000</v>
      </c>
      <c r="I134" s="12" t="s">
        <v>22</v>
      </c>
      <c r="J134" s="12" t="s">
        <v>22</v>
      </c>
      <c r="K134" s="12"/>
      <c r="L134" s="12" t="s">
        <v>1114</v>
      </c>
      <c r="M134" s="12" t="s">
        <v>97</v>
      </c>
      <c r="N134" s="12">
        <v>2</v>
      </c>
      <c r="O134" s="12" t="s">
        <v>359</v>
      </c>
      <c r="P134" s="12" t="s">
        <v>21</v>
      </c>
      <c r="Q134" s="12" t="s">
        <v>30</v>
      </c>
    </row>
    <row r="135" spans="1:17" x14ac:dyDescent="0.2">
      <c r="A135" s="11">
        <v>46065</v>
      </c>
      <c r="B135" s="12" t="s">
        <v>1339</v>
      </c>
      <c r="C135" s="12"/>
      <c r="D135" s="12" t="s">
        <v>1340</v>
      </c>
      <c r="E135" s="12" t="s">
        <v>16</v>
      </c>
      <c r="F135" s="12" t="s">
        <v>47</v>
      </c>
      <c r="G135" s="13">
        <v>20000</v>
      </c>
      <c r="H135" s="13">
        <v>18000</v>
      </c>
      <c r="I135" s="12" t="s">
        <v>22</v>
      </c>
      <c r="J135" s="12" t="s">
        <v>22</v>
      </c>
      <c r="K135" s="12" t="s">
        <v>1341</v>
      </c>
      <c r="L135" s="12" t="s">
        <v>530</v>
      </c>
      <c r="M135" s="12" t="s">
        <v>97</v>
      </c>
      <c r="N135" s="12">
        <v>2</v>
      </c>
      <c r="O135" s="12" t="s">
        <v>1081</v>
      </c>
      <c r="P135" s="12" t="s">
        <v>21</v>
      </c>
      <c r="Q135" s="12" t="s">
        <v>30</v>
      </c>
    </row>
    <row r="136" spans="1:17" x14ac:dyDescent="0.2">
      <c r="A136" s="11">
        <v>46044</v>
      </c>
      <c r="B136" s="12" t="s">
        <v>1760</v>
      </c>
      <c r="C136" s="12"/>
      <c r="D136" s="12" t="s">
        <v>643</v>
      </c>
      <c r="E136" s="12" t="s">
        <v>16</v>
      </c>
      <c r="F136" s="12" t="s">
        <v>243</v>
      </c>
      <c r="G136" s="13">
        <v>18000</v>
      </c>
      <c r="H136" s="13">
        <v>18000</v>
      </c>
      <c r="I136" s="12" t="s">
        <v>22</v>
      </c>
      <c r="J136" s="12" t="s">
        <v>22</v>
      </c>
      <c r="K136" s="12" t="s">
        <v>1761</v>
      </c>
      <c r="L136" s="12" t="s">
        <v>313</v>
      </c>
      <c r="M136" s="12" t="s">
        <v>28</v>
      </c>
      <c r="N136" s="12">
        <v>2</v>
      </c>
      <c r="O136" s="12" t="s">
        <v>213</v>
      </c>
      <c r="P136" s="12" t="s">
        <v>21</v>
      </c>
      <c r="Q136" s="12" t="s">
        <v>30</v>
      </c>
    </row>
    <row r="137" spans="1:17" x14ac:dyDescent="0.2">
      <c r="A137" s="11">
        <v>46029</v>
      </c>
      <c r="B137" s="12" t="s">
        <v>2055</v>
      </c>
      <c r="C137" s="12"/>
      <c r="D137" s="12" t="s">
        <v>2056</v>
      </c>
      <c r="E137" s="12" t="s">
        <v>16</v>
      </c>
      <c r="F137" s="12" t="s">
        <v>17</v>
      </c>
      <c r="G137" s="13">
        <v>18000</v>
      </c>
      <c r="H137" s="13">
        <v>18000</v>
      </c>
      <c r="I137" s="12" t="s">
        <v>22</v>
      </c>
      <c r="J137" s="12" t="s">
        <v>22</v>
      </c>
      <c r="K137" s="12" t="s">
        <v>2057</v>
      </c>
      <c r="L137" s="12" t="s">
        <v>318</v>
      </c>
      <c r="M137" s="12" t="s">
        <v>188</v>
      </c>
      <c r="N137" s="12">
        <v>2</v>
      </c>
      <c r="O137" s="12" t="s">
        <v>73</v>
      </c>
      <c r="P137" s="12" t="s">
        <v>21</v>
      </c>
      <c r="Q137" s="12" t="s">
        <v>30</v>
      </c>
    </row>
    <row r="138" spans="1:17" x14ac:dyDescent="0.2">
      <c r="A138" s="11">
        <v>46027</v>
      </c>
      <c r="B138" s="12" t="s">
        <v>2117</v>
      </c>
      <c r="C138" s="12"/>
      <c r="D138" s="12" t="s">
        <v>2118</v>
      </c>
      <c r="E138" s="12" t="s">
        <v>16</v>
      </c>
      <c r="F138" s="12" t="s">
        <v>17</v>
      </c>
      <c r="G138" s="13">
        <v>19000</v>
      </c>
      <c r="H138" s="13">
        <v>18000</v>
      </c>
      <c r="I138" s="12" t="s">
        <v>22</v>
      </c>
      <c r="J138" s="12" t="s">
        <v>22</v>
      </c>
      <c r="K138" s="12" t="s">
        <v>2119</v>
      </c>
      <c r="L138" s="12" t="s">
        <v>946</v>
      </c>
      <c r="M138" s="12" t="s">
        <v>97</v>
      </c>
      <c r="N138" s="12">
        <v>2</v>
      </c>
      <c r="O138" s="12" t="s">
        <v>1563</v>
      </c>
      <c r="P138" s="12" t="s">
        <v>21</v>
      </c>
      <c r="Q138" s="12" t="s">
        <v>30</v>
      </c>
    </row>
    <row r="139" spans="1:17" x14ac:dyDescent="0.2">
      <c r="A139" s="11">
        <v>46022</v>
      </c>
      <c r="B139" s="12"/>
      <c r="C139" s="12"/>
      <c r="D139" s="12" t="s">
        <v>2120</v>
      </c>
      <c r="E139" s="12" t="s">
        <v>16</v>
      </c>
      <c r="F139" s="12" t="s">
        <v>896</v>
      </c>
      <c r="G139" s="13">
        <v>20000</v>
      </c>
      <c r="H139" s="13">
        <v>18000</v>
      </c>
      <c r="I139" s="12" t="s">
        <v>22</v>
      </c>
      <c r="J139" s="12" t="s">
        <v>22</v>
      </c>
      <c r="K139" s="12" t="s">
        <v>2121</v>
      </c>
      <c r="L139" s="12" t="s">
        <v>442</v>
      </c>
      <c r="M139" s="12" t="s">
        <v>188</v>
      </c>
      <c r="N139" s="12">
        <v>2</v>
      </c>
      <c r="O139" s="12" t="s">
        <v>98</v>
      </c>
      <c r="P139" s="12" t="s">
        <v>41</v>
      </c>
      <c r="Q139" s="12" t="s">
        <v>30</v>
      </c>
    </row>
    <row r="140" spans="1:17" x14ac:dyDescent="0.2">
      <c r="A140" s="11">
        <v>46022</v>
      </c>
      <c r="B140" s="12"/>
      <c r="C140" s="12"/>
      <c r="D140" s="12" t="s">
        <v>2122</v>
      </c>
      <c r="E140" s="12" t="s">
        <v>16</v>
      </c>
      <c r="F140" s="12" t="s">
        <v>896</v>
      </c>
      <c r="G140" s="13">
        <v>20000</v>
      </c>
      <c r="H140" s="13">
        <v>18000</v>
      </c>
      <c r="I140" s="12" t="s">
        <v>22</v>
      </c>
      <c r="J140" s="12" t="s">
        <v>22</v>
      </c>
      <c r="K140" s="12" t="s">
        <v>2121</v>
      </c>
      <c r="L140" s="12" t="s">
        <v>442</v>
      </c>
      <c r="M140" s="12" t="s">
        <v>188</v>
      </c>
      <c r="N140" s="12">
        <v>2</v>
      </c>
      <c r="O140" s="12" t="s">
        <v>98</v>
      </c>
      <c r="P140" s="12" t="s">
        <v>41</v>
      </c>
      <c r="Q140" s="12" t="s">
        <v>30</v>
      </c>
    </row>
    <row r="141" spans="1:17" x14ac:dyDescent="0.2">
      <c r="A141" s="11">
        <v>46008</v>
      </c>
      <c r="B141" s="12" t="s">
        <v>2393</v>
      </c>
      <c r="C141" s="12"/>
      <c r="D141" s="12" t="s">
        <v>2056</v>
      </c>
      <c r="E141" s="12" t="s">
        <v>16</v>
      </c>
      <c r="F141" s="12" t="s">
        <v>17</v>
      </c>
      <c r="G141" s="13">
        <v>18000</v>
      </c>
      <c r="H141" s="13">
        <v>18000</v>
      </c>
      <c r="I141" s="12" t="s">
        <v>22</v>
      </c>
      <c r="J141" s="12" t="s">
        <v>22</v>
      </c>
      <c r="K141" s="12" t="s">
        <v>2057</v>
      </c>
      <c r="L141" s="12" t="s">
        <v>318</v>
      </c>
      <c r="M141" s="12" t="s">
        <v>188</v>
      </c>
      <c r="N141" s="12">
        <v>2</v>
      </c>
      <c r="O141" s="12" t="s">
        <v>73</v>
      </c>
      <c r="P141" s="12" t="s">
        <v>21</v>
      </c>
      <c r="Q141" s="12" t="s">
        <v>30</v>
      </c>
    </row>
    <row r="142" spans="1:17" x14ac:dyDescent="0.2">
      <c r="A142" s="11">
        <v>45876</v>
      </c>
      <c r="B142" s="12" t="s">
        <v>5144</v>
      </c>
      <c r="C142" s="12"/>
      <c r="D142" s="12" t="s">
        <v>5145</v>
      </c>
      <c r="E142" s="12" t="s">
        <v>16</v>
      </c>
      <c r="F142" s="12" t="s">
        <v>53</v>
      </c>
      <c r="G142" s="13">
        <v>20000</v>
      </c>
      <c r="H142" s="13">
        <v>18000</v>
      </c>
      <c r="I142" s="12" t="s">
        <v>22</v>
      </c>
      <c r="J142" s="12" t="s">
        <v>22</v>
      </c>
      <c r="K142" s="12" t="s">
        <v>5146</v>
      </c>
      <c r="L142" s="12" t="s">
        <v>84</v>
      </c>
      <c r="M142" s="12" t="s">
        <v>97</v>
      </c>
      <c r="N142" s="12">
        <v>2</v>
      </c>
      <c r="O142" s="12" t="s">
        <v>85</v>
      </c>
      <c r="P142" s="12" t="s">
        <v>21</v>
      </c>
      <c r="Q142" s="12" t="s">
        <v>30</v>
      </c>
    </row>
    <row r="143" spans="1:17" x14ac:dyDescent="0.2">
      <c r="A143" s="11">
        <v>45875</v>
      </c>
      <c r="B143" s="12" t="s">
        <v>5168</v>
      </c>
      <c r="C143" s="12"/>
      <c r="D143" s="12" t="s">
        <v>5169</v>
      </c>
      <c r="E143" s="12" t="s">
        <v>16</v>
      </c>
      <c r="F143" s="12" t="s">
        <v>17</v>
      </c>
      <c r="G143" s="13">
        <v>35000</v>
      </c>
      <c r="H143" s="13">
        <v>18000</v>
      </c>
      <c r="I143" s="12" t="s">
        <v>22</v>
      </c>
      <c r="J143" s="12" t="s">
        <v>22</v>
      </c>
      <c r="K143" s="12" t="s">
        <v>2011</v>
      </c>
      <c r="L143" s="12" t="s">
        <v>160</v>
      </c>
      <c r="M143" s="12" t="s">
        <v>3479</v>
      </c>
      <c r="N143" s="12">
        <v>2</v>
      </c>
      <c r="O143" s="12" t="s">
        <v>151</v>
      </c>
      <c r="P143" s="12" t="s">
        <v>21</v>
      </c>
      <c r="Q143" s="12" t="s">
        <v>30</v>
      </c>
    </row>
    <row r="144" spans="1:17" x14ac:dyDescent="0.2">
      <c r="A144" s="11">
        <v>45737</v>
      </c>
      <c r="B144" s="12" t="s">
        <v>7637</v>
      </c>
      <c r="C144" s="12"/>
      <c r="D144" s="12" t="s">
        <v>7293</v>
      </c>
      <c r="E144" s="12" t="s">
        <v>16</v>
      </c>
      <c r="F144" s="12" t="s">
        <v>82</v>
      </c>
      <c r="G144" s="13">
        <v>18000</v>
      </c>
      <c r="H144" s="13">
        <v>18000</v>
      </c>
      <c r="I144" s="12" t="s">
        <v>22</v>
      </c>
      <c r="J144" s="12" t="s">
        <v>22</v>
      </c>
      <c r="K144" s="12"/>
      <c r="L144" s="12" t="s">
        <v>1136</v>
      </c>
      <c r="M144" s="12" t="s">
        <v>97</v>
      </c>
      <c r="N144" s="12">
        <v>1</v>
      </c>
      <c r="O144" s="12" t="s">
        <v>227</v>
      </c>
      <c r="P144" s="12" t="s">
        <v>131</v>
      </c>
      <c r="Q144" s="12" t="s">
        <v>30</v>
      </c>
    </row>
    <row r="145" spans="1:17" x14ac:dyDescent="0.2">
      <c r="A145" s="11">
        <v>45694</v>
      </c>
      <c r="B145" s="12" t="s">
        <v>8155</v>
      </c>
      <c r="C145" s="12"/>
      <c r="D145" s="12" t="s">
        <v>8156</v>
      </c>
      <c r="E145" s="12" t="s">
        <v>16</v>
      </c>
      <c r="F145" s="12" t="s">
        <v>134</v>
      </c>
      <c r="G145" s="13">
        <v>18000</v>
      </c>
      <c r="H145" s="13">
        <v>18000</v>
      </c>
      <c r="I145" s="12" t="s">
        <v>22</v>
      </c>
      <c r="J145" s="12" t="s">
        <v>22</v>
      </c>
      <c r="K145" s="12" t="s">
        <v>8157</v>
      </c>
      <c r="L145" s="12" t="s">
        <v>6186</v>
      </c>
      <c r="M145" s="12" t="s">
        <v>97</v>
      </c>
      <c r="N145" s="12">
        <v>2</v>
      </c>
      <c r="O145" s="12" t="s">
        <v>130</v>
      </c>
      <c r="P145" s="12" t="s">
        <v>21</v>
      </c>
      <c r="Q145" s="12" t="s">
        <v>30</v>
      </c>
    </row>
    <row r="146" spans="1:17" x14ac:dyDescent="0.2">
      <c r="A146" s="11">
        <v>45659</v>
      </c>
      <c r="B146" s="12" t="s">
        <v>8499</v>
      </c>
      <c r="C146" s="12"/>
      <c r="D146" s="12" t="s">
        <v>8500</v>
      </c>
      <c r="E146" s="12" t="s">
        <v>16</v>
      </c>
      <c r="F146" s="12" t="s">
        <v>17</v>
      </c>
      <c r="G146" s="13">
        <v>21000</v>
      </c>
      <c r="H146" s="13">
        <v>18000</v>
      </c>
      <c r="I146" s="12" t="s">
        <v>22</v>
      </c>
      <c r="J146" s="12" t="s">
        <v>22</v>
      </c>
      <c r="K146" s="12" t="s">
        <v>8501</v>
      </c>
      <c r="L146" s="12" t="s">
        <v>3900</v>
      </c>
      <c r="M146" s="12" t="s">
        <v>97</v>
      </c>
      <c r="N146" s="12">
        <v>2</v>
      </c>
      <c r="O146" s="12" t="s">
        <v>55</v>
      </c>
      <c r="P146" s="12" t="s">
        <v>21</v>
      </c>
      <c r="Q146" s="12" t="s">
        <v>30</v>
      </c>
    </row>
    <row r="147" spans="1:17" x14ac:dyDescent="0.2">
      <c r="A147" s="11">
        <v>45735</v>
      </c>
      <c r="B147" s="12" t="s">
        <v>7693</v>
      </c>
      <c r="C147" s="12"/>
      <c r="D147" s="12" t="s">
        <v>7694</v>
      </c>
      <c r="E147" s="12" t="s">
        <v>16</v>
      </c>
      <c r="F147" s="12" t="s">
        <v>38</v>
      </c>
      <c r="G147" s="13">
        <v>18500</v>
      </c>
      <c r="H147" s="13">
        <v>18500</v>
      </c>
      <c r="I147" s="12" t="s">
        <v>22</v>
      </c>
      <c r="J147" s="12" t="s">
        <v>22</v>
      </c>
      <c r="K147" s="12" t="s">
        <v>7695</v>
      </c>
      <c r="L147" s="12" t="s">
        <v>630</v>
      </c>
      <c r="M147" s="12" t="s">
        <v>97</v>
      </c>
      <c r="N147" s="12">
        <v>2</v>
      </c>
      <c r="O147" s="12" t="s">
        <v>246</v>
      </c>
      <c r="P147" s="12" t="s">
        <v>41</v>
      </c>
      <c r="Q147" s="12" t="s">
        <v>30</v>
      </c>
    </row>
    <row r="148" spans="1:17" x14ac:dyDescent="0.2">
      <c r="A148" s="11">
        <v>45930</v>
      </c>
      <c r="B148" s="12" t="s">
        <v>4068</v>
      </c>
      <c r="C148" s="12"/>
      <c r="D148" s="12" t="s">
        <v>4069</v>
      </c>
      <c r="E148" s="12" t="s">
        <v>16</v>
      </c>
      <c r="F148" s="12" t="s">
        <v>134</v>
      </c>
      <c r="G148" s="13">
        <v>21000</v>
      </c>
      <c r="H148" s="13">
        <v>18600</v>
      </c>
      <c r="I148" s="12" t="s">
        <v>22</v>
      </c>
      <c r="J148" s="12" t="s">
        <v>22</v>
      </c>
      <c r="K148" s="12" t="s">
        <v>1774</v>
      </c>
      <c r="L148" s="12" t="s">
        <v>1775</v>
      </c>
      <c r="M148" s="12" t="s">
        <v>97</v>
      </c>
      <c r="N148" s="12">
        <v>1</v>
      </c>
      <c r="O148" s="12" t="s">
        <v>130</v>
      </c>
      <c r="P148" s="12" t="s">
        <v>131</v>
      </c>
      <c r="Q148" s="12" t="s">
        <v>30</v>
      </c>
    </row>
    <row r="149" spans="1:17" x14ac:dyDescent="0.2">
      <c r="A149" s="11">
        <v>45796</v>
      </c>
      <c r="B149" s="12" t="s">
        <v>6681</v>
      </c>
      <c r="C149" s="12"/>
      <c r="D149" s="12" t="s">
        <v>2634</v>
      </c>
      <c r="E149" s="12" t="s">
        <v>16</v>
      </c>
      <c r="F149" s="12" t="s">
        <v>243</v>
      </c>
      <c r="G149" s="13">
        <v>20000</v>
      </c>
      <c r="H149" s="13">
        <v>18600</v>
      </c>
      <c r="I149" s="12" t="s">
        <v>22</v>
      </c>
      <c r="J149" s="12" t="s">
        <v>22</v>
      </c>
      <c r="K149" s="12" t="s">
        <v>6682</v>
      </c>
      <c r="L149" s="12" t="s">
        <v>630</v>
      </c>
      <c r="M149" s="12" t="s">
        <v>97</v>
      </c>
      <c r="N149" s="12">
        <v>2</v>
      </c>
      <c r="O149" s="12" t="s">
        <v>246</v>
      </c>
      <c r="P149" s="12" t="s">
        <v>21</v>
      </c>
      <c r="Q149" s="12" t="s">
        <v>30</v>
      </c>
    </row>
    <row r="150" spans="1:17" x14ac:dyDescent="0.2">
      <c r="A150" s="11">
        <v>46078</v>
      </c>
      <c r="B150" s="12" t="s">
        <v>1115</v>
      </c>
      <c r="C150" s="12"/>
      <c r="D150" s="12" t="s">
        <v>1116</v>
      </c>
      <c r="E150" s="12" t="s">
        <v>16</v>
      </c>
      <c r="F150" s="12" t="s">
        <v>47</v>
      </c>
      <c r="G150" s="13">
        <v>22000</v>
      </c>
      <c r="H150" s="13">
        <v>19000</v>
      </c>
      <c r="I150" s="12" t="s">
        <v>22</v>
      </c>
      <c r="J150" s="12" t="s">
        <v>22</v>
      </c>
      <c r="K150" s="12" t="s">
        <v>1117</v>
      </c>
      <c r="L150" s="12" t="s">
        <v>1118</v>
      </c>
      <c r="M150" s="12" t="s">
        <v>212</v>
      </c>
      <c r="N150" s="12">
        <v>2</v>
      </c>
      <c r="O150" s="12" t="s">
        <v>65</v>
      </c>
      <c r="P150" s="12" t="s">
        <v>21</v>
      </c>
      <c r="Q150" s="12" t="s">
        <v>30</v>
      </c>
    </row>
    <row r="151" spans="1:17" x14ac:dyDescent="0.2">
      <c r="A151" s="11">
        <v>45842</v>
      </c>
      <c r="B151" s="12" t="s">
        <v>5747</v>
      </c>
      <c r="C151" s="12"/>
      <c r="D151" s="12" t="s">
        <v>5748</v>
      </c>
      <c r="E151" s="12" t="s">
        <v>16</v>
      </c>
      <c r="F151" s="12" t="s">
        <v>17</v>
      </c>
      <c r="G151" s="13">
        <v>19000</v>
      </c>
      <c r="H151" s="13">
        <v>19000</v>
      </c>
      <c r="I151" s="12" t="s">
        <v>22</v>
      </c>
      <c r="J151" s="12" t="s">
        <v>22</v>
      </c>
      <c r="K151" s="12" t="s">
        <v>5748</v>
      </c>
      <c r="L151" s="12" t="s">
        <v>102</v>
      </c>
      <c r="M151" s="12" t="s">
        <v>188</v>
      </c>
      <c r="N151" s="12">
        <v>2</v>
      </c>
      <c r="O151" s="12" t="s">
        <v>35</v>
      </c>
      <c r="P151" s="12" t="s">
        <v>21</v>
      </c>
      <c r="Q151" s="12" t="s">
        <v>30</v>
      </c>
    </row>
    <row r="152" spans="1:17" x14ac:dyDescent="0.2">
      <c r="A152" s="11">
        <v>45987</v>
      </c>
      <c r="B152" s="12" t="s">
        <v>2967</v>
      </c>
      <c r="C152" s="12"/>
      <c r="D152" s="12" t="s">
        <v>2968</v>
      </c>
      <c r="E152" s="12" t="s">
        <v>16</v>
      </c>
      <c r="F152" s="12" t="s">
        <v>17</v>
      </c>
      <c r="G152" s="13">
        <v>20500</v>
      </c>
      <c r="H152" s="13">
        <v>19300</v>
      </c>
      <c r="I152" s="12" t="s">
        <v>22</v>
      </c>
      <c r="J152" s="12" t="s">
        <v>22</v>
      </c>
      <c r="K152" s="12" t="s">
        <v>2813</v>
      </c>
      <c r="L152" s="12" t="s">
        <v>2814</v>
      </c>
      <c r="M152" s="12" t="s">
        <v>97</v>
      </c>
      <c r="N152" s="12">
        <v>2</v>
      </c>
      <c r="O152" s="12" t="s">
        <v>65</v>
      </c>
      <c r="P152" s="12" t="s">
        <v>21</v>
      </c>
      <c r="Q152" s="12" t="s">
        <v>30</v>
      </c>
    </row>
    <row r="153" spans="1:17" x14ac:dyDescent="0.2">
      <c r="A153" s="11">
        <v>45790</v>
      </c>
      <c r="B153" s="12" t="s">
        <v>6780</v>
      </c>
      <c r="C153" s="12"/>
      <c r="D153" s="12" t="s">
        <v>6781</v>
      </c>
      <c r="E153" s="12" t="s">
        <v>16</v>
      </c>
      <c r="F153" s="12" t="s">
        <v>17</v>
      </c>
      <c r="G153" s="13">
        <v>26000</v>
      </c>
      <c r="H153" s="13">
        <v>19500</v>
      </c>
      <c r="I153" s="12" t="s">
        <v>22</v>
      </c>
      <c r="J153" s="12" t="s">
        <v>22</v>
      </c>
      <c r="K153" s="12" t="s">
        <v>4166</v>
      </c>
      <c r="L153" s="12" t="s">
        <v>258</v>
      </c>
      <c r="M153" s="12" t="s">
        <v>97</v>
      </c>
      <c r="N153" s="12">
        <v>2</v>
      </c>
      <c r="O153" s="12" t="s">
        <v>29</v>
      </c>
      <c r="P153" s="12" t="s">
        <v>21</v>
      </c>
      <c r="Q153" s="12" t="s">
        <v>30</v>
      </c>
    </row>
    <row r="154" spans="1:17" x14ac:dyDescent="0.2">
      <c r="A154" s="11">
        <v>45918</v>
      </c>
      <c r="B154" s="12" t="s">
        <v>3464</v>
      </c>
      <c r="C154" s="12"/>
      <c r="D154" s="12" t="s">
        <v>3465</v>
      </c>
      <c r="E154" s="12" t="s">
        <v>16</v>
      </c>
      <c r="F154" s="12" t="s">
        <v>134</v>
      </c>
      <c r="G154" s="13">
        <v>21000</v>
      </c>
      <c r="H154" s="13">
        <v>19569</v>
      </c>
      <c r="I154" s="12" t="s">
        <v>22</v>
      </c>
      <c r="J154" s="12" t="s">
        <v>22</v>
      </c>
      <c r="K154" s="12" t="s">
        <v>3466</v>
      </c>
      <c r="L154" s="12" t="s">
        <v>3467</v>
      </c>
      <c r="M154" s="12" t="s">
        <v>97</v>
      </c>
      <c r="N154" s="12">
        <v>2</v>
      </c>
      <c r="O154" s="12" t="s">
        <v>130</v>
      </c>
      <c r="P154" s="12" t="s">
        <v>41</v>
      </c>
      <c r="Q154" s="12" t="s">
        <v>30</v>
      </c>
    </row>
    <row r="155" spans="1:17" x14ac:dyDescent="0.2">
      <c r="A155" s="11">
        <v>45792</v>
      </c>
      <c r="B155" s="12" t="s">
        <v>6721</v>
      </c>
      <c r="C155" s="12"/>
      <c r="D155" s="12" t="s">
        <v>6722</v>
      </c>
      <c r="E155" s="12" t="s">
        <v>16</v>
      </c>
      <c r="F155" s="12" t="s">
        <v>17</v>
      </c>
      <c r="G155" s="13">
        <v>20000</v>
      </c>
      <c r="H155" s="13">
        <v>19800</v>
      </c>
      <c r="I155" s="12" t="s">
        <v>22</v>
      </c>
      <c r="J155" s="12" t="s">
        <v>22</v>
      </c>
      <c r="K155" s="12" t="s">
        <v>6723</v>
      </c>
      <c r="L155" s="12" t="s">
        <v>6724</v>
      </c>
      <c r="M155" s="12" t="s">
        <v>97</v>
      </c>
      <c r="N155" s="12">
        <v>2</v>
      </c>
      <c r="O155" s="12" t="s">
        <v>65</v>
      </c>
      <c r="P155" s="12" t="s">
        <v>21</v>
      </c>
      <c r="Q155" s="12" t="s">
        <v>30</v>
      </c>
    </row>
    <row r="156" spans="1:17" x14ac:dyDescent="0.2">
      <c r="A156" s="11">
        <v>46011</v>
      </c>
      <c r="B156" s="12" t="s">
        <v>2294</v>
      </c>
      <c r="C156" s="12"/>
      <c r="D156" s="12" t="s">
        <v>2295</v>
      </c>
      <c r="E156" s="12" t="s">
        <v>16</v>
      </c>
      <c r="F156" s="12" t="s">
        <v>17</v>
      </c>
      <c r="G156" s="13">
        <v>22000</v>
      </c>
      <c r="H156" s="13">
        <v>20000</v>
      </c>
      <c r="I156" s="12" t="s">
        <v>22</v>
      </c>
      <c r="J156" s="12" t="s">
        <v>22</v>
      </c>
      <c r="K156" s="12" t="s">
        <v>2296</v>
      </c>
      <c r="L156" s="12" t="s">
        <v>2297</v>
      </c>
      <c r="M156" s="12" t="s">
        <v>97</v>
      </c>
      <c r="N156" s="12">
        <v>2</v>
      </c>
      <c r="O156" s="12" t="s">
        <v>1742</v>
      </c>
      <c r="P156" s="12" t="s">
        <v>21</v>
      </c>
      <c r="Q156" s="12" t="s">
        <v>30</v>
      </c>
    </row>
    <row r="157" spans="1:17" x14ac:dyDescent="0.2">
      <c r="A157" s="11">
        <v>45979</v>
      </c>
      <c r="B157" s="12" t="s">
        <v>3061</v>
      </c>
      <c r="C157" s="12"/>
      <c r="D157" s="12" t="s">
        <v>3061</v>
      </c>
      <c r="E157" s="12" t="s">
        <v>16</v>
      </c>
      <c r="F157" s="12" t="s">
        <v>47</v>
      </c>
      <c r="G157" s="13">
        <v>80000</v>
      </c>
      <c r="H157" s="13">
        <v>20000</v>
      </c>
      <c r="I157" s="12" t="s">
        <v>22</v>
      </c>
      <c r="J157" s="12" t="s">
        <v>22</v>
      </c>
      <c r="K157" s="12" t="s">
        <v>3061</v>
      </c>
      <c r="L157" s="12"/>
      <c r="M157" s="12" t="s">
        <v>28</v>
      </c>
      <c r="N157" s="12">
        <v>2</v>
      </c>
      <c r="O157" s="12" t="s">
        <v>50</v>
      </c>
      <c r="P157" s="12" t="s">
        <v>21</v>
      </c>
      <c r="Q157" s="12" t="s">
        <v>30</v>
      </c>
    </row>
    <row r="158" spans="1:17" x14ac:dyDescent="0.2">
      <c r="A158" s="11">
        <v>45946</v>
      </c>
      <c r="B158" s="12" t="s">
        <v>3721</v>
      </c>
      <c r="C158" s="12"/>
      <c r="D158" s="12" t="s">
        <v>3722</v>
      </c>
      <c r="E158" s="12" t="s">
        <v>16</v>
      </c>
      <c r="F158" s="12" t="s">
        <v>82</v>
      </c>
      <c r="G158" s="13">
        <v>20000</v>
      </c>
      <c r="H158" s="13">
        <v>20000</v>
      </c>
      <c r="I158" s="12" t="s">
        <v>22</v>
      </c>
      <c r="J158" s="12" t="s">
        <v>22</v>
      </c>
      <c r="K158" s="12" t="s">
        <v>3723</v>
      </c>
      <c r="L158" s="12" t="s">
        <v>54</v>
      </c>
      <c r="M158" s="12" t="s">
        <v>19</v>
      </c>
      <c r="N158" s="12">
        <v>1</v>
      </c>
      <c r="O158" s="12" t="s">
        <v>55</v>
      </c>
      <c r="P158" s="12" t="s">
        <v>66</v>
      </c>
      <c r="Q158" s="12" t="s">
        <v>30</v>
      </c>
    </row>
    <row r="159" spans="1:17" x14ac:dyDescent="0.2">
      <c r="A159" s="11">
        <v>45880</v>
      </c>
      <c r="B159" s="12" t="s">
        <v>5060</v>
      </c>
      <c r="C159" s="12"/>
      <c r="D159" s="12" t="s">
        <v>5061</v>
      </c>
      <c r="E159" s="12" t="s">
        <v>16</v>
      </c>
      <c r="F159" s="12" t="s">
        <v>243</v>
      </c>
      <c r="G159" s="13">
        <v>20000</v>
      </c>
      <c r="H159" s="13">
        <v>20000</v>
      </c>
      <c r="I159" s="12" t="s">
        <v>22</v>
      </c>
      <c r="J159" s="12" t="s">
        <v>22</v>
      </c>
      <c r="K159" s="12" t="s">
        <v>5061</v>
      </c>
      <c r="L159" s="12" t="s">
        <v>5062</v>
      </c>
      <c r="M159" s="12" t="s">
        <v>97</v>
      </c>
      <c r="N159" s="12">
        <v>2</v>
      </c>
      <c r="O159" s="12" t="s">
        <v>55</v>
      </c>
      <c r="P159" s="12" t="s">
        <v>21</v>
      </c>
      <c r="Q159" s="12" t="s">
        <v>30</v>
      </c>
    </row>
    <row r="160" spans="1:17" x14ac:dyDescent="0.2">
      <c r="A160" s="11">
        <v>45880</v>
      </c>
      <c r="B160" s="12" t="s">
        <v>5067</v>
      </c>
      <c r="C160" s="12"/>
      <c r="D160" s="12" t="s">
        <v>5068</v>
      </c>
      <c r="E160" s="12" t="s">
        <v>16</v>
      </c>
      <c r="F160" s="12" t="s">
        <v>17</v>
      </c>
      <c r="G160" s="13">
        <v>20000</v>
      </c>
      <c r="H160" s="13">
        <v>20000</v>
      </c>
      <c r="I160" s="12" t="s">
        <v>22</v>
      </c>
      <c r="J160" s="12" t="s">
        <v>22</v>
      </c>
      <c r="K160" s="12" t="s">
        <v>5069</v>
      </c>
      <c r="L160" s="12" t="s">
        <v>2982</v>
      </c>
      <c r="M160" s="12" t="s">
        <v>97</v>
      </c>
      <c r="N160" s="12">
        <v>2</v>
      </c>
      <c r="O160" s="12" t="s">
        <v>227</v>
      </c>
      <c r="P160" s="12" t="s">
        <v>21</v>
      </c>
      <c r="Q160" s="12" t="s">
        <v>30</v>
      </c>
    </row>
    <row r="161" spans="1:17" x14ac:dyDescent="0.2">
      <c r="A161" s="11">
        <v>45785</v>
      </c>
      <c r="B161" s="12" t="s">
        <v>6849</v>
      </c>
      <c r="C161" s="12"/>
      <c r="D161" s="12" t="s">
        <v>6850</v>
      </c>
      <c r="E161" s="12" t="s">
        <v>16</v>
      </c>
      <c r="F161" s="12" t="s">
        <v>82</v>
      </c>
      <c r="G161" s="13">
        <v>22000</v>
      </c>
      <c r="H161" s="13">
        <v>20000</v>
      </c>
      <c r="I161" s="12" t="s">
        <v>22</v>
      </c>
      <c r="J161" s="12" t="s">
        <v>22</v>
      </c>
      <c r="K161" s="12" t="s">
        <v>6851</v>
      </c>
      <c r="L161" s="12" t="s">
        <v>3393</v>
      </c>
      <c r="M161" s="12" t="s">
        <v>97</v>
      </c>
      <c r="N161" s="12">
        <v>2</v>
      </c>
      <c r="O161" s="12" t="s">
        <v>85</v>
      </c>
      <c r="P161" s="12" t="s">
        <v>21</v>
      </c>
      <c r="Q161" s="12" t="s">
        <v>30</v>
      </c>
    </row>
    <row r="162" spans="1:17" x14ac:dyDescent="0.2">
      <c r="A162" s="11">
        <v>45784</v>
      </c>
      <c r="B162" s="12" t="s">
        <v>6894</v>
      </c>
      <c r="C162" s="12"/>
      <c r="D162" s="12" t="s">
        <v>6895</v>
      </c>
      <c r="E162" s="12" t="s">
        <v>16</v>
      </c>
      <c r="F162" s="12" t="s">
        <v>58</v>
      </c>
      <c r="G162" s="13">
        <v>23000</v>
      </c>
      <c r="H162" s="13">
        <v>20000</v>
      </c>
      <c r="I162" s="12" t="s">
        <v>22</v>
      </c>
      <c r="J162" s="12" t="s">
        <v>22</v>
      </c>
      <c r="K162" s="12" t="s">
        <v>6896</v>
      </c>
      <c r="L162" s="12" t="s">
        <v>867</v>
      </c>
      <c r="M162" s="12" t="s">
        <v>300</v>
      </c>
      <c r="N162" s="12">
        <v>2</v>
      </c>
      <c r="O162" s="12" t="s">
        <v>35</v>
      </c>
      <c r="P162" s="12" t="s">
        <v>21</v>
      </c>
      <c r="Q162" s="12" t="s">
        <v>30</v>
      </c>
    </row>
    <row r="163" spans="1:17" x14ac:dyDescent="0.2">
      <c r="A163" s="11">
        <v>45763</v>
      </c>
      <c r="B163" s="12" t="s">
        <v>7225</v>
      </c>
      <c r="C163" s="12"/>
      <c r="D163" s="12" t="s">
        <v>7226</v>
      </c>
      <c r="E163" s="12" t="s">
        <v>16</v>
      </c>
      <c r="F163" s="12" t="s">
        <v>127</v>
      </c>
      <c r="G163" s="13">
        <v>20000</v>
      </c>
      <c r="H163" s="13">
        <v>20000</v>
      </c>
      <c r="I163" s="12" t="s">
        <v>22</v>
      </c>
      <c r="J163" s="12" t="s">
        <v>22</v>
      </c>
      <c r="K163" s="12"/>
      <c r="L163" s="12"/>
      <c r="M163" s="12" t="s">
        <v>28</v>
      </c>
      <c r="N163" s="12">
        <v>1</v>
      </c>
      <c r="O163" s="12" t="s">
        <v>55</v>
      </c>
      <c r="P163" s="12" t="s">
        <v>131</v>
      </c>
      <c r="Q163" s="12" t="s">
        <v>30</v>
      </c>
    </row>
    <row r="164" spans="1:17" x14ac:dyDescent="0.2">
      <c r="A164" s="11">
        <v>45727</v>
      </c>
      <c r="B164" s="12" t="s">
        <v>7803</v>
      </c>
      <c r="C164" s="12"/>
      <c r="D164" s="12" t="s">
        <v>7804</v>
      </c>
      <c r="E164" s="12" t="s">
        <v>16</v>
      </c>
      <c r="F164" s="12" t="s">
        <v>47</v>
      </c>
      <c r="G164" s="13">
        <v>20000</v>
      </c>
      <c r="H164" s="13">
        <v>20000</v>
      </c>
      <c r="I164" s="12" t="s">
        <v>22</v>
      </c>
      <c r="J164" s="12" t="s">
        <v>22</v>
      </c>
      <c r="K164" s="12"/>
      <c r="L164" s="12" t="s">
        <v>5524</v>
      </c>
      <c r="M164" s="12" t="s">
        <v>97</v>
      </c>
      <c r="N164" s="12">
        <v>2</v>
      </c>
      <c r="O164" s="12" t="s">
        <v>359</v>
      </c>
      <c r="P164" s="12" t="s">
        <v>41</v>
      </c>
      <c r="Q164" s="12" t="s">
        <v>30</v>
      </c>
    </row>
    <row r="165" spans="1:17" x14ac:dyDescent="0.2">
      <c r="A165" s="11">
        <v>45706</v>
      </c>
      <c r="B165" s="12" t="s">
        <v>8008</v>
      </c>
      <c r="C165" s="12"/>
      <c r="D165" s="12" t="s">
        <v>8009</v>
      </c>
      <c r="E165" s="12" t="s">
        <v>16</v>
      </c>
      <c r="F165" s="12" t="s">
        <v>17</v>
      </c>
      <c r="G165" s="13">
        <v>20000</v>
      </c>
      <c r="H165" s="13">
        <v>20000</v>
      </c>
      <c r="I165" s="12" t="s">
        <v>22</v>
      </c>
      <c r="J165" s="12" t="s">
        <v>22</v>
      </c>
      <c r="K165" s="12" t="s">
        <v>8010</v>
      </c>
      <c r="L165" s="12" t="s">
        <v>308</v>
      </c>
      <c r="M165" s="12" t="s">
        <v>97</v>
      </c>
      <c r="N165" s="12">
        <v>2</v>
      </c>
      <c r="O165" s="12" t="s">
        <v>171</v>
      </c>
      <c r="P165" s="12" t="s">
        <v>21</v>
      </c>
      <c r="Q165" s="12" t="s">
        <v>30</v>
      </c>
    </row>
    <row r="166" spans="1:17" x14ac:dyDescent="0.2">
      <c r="A166" s="11">
        <v>45687</v>
      </c>
      <c r="B166" s="12" t="s">
        <v>8214</v>
      </c>
      <c r="C166" s="12"/>
      <c r="D166" s="12" t="s">
        <v>8214</v>
      </c>
      <c r="E166" s="12" t="s">
        <v>16</v>
      </c>
      <c r="F166" s="12" t="s">
        <v>47</v>
      </c>
      <c r="G166" s="13">
        <v>20000</v>
      </c>
      <c r="H166" s="13">
        <v>20000</v>
      </c>
      <c r="I166" s="12" t="s">
        <v>22</v>
      </c>
      <c r="J166" s="12" t="s">
        <v>22</v>
      </c>
      <c r="K166" s="12" t="s">
        <v>8214</v>
      </c>
      <c r="L166" s="12" t="s">
        <v>8215</v>
      </c>
      <c r="M166" s="12" t="s">
        <v>97</v>
      </c>
      <c r="N166" s="12">
        <v>2</v>
      </c>
      <c r="O166" s="12" t="s">
        <v>50</v>
      </c>
      <c r="P166" s="12" t="s">
        <v>21</v>
      </c>
      <c r="Q166" s="12" t="s">
        <v>30</v>
      </c>
    </row>
    <row r="167" spans="1:17" x14ac:dyDescent="0.2">
      <c r="A167" s="11">
        <v>45678</v>
      </c>
      <c r="B167" s="12" t="s">
        <v>8325</v>
      </c>
      <c r="C167" s="12"/>
      <c r="D167" s="12" t="s">
        <v>8326</v>
      </c>
      <c r="E167" s="12" t="s">
        <v>16</v>
      </c>
      <c r="F167" s="12" t="s">
        <v>47</v>
      </c>
      <c r="G167" s="13">
        <v>22000</v>
      </c>
      <c r="H167" s="13">
        <v>20000</v>
      </c>
      <c r="I167" s="12" t="s">
        <v>22</v>
      </c>
      <c r="J167" s="12" t="s">
        <v>22</v>
      </c>
      <c r="K167" s="12"/>
      <c r="L167" s="12" t="s">
        <v>1114</v>
      </c>
      <c r="M167" s="12" t="s">
        <v>97</v>
      </c>
      <c r="N167" s="12">
        <v>2</v>
      </c>
      <c r="O167" s="12" t="s">
        <v>359</v>
      </c>
      <c r="P167" s="12" t="s">
        <v>36</v>
      </c>
      <c r="Q167" s="12" t="s">
        <v>30</v>
      </c>
    </row>
    <row r="168" spans="1:17" x14ac:dyDescent="0.2">
      <c r="A168" s="11">
        <v>45771</v>
      </c>
      <c r="B168" s="12" t="s">
        <v>5753</v>
      </c>
      <c r="C168" s="12"/>
      <c r="D168" s="12" t="s">
        <v>5754</v>
      </c>
      <c r="E168" s="12" t="s">
        <v>16</v>
      </c>
      <c r="F168" s="12" t="s">
        <v>17</v>
      </c>
      <c r="G168" s="13">
        <v>5200</v>
      </c>
      <c r="H168" s="13">
        <v>20166</v>
      </c>
      <c r="I168" s="12" t="s">
        <v>22</v>
      </c>
      <c r="J168" s="12" t="s">
        <v>22</v>
      </c>
      <c r="K168" s="12" t="s">
        <v>5754</v>
      </c>
      <c r="L168" s="12" t="s">
        <v>5617</v>
      </c>
      <c r="M168" s="12" t="s">
        <v>97</v>
      </c>
      <c r="N168" s="12">
        <v>2</v>
      </c>
      <c r="O168" s="12" t="s">
        <v>171</v>
      </c>
      <c r="P168" s="12" t="s">
        <v>21</v>
      </c>
      <c r="Q168" s="12" t="s">
        <v>30</v>
      </c>
    </row>
    <row r="169" spans="1:17" x14ac:dyDescent="0.2">
      <c r="A169" s="11">
        <v>46086</v>
      </c>
      <c r="B169" s="12" t="s">
        <v>934</v>
      </c>
      <c r="C169" s="12"/>
      <c r="D169" s="12" t="s">
        <v>935</v>
      </c>
      <c r="E169" s="12" t="s">
        <v>16</v>
      </c>
      <c r="F169" s="12" t="s">
        <v>243</v>
      </c>
      <c r="G169" s="13">
        <v>23000</v>
      </c>
      <c r="H169" s="13">
        <v>20500</v>
      </c>
      <c r="I169" s="12" t="s">
        <v>22</v>
      </c>
      <c r="J169" s="12" t="s">
        <v>22</v>
      </c>
      <c r="K169" s="12" t="s">
        <v>936</v>
      </c>
      <c r="L169" s="12" t="s">
        <v>658</v>
      </c>
      <c r="M169" s="12" t="s">
        <v>97</v>
      </c>
      <c r="N169" s="12">
        <v>2</v>
      </c>
      <c r="O169" s="12" t="s">
        <v>246</v>
      </c>
      <c r="P169" s="12" t="s">
        <v>21</v>
      </c>
      <c r="Q169" s="12" t="s">
        <v>30</v>
      </c>
    </row>
    <row r="170" spans="1:17" x14ac:dyDescent="0.2">
      <c r="A170" s="11">
        <v>45975</v>
      </c>
      <c r="B170" s="12" t="s">
        <v>3148</v>
      </c>
      <c r="C170" s="12"/>
      <c r="D170" s="12" t="s">
        <v>3149</v>
      </c>
      <c r="E170" s="12" t="s">
        <v>16</v>
      </c>
      <c r="F170" s="12" t="s">
        <v>17</v>
      </c>
      <c r="G170" s="13">
        <v>28000</v>
      </c>
      <c r="H170" s="13">
        <v>21000</v>
      </c>
      <c r="I170" s="12" t="s">
        <v>22</v>
      </c>
      <c r="J170" s="12" t="s">
        <v>22</v>
      </c>
      <c r="K170" s="12" t="s">
        <v>3150</v>
      </c>
      <c r="L170" s="12" t="s">
        <v>2705</v>
      </c>
      <c r="M170" s="12" t="s">
        <v>72</v>
      </c>
      <c r="N170" s="12">
        <v>2</v>
      </c>
      <c r="O170" s="12" t="s">
        <v>35</v>
      </c>
      <c r="P170" s="12" t="s">
        <v>256</v>
      </c>
      <c r="Q170" s="12" t="s">
        <v>30</v>
      </c>
    </row>
    <row r="171" spans="1:17" x14ac:dyDescent="0.2">
      <c r="A171" s="11">
        <v>45958</v>
      </c>
      <c r="B171" s="12" t="s">
        <v>3464</v>
      </c>
      <c r="C171" s="12"/>
      <c r="D171" s="12" t="s">
        <v>3465</v>
      </c>
      <c r="E171" s="12" t="s">
        <v>16</v>
      </c>
      <c r="F171" s="12" t="s">
        <v>134</v>
      </c>
      <c r="G171" s="13">
        <v>21000</v>
      </c>
      <c r="H171" s="13">
        <v>21000</v>
      </c>
      <c r="I171" s="12" t="s">
        <v>22</v>
      </c>
      <c r="J171" s="12" t="s">
        <v>22</v>
      </c>
      <c r="K171" s="12" t="s">
        <v>3466</v>
      </c>
      <c r="L171" s="12" t="s">
        <v>3467</v>
      </c>
      <c r="M171" s="12" t="s">
        <v>97</v>
      </c>
      <c r="N171" s="12">
        <v>2</v>
      </c>
      <c r="O171" s="12" t="s">
        <v>130</v>
      </c>
      <c r="P171" s="12" t="s">
        <v>41</v>
      </c>
      <c r="Q171" s="12" t="s">
        <v>30</v>
      </c>
    </row>
    <row r="172" spans="1:17" x14ac:dyDescent="0.2">
      <c r="A172" s="11">
        <v>45930</v>
      </c>
      <c r="B172" s="12" t="s">
        <v>4064</v>
      </c>
      <c r="C172" s="12"/>
      <c r="D172" s="12" t="s">
        <v>4065</v>
      </c>
      <c r="E172" s="12" t="s">
        <v>16</v>
      </c>
      <c r="F172" s="12" t="s">
        <v>58</v>
      </c>
      <c r="G172" s="13">
        <v>23000</v>
      </c>
      <c r="H172" s="13">
        <v>21000</v>
      </c>
      <c r="I172" s="12" t="s">
        <v>22</v>
      </c>
      <c r="J172" s="12" t="s">
        <v>22</v>
      </c>
      <c r="K172" s="12" t="s">
        <v>4066</v>
      </c>
      <c r="L172" s="12" t="s">
        <v>4067</v>
      </c>
      <c r="M172" s="12" t="s">
        <v>72</v>
      </c>
      <c r="N172" s="12">
        <v>2</v>
      </c>
      <c r="O172" s="12" t="s">
        <v>171</v>
      </c>
      <c r="P172" s="12" t="s">
        <v>1578</v>
      </c>
      <c r="Q172" s="12" t="s">
        <v>30</v>
      </c>
    </row>
    <row r="173" spans="1:17" x14ac:dyDescent="0.2">
      <c r="A173" s="11">
        <v>45895</v>
      </c>
      <c r="B173" s="12" t="s">
        <v>4772</v>
      </c>
      <c r="C173" s="12"/>
      <c r="D173" s="12" t="s">
        <v>4773</v>
      </c>
      <c r="E173" s="12" t="s">
        <v>16</v>
      </c>
      <c r="F173" s="12" t="s">
        <v>17</v>
      </c>
      <c r="G173" s="13">
        <v>27000</v>
      </c>
      <c r="H173" s="13">
        <v>21000</v>
      </c>
      <c r="I173" s="12" t="s">
        <v>22</v>
      </c>
      <c r="J173" s="12" t="s">
        <v>22</v>
      </c>
      <c r="K173" s="12" t="s">
        <v>4774</v>
      </c>
      <c r="L173" s="12" t="s">
        <v>155</v>
      </c>
      <c r="M173" s="12" t="s">
        <v>97</v>
      </c>
      <c r="N173" s="12">
        <v>2</v>
      </c>
      <c r="O173" s="12" t="s">
        <v>116</v>
      </c>
      <c r="P173" s="12" t="s">
        <v>276</v>
      </c>
      <c r="Q173" s="12" t="s">
        <v>30</v>
      </c>
    </row>
    <row r="174" spans="1:17" x14ac:dyDescent="0.2">
      <c r="A174" s="11">
        <v>45880</v>
      </c>
      <c r="B174" s="12" t="s">
        <v>4068</v>
      </c>
      <c r="C174" s="12"/>
      <c r="D174" s="12" t="s">
        <v>4069</v>
      </c>
      <c r="E174" s="12" t="s">
        <v>16</v>
      </c>
      <c r="F174" s="12" t="s">
        <v>134</v>
      </c>
      <c r="G174" s="13">
        <v>21000</v>
      </c>
      <c r="H174" s="13">
        <v>21000</v>
      </c>
      <c r="I174" s="12" t="s">
        <v>22</v>
      </c>
      <c r="J174" s="12" t="s">
        <v>22</v>
      </c>
      <c r="K174" s="12" t="s">
        <v>1774</v>
      </c>
      <c r="L174" s="12" t="s">
        <v>1775</v>
      </c>
      <c r="M174" s="12" t="s">
        <v>97</v>
      </c>
      <c r="N174" s="12">
        <v>2</v>
      </c>
      <c r="O174" s="12" t="s">
        <v>130</v>
      </c>
      <c r="P174" s="12" t="s">
        <v>21</v>
      </c>
      <c r="Q174" s="12" t="s">
        <v>30</v>
      </c>
    </row>
    <row r="175" spans="1:17" x14ac:dyDescent="0.2">
      <c r="A175" s="11">
        <v>45852</v>
      </c>
      <c r="B175" s="12" t="s">
        <v>5614</v>
      </c>
      <c r="C175" s="12"/>
      <c r="D175" s="12" t="s">
        <v>5615</v>
      </c>
      <c r="E175" s="12" t="s">
        <v>16</v>
      </c>
      <c r="F175" s="12" t="s">
        <v>134</v>
      </c>
      <c r="G175" s="13">
        <v>25000</v>
      </c>
      <c r="H175" s="13">
        <v>21000</v>
      </c>
      <c r="I175" s="12" t="s">
        <v>22</v>
      </c>
      <c r="J175" s="12" t="s">
        <v>22</v>
      </c>
      <c r="K175" s="12" t="s">
        <v>5616</v>
      </c>
      <c r="L175" s="12" t="s">
        <v>5617</v>
      </c>
      <c r="M175" s="12" t="s">
        <v>97</v>
      </c>
      <c r="N175" s="12">
        <v>1</v>
      </c>
      <c r="O175" s="12" t="s">
        <v>171</v>
      </c>
      <c r="P175" s="12" t="s">
        <v>146</v>
      </c>
      <c r="Q175" s="12" t="s">
        <v>30</v>
      </c>
    </row>
    <row r="176" spans="1:17" x14ac:dyDescent="0.2">
      <c r="A176" s="11">
        <v>45840</v>
      </c>
      <c r="B176" s="12" t="s">
        <v>5819</v>
      </c>
      <c r="C176" s="12"/>
      <c r="D176" s="12" t="s">
        <v>5820</v>
      </c>
      <c r="E176" s="12" t="s">
        <v>16</v>
      </c>
      <c r="F176" s="12" t="s">
        <v>243</v>
      </c>
      <c r="G176" s="13">
        <v>22000</v>
      </c>
      <c r="H176" s="13">
        <v>21000</v>
      </c>
      <c r="I176" s="12" t="s">
        <v>22</v>
      </c>
      <c r="J176" s="12" t="s">
        <v>22</v>
      </c>
      <c r="K176" s="12" t="s">
        <v>5821</v>
      </c>
      <c r="L176" s="12" t="s">
        <v>1585</v>
      </c>
      <c r="M176" s="12" t="s">
        <v>97</v>
      </c>
      <c r="N176" s="12">
        <v>2</v>
      </c>
      <c r="O176" s="12" t="s">
        <v>367</v>
      </c>
      <c r="P176" s="12" t="s">
        <v>21</v>
      </c>
      <c r="Q176" s="12" t="s">
        <v>30</v>
      </c>
    </row>
    <row r="177" spans="1:17" x14ac:dyDescent="0.2">
      <c r="A177" s="11">
        <v>45744</v>
      </c>
      <c r="B177" s="12" t="s">
        <v>7529</v>
      </c>
      <c r="C177" s="12"/>
      <c r="D177" s="12" t="s">
        <v>7530</v>
      </c>
      <c r="E177" s="12" t="s">
        <v>16</v>
      </c>
      <c r="F177" s="12" t="s">
        <v>134</v>
      </c>
      <c r="G177" s="13">
        <v>24000</v>
      </c>
      <c r="H177" s="13">
        <v>21000</v>
      </c>
      <c r="I177" s="12" t="s">
        <v>22</v>
      </c>
      <c r="J177" s="12" t="s">
        <v>22</v>
      </c>
      <c r="K177" s="12" t="s">
        <v>7530</v>
      </c>
      <c r="L177" s="12" t="s">
        <v>7531</v>
      </c>
      <c r="M177" s="12" t="s">
        <v>97</v>
      </c>
      <c r="N177" s="12">
        <v>2</v>
      </c>
      <c r="O177" s="12" t="s">
        <v>171</v>
      </c>
      <c r="P177" s="12" t="s">
        <v>21</v>
      </c>
      <c r="Q177" s="12" t="s">
        <v>30</v>
      </c>
    </row>
    <row r="178" spans="1:17" x14ac:dyDescent="0.2">
      <c r="A178" s="11">
        <v>45699</v>
      </c>
      <c r="B178" s="12" t="s">
        <v>8106</v>
      </c>
      <c r="C178" s="12"/>
      <c r="D178" s="12" t="s">
        <v>8107</v>
      </c>
      <c r="E178" s="12" t="s">
        <v>16</v>
      </c>
      <c r="F178" s="12" t="s">
        <v>17</v>
      </c>
      <c r="G178" s="13">
        <v>23780</v>
      </c>
      <c r="H178" s="13">
        <v>21000</v>
      </c>
      <c r="I178" s="12" t="s">
        <v>22</v>
      </c>
      <c r="J178" s="12" t="s">
        <v>22</v>
      </c>
      <c r="K178" s="12" t="s">
        <v>8108</v>
      </c>
      <c r="L178" s="12" t="s">
        <v>8109</v>
      </c>
      <c r="M178" s="12" t="s">
        <v>97</v>
      </c>
      <c r="N178" s="12">
        <v>2</v>
      </c>
      <c r="O178" s="12" t="s">
        <v>142</v>
      </c>
      <c r="P178" s="12" t="s">
        <v>21</v>
      </c>
      <c r="Q178" s="12" t="s">
        <v>30</v>
      </c>
    </row>
    <row r="179" spans="1:17" x14ac:dyDescent="0.2">
      <c r="A179" s="11">
        <v>45834</v>
      </c>
      <c r="B179" s="12" t="s">
        <v>5989</v>
      </c>
      <c r="C179" s="12"/>
      <c r="D179" s="12" t="s">
        <v>5990</v>
      </c>
      <c r="E179" s="12" t="s">
        <v>16</v>
      </c>
      <c r="F179" s="12" t="s">
        <v>82</v>
      </c>
      <c r="G179" s="13">
        <v>22500</v>
      </c>
      <c r="H179" s="13">
        <v>21154</v>
      </c>
      <c r="I179" s="12" t="s">
        <v>22</v>
      </c>
      <c r="J179" s="12" t="s">
        <v>22</v>
      </c>
      <c r="K179" s="12"/>
      <c r="L179" s="12" t="s">
        <v>1898</v>
      </c>
      <c r="M179" s="12" t="s">
        <v>97</v>
      </c>
      <c r="N179" s="12">
        <v>2</v>
      </c>
      <c r="O179" s="12" t="s">
        <v>40</v>
      </c>
      <c r="P179" s="12" t="s">
        <v>21</v>
      </c>
      <c r="Q179" s="12" t="s">
        <v>30</v>
      </c>
    </row>
    <row r="180" spans="1:17" x14ac:dyDescent="0.2">
      <c r="A180" s="11">
        <v>45820</v>
      </c>
      <c r="B180" s="12" t="s">
        <v>6183</v>
      </c>
      <c r="C180" s="12"/>
      <c r="D180" s="12" t="s">
        <v>6184</v>
      </c>
      <c r="E180" s="12" t="s">
        <v>16</v>
      </c>
      <c r="F180" s="12" t="s">
        <v>134</v>
      </c>
      <c r="G180" s="13">
        <v>29000</v>
      </c>
      <c r="H180" s="13">
        <v>21500</v>
      </c>
      <c r="I180" s="12" t="s">
        <v>22</v>
      </c>
      <c r="J180" s="12" t="s">
        <v>22</v>
      </c>
      <c r="K180" s="12" t="s">
        <v>6185</v>
      </c>
      <c r="L180" s="12" t="s">
        <v>6186</v>
      </c>
      <c r="M180" s="12" t="s">
        <v>97</v>
      </c>
      <c r="N180" s="12">
        <v>2</v>
      </c>
      <c r="O180" s="12" t="s">
        <v>130</v>
      </c>
      <c r="P180" s="12" t="s">
        <v>41</v>
      </c>
      <c r="Q180" s="12" t="s">
        <v>30</v>
      </c>
    </row>
    <row r="181" spans="1:17" x14ac:dyDescent="0.2">
      <c r="A181" s="11">
        <v>45992</v>
      </c>
      <c r="B181" s="12" t="s">
        <v>2810</v>
      </c>
      <c r="C181" s="12"/>
      <c r="D181" s="12" t="s">
        <v>2810</v>
      </c>
      <c r="E181" s="12" t="s">
        <v>16</v>
      </c>
      <c r="F181" s="12" t="s">
        <v>17</v>
      </c>
      <c r="G181" s="13">
        <v>55000</v>
      </c>
      <c r="H181" s="13">
        <v>21650</v>
      </c>
      <c r="I181" s="12" t="s">
        <v>22</v>
      </c>
      <c r="J181" s="12" t="s">
        <v>22</v>
      </c>
      <c r="K181" s="12"/>
      <c r="L181" s="12" t="s">
        <v>355</v>
      </c>
      <c r="M181" s="12" t="s">
        <v>19</v>
      </c>
      <c r="N181" s="12">
        <v>1</v>
      </c>
      <c r="O181" s="12" t="s">
        <v>65</v>
      </c>
      <c r="P181" s="12" t="s">
        <v>131</v>
      </c>
      <c r="Q181" s="12" t="s">
        <v>30</v>
      </c>
    </row>
    <row r="182" spans="1:17" x14ac:dyDescent="0.2">
      <c r="A182" s="11">
        <v>46057</v>
      </c>
      <c r="B182" s="12" t="s">
        <v>1532</v>
      </c>
      <c r="C182" s="12"/>
      <c r="D182" s="12" t="s">
        <v>1533</v>
      </c>
      <c r="E182" s="12" t="s">
        <v>16</v>
      </c>
      <c r="F182" s="12" t="s">
        <v>243</v>
      </c>
      <c r="G182" s="13">
        <v>22500</v>
      </c>
      <c r="H182" s="13">
        <v>22000</v>
      </c>
      <c r="I182" s="12" t="s">
        <v>22</v>
      </c>
      <c r="J182" s="12" t="s">
        <v>22</v>
      </c>
      <c r="K182" s="12" t="s">
        <v>1534</v>
      </c>
      <c r="L182" s="12" t="s">
        <v>1535</v>
      </c>
      <c r="M182" s="12" t="s">
        <v>97</v>
      </c>
      <c r="N182" s="12">
        <v>2</v>
      </c>
      <c r="O182" s="12" t="s">
        <v>85</v>
      </c>
      <c r="P182" s="12" t="s">
        <v>21</v>
      </c>
      <c r="Q182" s="12" t="s">
        <v>30</v>
      </c>
    </row>
    <row r="183" spans="1:17" x14ac:dyDescent="0.2">
      <c r="A183" s="11">
        <v>45959</v>
      </c>
      <c r="B183" s="12">
        <v>10485</v>
      </c>
      <c r="C183" s="12"/>
      <c r="D183" s="12" t="s">
        <v>3446</v>
      </c>
      <c r="E183" s="12" t="s">
        <v>16</v>
      </c>
      <c r="F183" s="12" t="s">
        <v>17</v>
      </c>
      <c r="G183" s="13">
        <v>22000</v>
      </c>
      <c r="H183" s="13">
        <v>22000</v>
      </c>
      <c r="I183" s="12" t="s">
        <v>22</v>
      </c>
      <c r="J183" s="12" t="s">
        <v>22</v>
      </c>
      <c r="K183" s="12" t="s">
        <v>3447</v>
      </c>
      <c r="L183" s="12" t="s">
        <v>330</v>
      </c>
      <c r="M183" s="12" t="s">
        <v>188</v>
      </c>
      <c r="N183" s="12">
        <v>2</v>
      </c>
      <c r="O183" s="12" t="s">
        <v>103</v>
      </c>
      <c r="P183" s="12" t="s">
        <v>21</v>
      </c>
      <c r="Q183" s="12" t="s">
        <v>30</v>
      </c>
    </row>
    <row r="184" spans="1:17" x14ac:dyDescent="0.2">
      <c r="A184" s="11">
        <v>45952</v>
      </c>
      <c r="B184" s="12" t="s">
        <v>2853</v>
      </c>
      <c r="C184" s="12"/>
      <c r="D184" s="12" t="s">
        <v>2854</v>
      </c>
      <c r="E184" s="12" t="s">
        <v>16</v>
      </c>
      <c r="F184" s="12" t="s">
        <v>243</v>
      </c>
      <c r="G184" s="13">
        <v>31900</v>
      </c>
      <c r="H184" s="13">
        <v>22000</v>
      </c>
      <c r="I184" s="12" t="s">
        <v>22</v>
      </c>
      <c r="J184" s="12" t="s">
        <v>18</v>
      </c>
      <c r="K184" s="12" t="s">
        <v>2855</v>
      </c>
      <c r="L184" s="12" t="s">
        <v>851</v>
      </c>
      <c r="M184" s="12" t="s">
        <v>19</v>
      </c>
      <c r="N184" s="12">
        <v>2</v>
      </c>
      <c r="O184" s="12" t="s">
        <v>65</v>
      </c>
      <c r="P184" s="12" t="s">
        <v>21</v>
      </c>
      <c r="Q184" s="12" t="s">
        <v>30</v>
      </c>
    </row>
    <row r="185" spans="1:17" x14ac:dyDescent="0.2">
      <c r="A185" s="11">
        <v>45910</v>
      </c>
      <c r="B185" s="12" t="s">
        <v>4465</v>
      </c>
      <c r="C185" s="12"/>
      <c r="D185" s="12" t="s">
        <v>4466</v>
      </c>
      <c r="E185" s="12" t="s">
        <v>16</v>
      </c>
      <c r="F185" s="12" t="s">
        <v>38</v>
      </c>
      <c r="G185" s="13">
        <v>22000</v>
      </c>
      <c r="H185" s="13">
        <v>22000</v>
      </c>
      <c r="I185" s="12" t="s">
        <v>22</v>
      </c>
      <c r="J185" s="12" t="s">
        <v>22</v>
      </c>
      <c r="K185" s="12" t="s">
        <v>4467</v>
      </c>
      <c r="L185" s="12" t="s">
        <v>630</v>
      </c>
      <c r="M185" s="12" t="s">
        <v>97</v>
      </c>
      <c r="N185" s="12">
        <v>2</v>
      </c>
      <c r="O185" s="12" t="s">
        <v>246</v>
      </c>
      <c r="P185" s="12" t="s">
        <v>21</v>
      </c>
      <c r="Q185" s="12" t="s">
        <v>30</v>
      </c>
    </row>
    <row r="186" spans="1:17" x14ac:dyDescent="0.2">
      <c r="A186" s="11">
        <v>45882</v>
      </c>
      <c r="B186" s="12" t="s">
        <v>5016</v>
      </c>
      <c r="C186" s="12"/>
      <c r="D186" s="12" t="s">
        <v>5017</v>
      </c>
      <c r="E186" s="12" t="s">
        <v>16</v>
      </c>
      <c r="F186" s="12" t="s">
        <v>134</v>
      </c>
      <c r="G186" s="13">
        <v>22000</v>
      </c>
      <c r="H186" s="13">
        <v>22000</v>
      </c>
      <c r="I186" s="12" t="s">
        <v>22</v>
      </c>
      <c r="J186" s="12" t="s">
        <v>22</v>
      </c>
      <c r="K186" s="12" t="s">
        <v>5018</v>
      </c>
      <c r="L186" s="12" t="s">
        <v>129</v>
      </c>
      <c r="M186" s="12" t="s">
        <v>97</v>
      </c>
      <c r="N186" s="12">
        <v>2</v>
      </c>
      <c r="O186" s="12" t="s">
        <v>130</v>
      </c>
      <c r="P186" s="12" t="s">
        <v>41</v>
      </c>
      <c r="Q186" s="12" t="s">
        <v>30</v>
      </c>
    </row>
    <row r="187" spans="1:17" x14ac:dyDescent="0.2">
      <c r="A187" s="11">
        <v>45841</v>
      </c>
      <c r="B187" s="12" t="s">
        <v>5783</v>
      </c>
      <c r="C187" s="12"/>
      <c r="D187" s="12" t="s">
        <v>5784</v>
      </c>
      <c r="E187" s="12" t="s">
        <v>16</v>
      </c>
      <c r="F187" s="12" t="s">
        <v>47</v>
      </c>
      <c r="G187" s="13">
        <v>22000</v>
      </c>
      <c r="H187" s="13">
        <v>22000</v>
      </c>
      <c r="I187" s="12" t="s">
        <v>22</v>
      </c>
      <c r="J187" s="12" t="s">
        <v>22</v>
      </c>
      <c r="K187" s="12"/>
      <c r="L187" s="12" t="s">
        <v>1114</v>
      </c>
      <c r="M187" s="12" t="s">
        <v>97</v>
      </c>
      <c r="N187" s="12">
        <v>2</v>
      </c>
      <c r="O187" s="12" t="s">
        <v>359</v>
      </c>
      <c r="P187" s="12" t="s">
        <v>41</v>
      </c>
      <c r="Q187" s="12" t="s">
        <v>30</v>
      </c>
    </row>
    <row r="188" spans="1:17" x14ac:dyDescent="0.2">
      <c r="A188" s="11">
        <v>45736</v>
      </c>
      <c r="B188" s="12" t="s">
        <v>7680</v>
      </c>
      <c r="C188" s="12"/>
      <c r="D188" s="12" t="s">
        <v>7680</v>
      </c>
      <c r="E188" s="12" t="s">
        <v>16</v>
      </c>
      <c r="F188" s="12" t="s">
        <v>58</v>
      </c>
      <c r="G188" s="13">
        <v>22000</v>
      </c>
      <c r="H188" s="13">
        <v>22000</v>
      </c>
      <c r="I188" s="12" t="s">
        <v>22</v>
      </c>
      <c r="J188" s="12" t="s">
        <v>22</v>
      </c>
      <c r="K188" s="12" t="s">
        <v>7680</v>
      </c>
      <c r="L188" s="12" t="s">
        <v>7681</v>
      </c>
      <c r="M188" s="12" t="s">
        <v>97</v>
      </c>
      <c r="N188" s="12">
        <v>2</v>
      </c>
      <c r="O188" s="12" t="s">
        <v>35</v>
      </c>
      <c r="P188" s="12" t="s">
        <v>21</v>
      </c>
      <c r="Q188" s="12" t="s">
        <v>30</v>
      </c>
    </row>
    <row r="189" spans="1:17" x14ac:dyDescent="0.2">
      <c r="A189" s="11">
        <v>45686</v>
      </c>
      <c r="B189" s="12" t="s">
        <v>8253</v>
      </c>
      <c r="C189" s="12"/>
      <c r="D189" s="12" t="s">
        <v>8254</v>
      </c>
      <c r="E189" s="12" t="s">
        <v>16</v>
      </c>
      <c r="F189" s="12" t="s">
        <v>53</v>
      </c>
      <c r="G189" s="13">
        <v>24000</v>
      </c>
      <c r="H189" s="13">
        <v>22000</v>
      </c>
      <c r="I189" s="12" t="s">
        <v>22</v>
      </c>
      <c r="J189" s="12" t="s">
        <v>22</v>
      </c>
      <c r="K189" s="12" t="s">
        <v>8255</v>
      </c>
      <c r="L189" s="12" t="s">
        <v>909</v>
      </c>
      <c r="M189" s="12" t="s">
        <v>97</v>
      </c>
      <c r="N189" s="12">
        <v>2</v>
      </c>
      <c r="O189" s="12" t="s">
        <v>246</v>
      </c>
      <c r="P189" s="12" t="s">
        <v>21</v>
      </c>
      <c r="Q189" s="12" t="s">
        <v>30</v>
      </c>
    </row>
    <row r="190" spans="1:17" x14ac:dyDescent="0.2">
      <c r="A190" s="11">
        <v>45678</v>
      </c>
      <c r="B190" s="12" t="s">
        <v>8337</v>
      </c>
      <c r="C190" s="12"/>
      <c r="D190" s="12" t="s">
        <v>8317</v>
      </c>
      <c r="E190" s="12" t="s">
        <v>16</v>
      </c>
      <c r="F190" s="12" t="s">
        <v>17</v>
      </c>
      <c r="G190" s="13">
        <v>21999</v>
      </c>
      <c r="H190" s="13">
        <v>22000</v>
      </c>
      <c r="I190" s="12" t="s">
        <v>22</v>
      </c>
      <c r="J190" s="12" t="s">
        <v>22</v>
      </c>
      <c r="K190" s="12" t="s">
        <v>8318</v>
      </c>
      <c r="L190" s="12" t="s">
        <v>530</v>
      </c>
      <c r="M190" s="12" t="s">
        <v>97</v>
      </c>
      <c r="N190" s="12">
        <v>2</v>
      </c>
      <c r="O190" s="12" t="s">
        <v>1081</v>
      </c>
      <c r="P190" s="12" t="s">
        <v>36</v>
      </c>
      <c r="Q190" s="12" t="s">
        <v>30</v>
      </c>
    </row>
    <row r="191" spans="1:17" x14ac:dyDescent="0.2">
      <c r="A191" s="11">
        <v>45677</v>
      </c>
      <c r="B191" s="12"/>
      <c r="C191" s="12"/>
      <c r="D191" s="12" t="s">
        <v>8347</v>
      </c>
      <c r="E191" s="12" t="s">
        <v>16</v>
      </c>
      <c r="F191" s="12" t="s">
        <v>82</v>
      </c>
      <c r="G191" s="13">
        <v>22000</v>
      </c>
      <c r="H191" s="13">
        <v>22000</v>
      </c>
      <c r="I191" s="12" t="s">
        <v>22</v>
      </c>
      <c r="J191" s="12" t="s">
        <v>22</v>
      </c>
      <c r="K191" s="12"/>
      <c r="L191" s="12" t="s">
        <v>449</v>
      </c>
      <c r="M191" s="12" t="s">
        <v>97</v>
      </c>
      <c r="N191" s="12">
        <v>2</v>
      </c>
      <c r="O191" s="12" t="s">
        <v>367</v>
      </c>
      <c r="P191" s="12" t="s">
        <v>21</v>
      </c>
      <c r="Q191" s="12" t="s">
        <v>30</v>
      </c>
    </row>
    <row r="192" spans="1:17" x14ac:dyDescent="0.2">
      <c r="A192" s="11">
        <v>46065</v>
      </c>
      <c r="B192" s="12" t="s">
        <v>1354</v>
      </c>
      <c r="C192" s="12"/>
      <c r="D192" s="12" t="s">
        <v>1355</v>
      </c>
      <c r="E192" s="12" t="s">
        <v>16</v>
      </c>
      <c r="F192" s="12" t="s">
        <v>82</v>
      </c>
      <c r="G192" s="13">
        <v>23000</v>
      </c>
      <c r="H192" s="13">
        <v>22089</v>
      </c>
      <c r="I192" s="12" t="s">
        <v>22</v>
      </c>
      <c r="J192" s="12" t="s">
        <v>22</v>
      </c>
      <c r="K192" s="12" t="s">
        <v>1356</v>
      </c>
      <c r="L192" s="12" t="s">
        <v>1357</v>
      </c>
      <c r="M192" s="12" t="s">
        <v>97</v>
      </c>
      <c r="N192" s="12">
        <v>2</v>
      </c>
      <c r="O192" s="12" t="s">
        <v>85</v>
      </c>
      <c r="P192" s="12" t="s">
        <v>21</v>
      </c>
      <c r="Q192" s="12" t="s">
        <v>30</v>
      </c>
    </row>
    <row r="193" spans="1:17" x14ac:dyDescent="0.2">
      <c r="A193" s="11">
        <v>46111</v>
      </c>
      <c r="B193" s="12" t="s">
        <v>137</v>
      </c>
      <c r="C193" s="12"/>
      <c r="D193" s="12" t="s">
        <v>138</v>
      </c>
      <c r="E193" s="12" t="s">
        <v>16</v>
      </c>
      <c r="F193" s="12" t="s">
        <v>58</v>
      </c>
      <c r="G193" s="13">
        <v>750000</v>
      </c>
      <c r="H193" s="13">
        <v>22500</v>
      </c>
      <c r="I193" s="12" t="s">
        <v>22</v>
      </c>
      <c r="J193" s="12" t="s">
        <v>18</v>
      </c>
      <c r="K193" s="12" t="s">
        <v>139</v>
      </c>
      <c r="L193" s="12" t="s">
        <v>140</v>
      </c>
      <c r="M193" s="12" t="s">
        <v>19</v>
      </c>
      <c r="N193" s="12">
        <v>2</v>
      </c>
      <c r="O193" s="12" t="s">
        <v>50</v>
      </c>
      <c r="P193" s="12" t="s">
        <v>21</v>
      </c>
      <c r="Q193" s="12" t="s">
        <v>30</v>
      </c>
    </row>
    <row r="194" spans="1:17" x14ac:dyDescent="0.2">
      <c r="A194" s="11">
        <v>45748</v>
      </c>
      <c r="B194" s="12" t="s">
        <v>7467</v>
      </c>
      <c r="C194" s="12"/>
      <c r="D194" s="12" t="s">
        <v>7468</v>
      </c>
      <c r="E194" s="12" t="s">
        <v>16</v>
      </c>
      <c r="F194" s="12" t="s">
        <v>53</v>
      </c>
      <c r="G194" s="13">
        <v>25000</v>
      </c>
      <c r="H194" s="13">
        <v>22500</v>
      </c>
      <c r="I194" s="12" t="s">
        <v>22</v>
      </c>
      <c r="J194" s="12" t="s">
        <v>22</v>
      </c>
      <c r="K194" s="12" t="s">
        <v>7469</v>
      </c>
      <c r="L194" s="12" t="s">
        <v>1016</v>
      </c>
      <c r="M194" s="12" t="s">
        <v>97</v>
      </c>
      <c r="N194" s="12">
        <v>2</v>
      </c>
      <c r="O194" s="12" t="s">
        <v>367</v>
      </c>
      <c r="P194" s="12" t="s">
        <v>21</v>
      </c>
      <c r="Q194" s="12" t="s">
        <v>30</v>
      </c>
    </row>
    <row r="195" spans="1:17" x14ac:dyDescent="0.2">
      <c r="A195" s="11">
        <v>46076</v>
      </c>
      <c r="B195" s="12" t="s">
        <v>1152</v>
      </c>
      <c r="C195" s="12"/>
      <c r="D195" s="12" t="s">
        <v>1153</v>
      </c>
      <c r="E195" s="12" t="s">
        <v>16</v>
      </c>
      <c r="F195" s="12" t="s">
        <v>17</v>
      </c>
      <c r="G195" s="13">
        <v>26000</v>
      </c>
      <c r="H195" s="13">
        <v>23000</v>
      </c>
      <c r="I195" s="12" t="s">
        <v>22</v>
      </c>
      <c r="J195" s="12" t="s">
        <v>22</v>
      </c>
      <c r="K195" s="12" t="s">
        <v>1154</v>
      </c>
      <c r="L195" s="12" t="s">
        <v>221</v>
      </c>
      <c r="M195" s="12" t="s">
        <v>13</v>
      </c>
      <c r="N195" s="12">
        <v>2</v>
      </c>
      <c r="O195" s="12" t="s">
        <v>35</v>
      </c>
      <c r="P195" s="12" t="s">
        <v>21</v>
      </c>
      <c r="Q195" s="12" t="s">
        <v>30</v>
      </c>
    </row>
    <row r="196" spans="1:17" x14ac:dyDescent="0.2">
      <c r="A196" s="11">
        <v>46073</v>
      </c>
      <c r="B196" s="12" t="s">
        <v>1202</v>
      </c>
      <c r="C196" s="12"/>
      <c r="D196" s="12" t="s">
        <v>1203</v>
      </c>
      <c r="E196" s="12" t="s">
        <v>16</v>
      </c>
      <c r="F196" s="12" t="s">
        <v>17</v>
      </c>
      <c r="G196" s="13">
        <v>23000</v>
      </c>
      <c r="H196" s="13">
        <v>23000</v>
      </c>
      <c r="I196" s="12" t="s">
        <v>22</v>
      </c>
      <c r="J196" s="12" t="s">
        <v>22</v>
      </c>
      <c r="K196" s="12" t="s">
        <v>1204</v>
      </c>
      <c r="L196" s="12" t="s">
        <v>1205</v>
      </c>
      <c r="M196" s="12" t="s">
        <v>97</v>
      </c>
      <c r="N196" s="12">
        <v>2</v>
      </c>
      <c r="O196" s="12" t="s">
        <v>781</v>
      </c>
      <c r="P196" s="12" t="s">
        <v>21</v>
      </c>
      <c r="Q196" s="12" t="s">
        <v>30</v>
      </c>
    </row>
    <row r="197" spans="1:17" x14ac:dyDescent="0.2">
      <c r="A197" s="11">
        <v>46045</v>
      </c>
      <c r="B197" s="12" t="s">
        <v>1744</v>
      </c>
      <c r="C197" s="12"/>
      <c r="D197" s="12" t="s">
        <v>1745</v>
      </c>
      <c r="E197" s="12" t="s">
        <v>16</v>
      </c>
      <c r="F197" s="12" t="s">
        <v>17</v>
      </c>
      <c r="G197" s="13">
        <v>29000</v>
      </c>
      <c r="H197" s="13">
        <v>23000</v>
      </c>
      <c r="I197" s="12" t="s">
        <v>22</v>
      </c>
      <c r="J197" s="12" t="s">
        <v>22</v>
      </c>
      <c r="K197" s="12" t="s">
        <v>1746</v>
      </c>
      <c r="L197" s="12" t="s">
        <v>1747</v>
      </c>
      <c r="M197" s="12" t="s">
        <v>28</v>
      </c>
      <c r="N197" s="12">
        <v>2</v>
      </c>
      <c r="O197" s="12" t="s">
        <v>227</v>
      </c>
      <c r="P197" s="12" t="s">
        <v>21</v>
      </c>
      <c r="Q197" s="12" t="s">
        <v>30</v>
      </c>
    </row>
    <row r="198" spans="1:17" x14ac:dyDescent="0.2">
      <c r="A198" s="11">
        <v>45813</v>
      </c>
      <c r="B198" s="12" t="s">
        <v>6322</v>
      </c>
      <c r="C198" s="12"/>
      <c r="D198" s="12" t="s">
        <v>6323</v>
      </c>
      <c r="E198" s="12" t="s">
        <v>16</v>
      </c>
      <c r="F198" s="12" t="s">
        <v>82</v>
      </c>
      <c r="G198" s="13">
        <v>25000</v>
      </c>
      <c r="H198" s="13">
        <v>23333</v>
      </c>
      <c r="I198" s="12" t="s">
        <v>22</v>
      </c>
      <c r="J198" s="12" t="s">
        <v>22</v>
      </c>
      <c r="K198" s="12" t="s">
        <v>6324</v>
      </c>
      <c r="L198" s="12" t="s">
        <v>3123</v>
      </c>
      <c r="M198" s="12" t="s">
        <v>97</v>
      </c>
      <c r="N198" s="12">
        <v>2</v>
      </c>
      <c r="O198" s="12" t="s">
        <v>65</v>
      </c>
      <c r="P198" s="12" t="s">
        <v>21</v>
      </c>
      <c r="Q198" s="12" t="s">
        <v>30</v>
      </c>
    </row>
    <row r="199" spans="1:17" x14ac:dyDescent="0.2">
      <c r="A199" s="11">
        <v>45994</v>
      </c>
      <c r="B199" s="12" t="s">
        <v>2671</v>
      </c>
      <c r="C199" s="12"/>
      <c r="D199" s="12" t="s">
        <v>2672</v>
      </c>
      <c r="E199" s="12" t="s">
        <v>16</v>
      </c>
      <c r="F199" s="12" t="s">
        <v>243</v>
      </c>
      <c r="G199" s="13">
        <v>24000</v>
      </c>
      <c r="H199" s="13">
        <v>23500</v>
      </c>
      <c r="I199" s="12" t="s">
        <v>22</v>
      </c>
      <c r="J199" s="12" t="s">
        <v>22</v>
      </c>
      <c r="K199" s="12" t="s">
        <v>2673</v>
      </c>
      <c r="L199" s="12" t="s">
        <v>630</v>
      </c>
      <c r="M199" s="12" t="s">
        <v>97</v>
      </c>
      <c r="N199" s="12">
        <v>2</v>
      </c>
      <c r="O199" s="12" t="s">
        <v>246</v>
      </c>
      <c r="P199" s="12" t="s">
        <v>21</v>
      </c>
      <c r="Q199" s="12" t="s">
        <v>30</v>
      </c>
    </row>
    <row r="200" spans="1:17" x14ac:dyDescent="0.2">
      <c r="A200" s="11">
        <v>45992</v>
      </c>
      <c r="B200" s="12" t="s">
        <v>2856</v>
      </c>
      <c r="C200" s="12"/>
      <c r="D200" s="12" t="s">
        <v>2857</v>
      </c>
      <c r="E200" s="12" t="s">
        <v>16</v>
      </c>
      <c r="F200" s="12" t="s">
        <v>17</v>
      </c>
      <c r="G200" s="13">
        <v>48000</v>
      </c>
      <c r="H200" s="13">
        <v>23970</v>
      </c>
      <c r="I200" s="12" t="s">
        <v>22</v>
      </c>
      <c r="J200" s="12" t="s">
        <v>22</v>
      </c>
      <c r="K200" s="12" t="s">
        <v>2858</v>
      </c>
      <c r="L200" s="12" t="s">
        <v>419</v>
      </c>
      <c r="M200" s="12" t="s">
        <v>28</v>
      </c>
      <c r="N200" s="12">
        <v>1</v>
      </c>
      <c r="O200" s="12" t="s">
        <v>65</v>
      </c>
      <c r="P200" s="12" t="s">
        <v>131</v>
      </c>
      <c r="Q200" s="12" t="s">
        <v>30</v>
      </c>
    </row>
    <row r="201" spans="1:17" x14ac:dyDescent="0.2">
      <c r="A201" s="11">
        <v>46101</v>
      </c>
      <c r="B201" s="12" t="s">
        <v>439</v>
      </c>
      <c r="C201" s="12"/>
      <c r="D201" s="12" t="s">
        <v>440</v>
      </c>
      <c r="E201" s="12" t="s">
        <v>16</v>
      </c>
      <c r="F201" s="12" t="s">
        <v>47</v>
      </c>
      <c r="G201" s="13">
        <v>25000</v>
      </c>
      <c r="H201" s="13">
        <v>24000</v>
      </c>
      <c r="I201" s="12" t="s">
        <v>22</v>
      </c>
      <c r="J201" s="12" t="s">
        <v>22</v>
      </c>
      <c r="K201" s="12"/>
      <c r="L201" s="12" t="s">
        <v>441</v>
      </c>
      <c r="M201" s="12" t="s">
        <v>97</v>
      </c>
      <c r="N201" s="12">
        <v>2</v>
      </c>
      <c r="O201" s="12" t="s">
        <v>40</v>
      </c>
      <c r="P201" s="12" t="s">
        <v>21</v>
      </c>
      <c r="Q201" s="12" t="s">
        <v>30</v>
      </c>
    </row>
    <row r="202" spans="1:17" x14ac:dyDescent="0.2">
      <c r="A202" s="11">
        <v>46056</v>
      </c>
      <c r="B202" s="12" t="s">
        <v>1556</v>
      </c>
      <c r="C202" s="12"/>
      <c r="D202" s="12" t="s">
        <v>1557</v>
      </c>
      <c r="E202" s="12" t="s">
        <v>16</v>
      </c>
      <c r="F202" s="12" t="s">
        <v>82</v>
      </c>
      <c r="G202" s="13">
        <v>30000</v>
      </c>
      <c r="H202" s="13">
        <v>24000</v>
      </c>
      <c r="I202" s="12" t="s">
        <v>22</v>
      </c>
      <c r="J202" s="12" t="s">
        <v>22</v>
      </c>
      <c r="K202" s="12" t="s">
        <v>1558</v>
      </c>
      <c r="L202" s="12" t="s">
        <v>54</v>
      </c>
      <c r="M202" s="12" t="s">
        <v>188</v>
      </c>
      <c r="N202" s="12">
        <v>2</v>
      </c>
      <c r="O202" s="12" t="s">
        <v>55</v>
      </c>
      <c r="P202" s="12" t="s">
        <v>41</v>
      </c>
      <c r="Q202" s="12" t="s">
        <v>30</v>
      </c>
    </row>
    <row r="203" spans="1:17" x14ac:dyDescent="0.2">
      <c r="A203" s="11">
        <v>46029</v>
      </c>
      <c r="B203" s="12" t="s">
        <v>2069</v>
      </c>
      <c r="C203" s="12"/>
      <c r="D203" s="12" t="s">
        <v>2070</v>
      </c>
      <c r="E203" s="12" t="s">
        <v>16</v>
      </c>
      <c r="F203" s="12" t="s">
        <v>17</v>
      </c>
      <c r="G203" s="13">
        <v>25000</v>
      </c>
      <c r="H203" s="13">
        <v>24000</v>
      </c>
      <c r="I203" s="12" t="s">
        <v>22</v>
      </c>
      <c r="J203" s="12" t="s">
        <v>22</v>
      </c>
      <c r="K203" s="12" t="s">
        <v>2071</v>
      </c>
      <c r="L203" s="12" t="s">
        <v>2072</v>
      </c>
      <c r="M203" s="12" t="s">
        <v>97</v>
      </c>
      <c r="N203" s="12">
        <v>2</v>
      </c>
      <c r="O203" s="12" t="s">
        <v>65</v>
      </c>
      <c r="P203" s="12" t="s">
        <v>21</v>
      </c>
      <c r="Q203" s="12" t="s">
        <v>30</v>
      </c>
    </row>
    <row r="204" spans="1:17" x14ac:dyDescent="0.2">
      <c r="A204" s="11">
        <v>45943</v>
      </c>
      <c r="B204" s="12" t="s">
        <v>3839</v>
      </c>
      <c r="C204" s="12"/>
      <c r="D204" s="12" t="s">
        <v>3840</v>
      </c>
      <c r="E204" s="12" t="s">
        <v>16</v>
      </c>
      <c r="F204" s="12" t="s">
        <v>17</v>
      </c>
      <c r="G204" s="13">
        <v>11000</v>
      </c>
      <c r="H204" s="13">
        <v>24000</v>
      </c>
      <c r="I204" s="12" t="s">
        <v>22</v>
      </c>
      <c r="J204" s="12" t="s">
        <v>22</v>
      </c>
      <c r="K204" s="12" t="s">
        <v>3841</v>
      </c>
      <c r="L204" s="12" t="s">
        <v>3842</v>
      </c>
      <c r="M204" s="12" t="s">
        <v>97</v>
      </c>
      <c r="N204" s="12">
        <v>2</v>
      </c>
      <c r="O204" s="12" t="s">
        <v>227</v>
      </c>
      <c r="P204" s="12" t="s">
        <v>21</v>
      </c>
      <c r="Q204" s="12" t="s">
        <v>30</v>
      </c>
    </row>
    <row r="205" spans="1:17" x14ac:dyDescent="0.2">
      <c r="A205" s="11">
        <v>45838</v>
      </c>
      <c r="B205" s="12" t="s">
        <v>5883</v>
      </c>
      <c r="C205" s="12"/>
      <c r="D205" s="12" t="s">
        <v>5884</v>
      </c>
      <c r="E205" s="12" t="s">
        <v>16</v>
      </c>
      <c r="F205" s="12" t="s">
        <v>17</v>
      </c>
      <c r="G205" s="13">
        <v>24000</v>
      </c>
      <c r="H205" s="13">
        <v>24000</v>
      </c>
      <c r="I205" s="12" t="s">
        <v>22</v>
      </c>
      <c r="J205" s="12" t="s">
        <v>22</v>
      </c>
      <c r="K205" s="12"/>
      <c r="L205" s="12" t="s">
        <v>1827</v>
      </c>
      <c r="M205" s="12" t="s">
        <v>97</v>
      </c>
      <c r="N205" s="12">
        <v>2</v>
      </c>
      <c r="O205" s="12" t="s">
        <v>151</v>
      </c>
      <c r="P205" s="12" t="s">
        <v>21</v>
      </c>
      <c r="Q205" s="12" t="s">
        <v>30</v>
      </c>
    </row>
    <row r="206" spans="1:17" x14ac:dyDescent="0.2">
      <c r="A206" s="11">
        <v>45800</v>
      </c>
      <c r="B206" s="12" t="s">
        <v>6549</v>
      </c>
      <c r="C206" s="12"/>
      <c r="D206" s="12" t="s">
        <v>6549</v>
      </c>
      <c r="E206" s="12" t="s">
        <v>16</v>
      </c>
      <c r="F206" s="12" t="s">
        <v>17</v>
      </c>
      <c r="G206" s="13">
        <v>24000</v>
      </c>
      <c r="H206" s="13">
        <v>24000</v>
      </c>
      <c r="I206" s="12" t="s">
        <v>22</v>
      </c>
      <c r="J206" s="12" t="s">
        <v>22</v>
      </c>
      <c r="K206" s="12"/>
      <c r="L206" s="12" t="s">
        <v>189</v>
      </c>
      <c r="M206" s="12" t="s">
        <v>97</v>
      </c>
      <c r="N206" s="12">
        <v>1</v>
      </c>
      <c r="O206" s="12" t="s">
        <v>151</v>
      </c>
      <c r="P206" s="12" t="s">
        <v>146</v>
      </c>
      <c r="Q206" s="12" t="s">
        <v>30</v>
      </c>
    </row>
    <row r="207" spans="1:17" x14ac:dyDescent="0.2">
      <c r="A207" s="11">
        <v>45790</v>
      </c>
      <c r="B207" s="12" t="s">
        <v>6782</v>
      </c>
      <c r="C207" s="12"/>
      <c r="D207" s="12" t="s">
        <v>6783</v>
      </c>
      <c r="E207" s="12" t="s">
        <v>16</v>
      </c>
      <c r="F207" s="12" t="s">
        <v>47</v>
      </c>
      <c r="G207" s="13">
        <v>24000</v>
      </c>
      <c r="H207" s="13">
        <v>24000</v>
      </c>
      <c r="I207" s="12" t="s">
        <v>22</v>
      </c>
      <c r="J207" s="12" t="s">
        <v>22</v>
      </c>
      <c r="K207" s="12"/>
      <c r="L207" s="12" t="s">
        <v>1114</v>
      </c>
      <c r="M207" s="12" t="s">
        <v>97</v>
      </c>
      <c r="N207" s="12">
        <v>2</v>
      </c>
      <c r="O207" s="12" t="s">
        <v>359</v>
      </c>
      <c r="P207" s="12" t="s">
        <v>21</v>
      </c>
      <c r="Q207" s="12" t="s">
        <v>30</v>
      </c>
    </row>
    <row r="208" spans="1:17" x14ac:dyDescent="0.2">
      <c r="A208" s="11">
        <v>45761</v>
      </c>
      <c r="B208" s="12" t="s">
        <v>7294</v>
      </c>
      <c r="C208" s="12"/>
      <c r="D208" s="12" t="s">
        <v>7295</v>
      </c>
      <c r="E208" s="12" t="s">
        <v>16</v>
      </c>
      <c r="F208" s="12" t="s">
        <v>17</v>
      </c>
      <c r="G208" s="13">
        <v>24500</v>
      </c>
      <c r="H208" s="13">
        <v>24000</v>
      </c>
      <c r="I208" s="12" t="s">
        <v>22</v>
      </c>
      <c r="J208" s="12" t="s">
        <v>22</v>
      </c>
      <c r="K208" s="12" t="s">
        <v>7296</v>
      </c>
      <c r="L208" s="12" t="s">
        <v>2068</v>
      </c>
      <c r="M208" s="12" t="s">
        <v>97</v>
      </c>
      <c r="N208" s="12">
        <v>2</v>
      </c>
      <c r="O208" s="12" t="s">
        <v>151</v>
      </c>
      <c r="P208" s="12" t="s">
        <v>21</v>
      </c>
      <c r="Q208" s="12" t="s">
        <v>30</v>
      </c>
    </row>
    <row r="209" spans="1:17" x14ac:dyDescent="0.2">
      <c r="A209" s="11">
        <v>45855</v>
      </c>
      <c r="B209" s="12" t="s">
        <v>5527</v>
      </c>
      <c r="C209" s="12"/>
      <c r="D209" s="12" t="s">
        <v>5528</v>
      </c>
      <c r="E209" s="12" t="s">
        <v>16</v>
      </c>
      <c r="F209" s="12" t="s">
        <v>243</v>
      </c>
      <c r="G209" s="13">
        <v>26000</v>
      </c>
      <c r="H209" s="13">
        <v>24500</v>
      </c>
      <c r="I209" s="12" t="s">
        <v>22</v>
      </c>
      <c r="J209" s="12" t="s">
        <v>22</v>
      </c>
      <c r="K209" s="12" t="s">
        <v>5529</v>
      </c>
      <c r="L209" s="12" t="s">
        <v>426</v>
      </c>
      <c r="M209" s="12" t="s">
        <v>97</v>
      </c>
      <c r="N209" s="12">
        <v>2</v>
      </c>
      <c r="O209" s="12" t="s">
        <v>246</v>
      </c>
      <c r="P209" s="12" t="s">
        <v>21</v>
      </c>
      <c r="Q209" s="12" t="s">
        <v>30</v>
      </c>
    </row>
    <row r="210" spans="1:17" x14ac:dyDescent="0.2">
      <c r="A210" s="11">
        <v>45825</v>
      </c>
      <c r="B210" s="12"/>
      <c r="C210" s="12"/>
      <c r="D210" s="12" t="s">
        <v>6127</v>
      </c>
      <c r="E210" s="12" t="s">
        <v>16</v>
      </c>
      <c r="F210" s="12" t="s">
        <v>38</v>
      </c>
      <c r="G210" s="13">
        <v>24800</v>
      </c>
      <c r="H210" s="13">
        <v>24800</v>
      </c>
      <c r="I210" s="12" t="s">
        <v>22</v>
      </c>
      <c r="J210" s="12" t="s">
        <v>22</v>
      </c>
      <c r="K210" s="12" t="s">
        <v>6128</v>
      </c>
      <c r="L210" s="12" t="s">
        <v>2997</v>
      </c>
      <c r="M210" s="12" t="s">
        <v>97</v>
      </c>
      <c r="N210" s="12">
        <v>1</v>
      </c>
      <c r="O210" s="12" t="s">
        <v>367</v>
      </c>
      <c r="P210" s="12" t="s">
        <v>131</v>
      </c>
      <c r="Q210" s="12" t="s">
        <v>30</v>
      </c>
    </row>
    <row r="211" spans="1:17" x14ac:dyDescent="0.2">
      <c r="A211" s="11">
        <v>45825</v>
      </c>
      <c r="B211" s="12"/>
      <c r="C211" s="12"/>
      <c r="D211" s="12" t="s">
        <v>6129</v>
      </c>
      <c r="E211" s="12" t="s">
        <v>16</v>
      </c>
      <c r="F211" s="12" t="s">
        <v>82</v>
      </c>
      <c r="G211" s="13">
        <v>24800</v>
      </c>
      <c r="H211" s="13">
        <v>24800</v>
      </c>
      <c r="I211" s="12" t="s">
        <v>22</v>
      </c>
      <c r="J211" s="12" t="s">
        <v>22</v>
      </c>
      <c r="K211" s="12"/>
      <c r="L211" s="12" t="s">
        <v>2997</v>
      </c>
      <c r="M211" s="12" t="s">
        <v>97</v>
      </c>
      <c r="N211" s="12">
        <v>1</v>
      </c>
      <c r="O211" s="12" t="s">
        <v>367</v>
      </c>
      <c r="P211" s="12" t="s">
        <v>131</v>
      </c>
      <c r="Q211" s="12" t="s">
        <v>30</v>
      </c>
    </row>
    <row r="212" spans="1:17" x14ac:dyDescent="0.2">
      <c r="A212" s="11">
        <v>46035</v>
      </c>
      <c r="B212" s="12"/>
      <c r="C212" s="12"/>
      <c r="D212" s="12" t="s">
        <v>1971</v>
      </c>
      <c r="E212" s="12" t="s">
        <v>16</v>
      </c>
      <c r="F212" s="12" t="s">
        <v>82</v>
      </c>
      <c r="G212" s="13">
        <v>25000</v>
      </c>
      <c r="H212" s="13">
        <v>25000</v>
      </c>
      <c r="I212" s="12" t="s">
        <v>22</v>
      </c>
      <c r="J212" s="12" t="s">
        <v>22</v>
      </c>
      <c r="K212" s="12"/>
      <c r="L212" s="12" t="s">
        <v>449</v>
      </c>
      <c r="M212" s="12" t="s">
        <v>97</v>
      </c>
      <c r="N212" s="12">
        <v>1</v>
      </c>
      <c r="O212" s="12" t="s">
        <v>367</v>
      </c>
      <c r="P212" s="12" t="s">
        <v>131</v>
      </c>
      <c r="Q212" s="12" t="s">
        <v>30</v>
      </c>
    </row>
    <row r="213" spans="1:17" x14ac:dyDescent="0.2">
      <c r="A213" s="11">
        <v>46029</v>
      </c>
      <c r="B213" s="12" t="s">
        <v>2078</v>
      </c>
      <c r="C213" s="12"/>
      <c r="D213" s="12" t="s">
        <v>2079</v>
      </c>
      <c r="E213" s="12" t="s">
        <v>16</v>
      </c>
      <c r="F213" s="12" t="s">
        <v>17</v>
      </c>
      <c r="G213" s="13">
        <v>36000</v>
      </c>
      <c r="H213" s="13">
        <v>25000</v>
      </c>
      <c r="I213" s="12" t="s">
        <v>22</v>
      </c>
      <c r="J213" s="12" t="s">
        <v>22</v>
      </c>
      <c r="K213" s="12" t="s">
        <v>2080</v>
      </c>
      <c r="L213" s="12" t="s">
        <v>2081</v>
      </c>
      <c r="M213" s="12" t="s">
        <v>72</v>
      </c>
      <c r="N213" s="12">
        <v>2</v>
      </c>
      <c r="O213" s="12" t="s">
        <v>1081</v>
      </c>
      <c r="P213" s="12" t="s">
        <v>276</v>
      </c>
      <c r="Q213" s="12" t="s">
        <v>30</v>
      </c>
    </row>
    <row r="214" spans="1:17" x14ac:dyDescent="0.2">
      <c r="A214" s="11">
        <v>46013</v>
      </c>
      <c r="B214" s="12" t="s">
        <v>2267</v>
      </c>
      <c r="C214" s="12"/>
      <c r="D214" s="12" t="s">
        <v>2268</v>
      </c>
      <c r="E214" s="12" t="s">
        <v>16</v>
      </c>
      <c r="F214" s="12" t="s">
        <v>17</v>
      </c>
      <c r="G214" s="13">
        <v>27000</v>
      </c>
      <c r="H214" s="13">
        <v>25000</v>
      </c>
      <c r="I214" s="12" t="s">
        <v>22</v>
      </c>
      <c r="J214" s="12" t="s">
        <v>22</v>
      </c>
      <c r="K214" s="12" t="s">
        <v>2269</v>
      </c>
      <c r="L214" s="12" t="s">
        <v>71</v>
      </c>
      <c r="M214" s="12" t="s">
        <v>19</v>
      </c>
      <c r="N214" s="12">
        <v>2</v>
      </c>
      <c r="O214" s="12" t="s">
        <v>73</v>
      </c>
      <c r="P214" s="12" t="s">
        <v>21</v>
      </c>
      <c r="Q214" s="12" t="s">
        <v>30</v>
      </c>
    </row>
    <row r="215" spans="1:17" x14ac:dyDescent="0.2">
      <c r="A215" s="11">
        <v>45992</v>
      </c>
      <c r="B215" s="12" t="s">
        <v>2794</v>
      </c>
      <c r="C215" s="12"/>
      <c r="D215" s="12" t="s">
        <v>2795</v>
      </c>
      <c r="E215" s="12" t="s">
        <v>16</v>
      </c>
      <c r="F215" s="12" t="s">
        <v>17</v>
      </c>
      <c r="G215" s="13">
        <v>26500</v>
      </c>
      <c r="H215" s="13">
        <v>25000</v>
      </c>
      <c r="I215" s="12" t="s">
        <v>22</v>
      </c>
      <c r="J215" s="12" t="s">
        <v>22</v>
      </c>
      <c r="K215" s="12" t="s">
        <v>2796</v>
      </c>
      <c r="L215" s="12" t="s">
        <v>2797</v>
      </c>
      <c r="M215" s="12" t="s">
        <v>97</v>
      </c>
      <c r="N215" s="12">
        <v>2</v>
      </c>
      <c r="O215" s="12" t="s">
        <v>65</v>
      </c>
      <c r="P215" s="12" t="s">
        <v>21</v>
      </c>
      <c r="Q215" s="12" t="s">
        <v>30</v>
      </c>
    </row>
    <row r="216" spans="1:17" x14ac:dyDescent="0.2">
      <c r="A216" s="11">
        <v>45992</v>
      </c>
      <c r="B216" s="12" t="s">
        <v>2865</v>
      </c>
      <c r="C216" s="12"/>
      <c r="D216" s="12" t="s">
        <v>2866</v>
      </c>
      <c r="E216" s="12" t="s">
        <v>16</v>
      </c>
      <c r="F216" s="12" t="s">
        <v>17</v>
      </c>
      <c r="G216" s="13">
        <v>25000</v>
      </c>
      <c r="H216" s="13">
        <v>25000</v>
      </c>
      <c r="I216" s="12" t="s">
        <v>22</v>
      </c>
      <c r="J216" s="12" t="s">
        <v>22</v>
      </c>
      <c r="K216" s="12" t="s">
        <v>2867</v>
      </c>
      <c r="L216" s="12" t="s">
        <v>233</v>
      </c>
      <c r="M216" s="12" t="s">
        <v>97</v>
      </c>
      <c r="N216" s="12">
        <v>2</v>
      </c>
      <c r="O216" s="12" t="s">
        <v>65</v>
      </c>
      <c r="P216" s="12" t="s">
        <v>21</v>
      </c>
      <c r="Q216" s="12" t="s">
        <v>30</v>
      </c>
    </row>
    <row r="217" spans="1:17" x14ac:dyDescent="0.2">
      <c r="A217" s="11">
        <v>45951</v>
      </c>
      <c r="B217" s="12" t="s">
        <v>3631</v>
      </c>
      <c r="C217" s="12"/>
      <c r="D217" s="12" t="s">
        <v>3632</v>
      </c>
      <c r="E217" s="12" t="s">
        <v>16</v>
      </c>
      <c r="F217" s="12" t="s">
        <v>243</v>
      </c>
      <c r="G217" s="13">
        <v>26000</v>
      </c>
      <c r="H217" s="13">
        <v>25000</v>
      </c>
      <c r="I217" s="12" t="s">
        <v>22</v>
      </c>
      <c r="J217" s="12" t="s">
        <v>22</v>
      </c>
      <c r="K217" s="12" t="s">
        <v>3633</v>
      </c>
      <c r="L217" s="12" t="s">
        <v>1827</v>
      </c>
      <c r="M217" s="12" t="s">
        <v>97</v>
      </c>
      <c r="N217" s="12">
        <v>2</v>
      </c>
      <c r="O217" s="12" t="s">
        <v>151</v>
      </c>
      <c r="P217" s="12" t="s">
        <v>21</v>
      </c>
      <c r="Q217" s="12" t="s">
        <v>30</v>
      </c>
    </row>
    <row r="218" spans="1:17" x14ac:dyDescent="0.2">
      <c r="A218" s="11">
        <v>45911</v>
      </c>
      <c r="B218" s="12" t="s">
        <v>4435</v>
      </c>
      <c r="C218" s="12"/>
      <c r="D218" s="12" t="s">
        <v>4436</v>
      </c>
      <c r="E218" s="12" t="s">
        <v>16</v>
      </c>
      <c r="F218" s="12" t="s">
        <v>38</v>
      </c>
      <c r="G218" s="13">
        <v>25000</v>
      </c>
      <c r="H218" s="13">
        <v>25000</v>
      </c>
      <c r="I218" s="12" t="s">
        <v>22</v>
      </c>
      <c r="J218" s="12" t="s">
        <v>22</v>
      </c>
      <c r="K218" s="12" t="s">
        <v>4437</v>
      </c>
      <c r="L218" s="12" t="s">
        <v>2693</v>
      </c>
      <c r="M218" s="12" t="s">
        <v>97</v>
      </c>
      <c r="N218" s="12">
        <v>2</v>
      </c>
      <c r="O218" s="12" t="s">
        <v>246</v>
      </c>
      <c r="P218" s="12" t="s">
        <v>21</v>
      </c>
      <c r="Q218" s="12" t="s">
        <v>30</v>
      </c>
    </row>
    <row r="219" spans="1:17" x14ac:dyDescent="0.2">
      <c r="A219" s="11">
        <v>45869</v>
      </c>
      <c r="B219" s="12" t="s">
        <v>5273</v>
      </c>
      <c r="C219" s="12"/>
      <c r="D219" s="12" t="s">
        <v>5274</v>
      </c>
      <c r="E219" s="12" t="s">
        <v>16</v>
      </c>
      <c r="F219" s="12" t="s">
        <v>17</v>
      </c>
      <c r="G219" s="13">
        <v>30000</v>
      </c>
      <c r="H219" s="13">
        <v>25000</v>
      </c>
      <c r="I219" s="12" t="s">
        <v>22</v>
      </c>
      <c r="J219" s="12" t="s">
        <v>22</v>
      </c>
      <c r="K219" s="12" t="s">
        <v>5275</v>
      </c>
      <c r="L219" s="12" t="s">
        <v>5276</v>
      </c>
      <c r="M219" s="12" t="s">
        <v>97</v>
      </c>
      <c r="N219" s="12">
        <v>2</v>
      </c>
      <c r="O219" s="12" t="s">
        <v>156</v>
      </c>
      <c r="P219" s="12" t="s">
        <v>21</v>
      </c>
      <c r="Q219" s="12" t="s">
        <v>30</v>
      </c>
    </row>
    <row r="220" spans="1:17" x14ac:dyDescent="0.2">
      <c r="A220" s="11">
        <v>45813</v>
      </c>
      <c r="B220" s="12" t="s">
        <v>6334</v>
      </c>
      <c r="C220" s="12"/>
      <c r="D220" s="12" t="s">
        <v>6335</v>
      </c>
      <c r="E220" s="12" t="s">
        <v>16</v>
      </c>
      <c r="F220" s="12" t="s">
        <v>6336</v>
      </c>
      <c r="G220" s="13">
        <v>26000</v>
      </c>
      <c r="H220" s="13">
        <v>25000</v>
      </c>
      <c r="I220" s="12" t="s">
        <v>22</v>
      </c>
      <c r="J220" s="12" t="s">
        <v>22</v>
      </c>
      <c r="K220" s="12" t="s">
        <v>6337</v>
      </c>
      <c r="L220" s="12" t="s">
        <v>2797</v>
      </c>
      <c r="M220" s="12" t="s">
        <v>97</v>
      </c>
      <c r="N220" s="12">
        <v>2</v>
      </c>
      <c r="O220" s="12" t="s">
        <v>65</v>
      </c>
      <c r="P220" s="12" t="s">
        <v>21</v>
      </c>
      <c r="Q220" s="12" t="s">
        <v>30</v>
      </c>
    </row>
    <row r="221" spans="1:17" x14ac:dyDescent="0.2">
      <c r="A221" s="11">
        <v>45771</v>
      </c>
      <c r="B221" s="12" t="s">
        <v>7101</v>
      </c>
      <c r="C221" s="12"/>
      <c r="D221" s="12" t="s">
        <v>7102</v>
      </c>
      <c r="E221" s="12" t="s">
        <v>16</v>
      </c>
      <c r="F221" s="12" t="s">
        <v>47</v>
      </c>
      <c r="G221" s="13">
        <v>25000</v>
      </c>
      <c r="H221" s="13">
        <v>25000</v>
      </c>
      <c r="I221" s="12" t="s">
        <v>22</v>
      </c>
      <c r="J221" s="12" t="s">
        <v>22</v>
      </c>
      <c r="K221" s="12"/>
      <c r="L221" s="12" t="s">
        <v>1114</v>
      </c>
      <c r="M221" s="12" t="s">
        <v>97</v>
      </c>
      <c r="N221" s="12">
        <v>2</v>
      </c>
      <c r="O221" s="12" t="s">
        <v>359</v>
      </c>
      <c r="P221" s="12" t="s">
        <v>21</v>
      </c>
      <c r="Q221" s="12" t="s">
        <v>30</v>
      </c>
    </row>
    <row r="222" spans="1:17" x14ac:dyDescent="0.2">
      <c r="A222" s="11">
        <v>45744</v>
      </c>
      <c r="B222" s="12" t="s">
        <v>7538</v>
      </c>
      <c r="C222" s="12"/>
      <c r="D222" s="12" t="s">
        <v>7539</v>
      </c>
      <c r="E222" s="12" t="s">
        <v>16</v>
      </c>
      <c r="F222" s="12" t="s">
        <v>17</v>
      </c>
      <c r="G222" s="13">
        <v>25000</v>
      </c>
      <c r="H222" s="13">
        <v>25000</v>
      </c>
      <c r="I222" s="12" t="s">
        <v>22</v>
      </c>
      <c r="J222" s="12" t="s">
        <v>22</v>
      </c>
      <c r="K222" s="12" t="s">
        <v>7540</v>
      </c>
      <c r="L222" s="12" t="s">
        <v>7541</v>
      </c>
      <c r="M222" s="12" t="s">
        <v>97</v>
      </c>
      <c r="N222" s="12">
        <v>2</v>
      </c>
      <c r="O222" s="12" t="s">
        <v>103</v>
      </c>
      <c r="P222" s="12" t="s">
        <v>21</v>
      </c>
      <c r="Q222" s="12" t="s">
        <v>30</v>
      </c>
    </row>
    <row r="223" spans="1:17" x14ac:dyDescent="0.2">
      <c r="A223" s="11">
        <v>45716</v>
      </c>
      <c r="B223" s="12" t="s">
        <v>7909</v>
      </c>
      <c r="C223" s="12"/>
      <c r="D223" s="12" t="s">
        <v>7910</v>
      </c>
      <c r="E223" s="12" t="s">
        <v>16</v>
      </c>
      <c r="F223" s="12" t="s">
        <v>38</v>
      </c>
      <c r="G223" s="13">
        <v>25000</v>
      </c>
      <c r="H223" s="13">
        <v>25000</v>
      </c>
      <c r="I223" s="12" t="s">
        <v>22</v>
      </c>
      <c r="J223" s="12" t="s">
        <v>22</v>
      </c>
      <c r="K223" s="12" t="s">
        <v>7911</v>
      </c>
      <c r="L223" s="12" t="s">
        <v>6735</v>
      </c>
      <c r="M223" s="12" t="s">
        <v>28</v>
      </c>
      <c r="N223" s="12">
        <v>1</v>
      </c>
      <c r="O223" s="12" t="s">
        <v>55</v>
      </c>
      <c r="P223" s="12" t="s">
        <v>66</v>
      </c>
      <c r="Q223" s="12" t="s">
        <v>30</v>
      </c>
    </row>
    <row r="224" spans="1:17" x14ac:dyDescent="0.2">
      <c r="A224" s="11">
        <v>45674</v>
      </c>
      <c r="B224" s="12" t="s">
        <v>420</v>
      </c>
      <c r="C224" s="12"/>
      <c r="D224" s="12" t="s">
        <v>420</v>
      </c>
      <c r="E224" s="12" t="s">
        <v>16</v>
      </c>
      <c r="F224" s="12" t="s">
        <v>17</v>
      </c>
      <c r="G224" s="13">
        <v>25000</v>
      </c>
      <c r="H224" s="13">
        <v>25000</v>
      </c>
      <c r="I224" s="12" t="s">
        <v>22</v>
      </c>
      <c r="J224" s="12" t="s">
        <v>22</v>
      </c>
      <c r="K224" s="12" t="s">
        <v>8359</v>
      </c>
      <c r="L224" s="12" t="s">
        <v>6080</v>
      </c>
      <c r="M224" s="12" t="s">
        <v>19</v>
      </c>
      <c r="N224" s="12">
        <v>1</v>
      </c>
      <c r="O224" s="12" t="s">
        <v>252</v>
      </c>
      <c r="P224" s="12" t="s">
        <v>146</v>
      </c>
      <c r="Q224" s="12" t="s">
        <v>30</v>
      </c>
    </row>
    <row r="225" spans="1:17" x14ac:dyDescent="0.2">
      <c r="A225" s="11">
        <v>45940</v>
      </c>
      <c r="B225" s="12" t="s">
        <v>3857</v>
      </c>
      <c r="C225" s="12"/>
      <c r="D225" s="12" t="s">
        <v>3858</v>
      </c>
      <c r="E225" s="12" t="s">
        <v>16</v>
      </c>
      <c r="F225" s="12" t="s">
        <v>243</v>
      </c>
      <c r="G225" s="13">
        <v>27000</v>
      </c>
      <c r="H225" s="13">
        <v>26000</v>
      </c>
      <c r="I225" s="12" t="s">
        <v>22</v>
      </c>
      <c r="J225" s="12" t="s">
        <v>22</v>
      </c>
      <c r="K225" s="12" t="s">
        <v>3388</v>
      </c>
      <c r="L225" s="12" t="s">
        <v>630</v>
      </c>
      <c r="M225" s="12" t="s">
        <v>97</v>
      </c>
      <c r="N225" s="12">
        <v>2</v>
      </c>
      <c r="O225" s="12" t="s">
        <v>246</v>
      </c>
      <c r="P225" s="12" t="s">
        <v>21</v>
      </c>
      <c r="Q225" s="12" t="s">
        <v>30</v>
      </c>
    </row>
    <row r="226" spans="1:17" x14ac:dyDescent="0.2">
      <c r="A226" s="11">
        <v>45933</v>
      </c>
      <c r="B226" s="12">
        <v>10550</v>
      </c>
      <c r="C226" s="12"/>
      <c r="D226" s="12" t="s">
        <v>4001</v>
      </c>
      <c r="E226" s="12" t="s">
        <v>16</v>
      </c>
      <c r="F226" s="12" t="s">
        <v>17</v>
      </c>
      <c r="G226" s="13">
        <v>0</v>
      </c>
      <c r="H226" s="13">
        <v>26000</v>
      </c>
      <c r="I226" s="12" t="s">
        <v>22</v>
      </c>
      <c r="J226" s="12" t="s">
        <v>22</v>
      </c>
      <c r="K226" s="12"/>
      <c r="L226" s="12" t="s">
        <v>191</v>
      </c>
      <c r="M226" s="12" t="s">
        <v>188</v>
      </c>
      <c r="N226" s="12">
        <v>1</v>
      </c>
      <c r="O226" s="12" t="s">
        <v>103</v>
      </c>
      <c r="P226" s="12" t="s">
        <v>146</v>
      </c>
      <c r="Q226" s="12" t="s">
        <v>30</v>
      </c>
    </row>
    <row r="227" spans="1:17" x14ac:dyDescent="0.2">
      <c r="A227" s="11">
        <v>45878</v>
      </c>
      <c r="B227" s="12"/>
      <c r="C227" s="12"/>
      <c r="D227" s="12" t="s">
        <v>5094</v>
      </c>
      <c r="E227" s="12" t="s">
        <v>16</v>
      </c>
      <c r="F227" s="12" t="s">
        <v>82</v>
      </c>
      <c r="G227" s="13">
        <v>26000</v>
      </c>
      <c r="H227" s="13">
        <v>26000</v>
      </c>
      <c r="I227" s="12" t="s">
        <v>22</v>
      </c>
      <c r="J227" s="12" t="s">
        <v>22</v>
      </c>
      <c r="K227" s="12" t="s">
        <v>1193</v>
      </c>
      <c r="L227" s="12" t="s">
        <v>915</v>
      </c>
      <c r="M227" s="12" t="s">
        <v>97</v>
      </c>
      <c r="N227" s="12">
        <v>2</v>
      </c>
      <c r="O227" s="12" t="s">
        <v>98</v>
      </c>
      <c r="P227" s="12" t="s">
        <v>44</v>
      </c>
      <c r="Q227" s="12" t="s">
        <v>30</v>
      </c>
    </row>
    <row r="228" spans="1:17" x14ac:dyDescent="0.2">
      <c r="A228" s="11">
        <v>45878</v>
      </c>
      <c r="B228" s="12"/>
      <c r="C228" s="12"/>
      <c r="D228" s="12" t="s">
        <v>5095</v>
      </c>
      <c r="E228" s="12" t="s">
        <v>16</v>
      </c>
      <c r="F228" s="12" t="s">
        <v>896</v>
      </c>
      <c r="G228" s="13">
        <v>26000</v>
      </c>
      <c r="H228" s="13">
        <v>26000</v>
      </c>
      <c r="I228" s="12" t="s">
        <v>22</v>
      </c>
      <c r="J228" s="12" t="s">
        <v>22</v>
      </c>
      <c r="K228" s="12" t="s">
        <v>1193</v>
      </c>
      <c r="L228" s="12" t="s">
        <v>915</v>
      </c>
      <c r="M228" s="12" t="s">
        <v>97</v>
      </c>
      <c r="N228" s="12">
        <v>2</v>
      </c>
      <c r="O228" s="12" t="s">
        <v>98</v>
      </c>
      <c r="P228" s="12" t="s">
        <v>44</v>
      </c>
      <c r="Q228" s="12" t="s">
        <v>30</v>
      </c>
    </row>
    <row r="229" spans="1:17" x14ac:dyDescent="0.2">
      <c r="A229" s="11">
        <v>45878</v>
      </c>
      <c r="B229" s="12"/>
      <c r="C229" s="12"/>
      <c r="D229" s="12" t="s">
        <v>5096</v>
      </c>
      <c r="E229" s="12" t="s">
        <v>16</v>
      </c>
      <c r="F229" s="12" t="s">
        <v>896</v>
      </c>
      <c r="G229" s="13">
        <v>26000</v>
      </c>
      <c r="H229" s="13">
        <v>26000</v>
      </c>
      <c r="I229" s="12" t="s">
        <v>22</v>
      </c>
      <c r="J229" s="12" t="s">
        <v>22</v>
      </c>
      <c r="K229" s="12" t="s">
        <v>1193</v>
      </c>
      <c r="L229" s="12" t="s">
        <v>1927</v>
      </c>
      <c r="M229" s="12" t="s">
        <v>97</v>
      </c>
      <c r="N229" s="12">
        <v>2</v>
      </c>
      <c r="O229" s="12" t="s">
        <v>98</v>
      </c>
      <c r="P229" s="12" t="s">
        <v>44</v>
      </c>
      <c r="Q229" s="12" t="s">
        <v>30</v>
      </c>
    </row>
    <row r="230" spans="1:17" x14ac:dyDescent="0.2">
      <c r="A230" s="11">
        <v>45878</v>
      </c>
      <c r="B230" s="12"/>
      <c r="C230" s="12"/>
      <c r="D230" s="12" t="s">
        <v>1194</v>
      </c>
      <c r="E230" s="12" t="s">
        <v>16</v>
      </c>
      <c r="F230" s="12" t="s">
        <v>896</v>
      </c>
      <c r="G230" s="13">
        <v>26000</v>
      </c>
      <c r="H230" s="13">
        <v>26000</v>
      </c>
      <c r="I230" s="12" t="s">
        <v>22</v>
      </c>
      <c r="J230" s="12" t="s">
        <v>22</v>
      </c>
      <c r="K230" s="12" t="s">
        <v>1193</v>
      </c>
      <c r="L230" s="12" t="s">
        <v>915</v>
      </c>
      <c r="M230" s="12" t="s">
        <v>97</v>
      </c>
      <c r="N230" s="12">
        <v>2</v>
      </c>
      <c r="O230" s="12" t="s">
        <v>98</v>
      </c>
      <c r="P230" s="12" t="s">
        <v>44</v>
      </c>
      <c r="Q230" s="12" t="s">
        <v>30</v>
      </c>
    </row>
    <row r="231" spans="1:17" x14ac:dyDescent="0.2">
      <c r="A231" s="11">
        <v>45878</v>
      </c>
      <c r="B231" s="12"/>
      <c r="C231" s="12"/>
      <c r="D231" s="12" t="s">
        <v>5097</v>
      </c>
      <c r="E231" s="12" t="s">
        <v>16</v>
      </c>
      <c r="F231" s="12" t="s">
        <v>896</v>
      </c>
      <c r="G231" s="13">
        <v>26000</v>
      </c>
      <c r="H231" s="13">
        <v>26000</v>
      </c>
      <c r="I231" s="12" t="s">
        <v>22</v>
      </c>
      <c r="J231" s="12" t="s">
        <v>22</v>
      </c>
      <c r="K231" s="12" t="s">
        <v>1193</v>
      </c>
      <c r="L231" s="12" t="s">
        <v>915</v>
      </c>
      <c r="M231" s="12" t="s">
        <v>97</v>
      </c>
      <c r="N231" s="12">
        <v>2</v>
      </c>
      <c r="O231" s="12" t="s">
        <v>98</v>
      </c>
      <c r="P231" s="12" t="s">
        <v>44</v>
      </c>
      <c r="Q231" s="12" t="s">
        <v>30</v>
      </c>
    </row>
    <row r="232" spans="1:17" x14ac:dyDescent="0.2">
      <c r="A232" s="11">
        <v>45878</v>
      </c>
      <c r="B232" s="12"/>
      <c r="C232" s="12"/>
      <c r="D232" s="12" t="s">
        <v>5098</v>
      </c>
      <c r="E232" s="12" t="s">
        <v>16</v>
      </c>
      <c r="F232" s="12" t="s">
        <v>896</v>
      </c>
      <c r="G232" s="13">
        <v>26000</v>
      </c>
      <c r="H232" s="13">
        <v>26000</v>
      </c>
      <c r="I232" s="12" t="s">
        <v>22</v>
      </c>
      <c r="J232" s="12" t="s">
        <v>22</v>
      </c>
      <c r="K232" s="12" t="s">
        <v>1193</v>
      </c>
      <c r="L232" s="12" t="s">
        <v>915</v>
      </c>
      <c r="M232" s="12" t="s">
        <v>97</v>
      </c>
      <c r="N232" s="12">
        <v>2</v>
      </c>
      <c r="O232" s="12" t="s">
        <v>98</v>
      </c>
      <c r="P232" s="12" t="s">
        <v>44</v>
      </c>
      <c r="Q232" s="12" t="s">
        <v>30</v>
      </c>
    </row>
    <row r="233" spans="1:17" x14ac:dyDescent="0.2">
      <c r="A233" s="11">
        <v>45878</v>
      </c>
      <c r="B233" s="12"/>
      <c r="C233" s="12"/>
      <c r="D233" s="12" t="s">
        <v>5099</v>
      </c>
      <c r="E233" s="12" t="s">
        <v>16</v>
      </c>
      <c r="F233" s="12" t="s">
        <v>896</v>
      </c>
      <c r="G233" s="13">
        <v>26000</v>
      </c>
      <c r="H233" s="13">
        <v>26000</v>
      </c>
      <c r="I233" s="12" t="s">
        <v>22</v>
      </c>
      <c r="J233" s="12" t="s">
        <v>22</v>
      </c>
      <c r="K233" s="12" t="s">
        <v>1193</v>
      </c>
      <c r="L233" s="12" t="s">
        <v>915</v>
      </c>
      <c r="M233" s="12" t="s">
        <v>97</v>
      </c>
      <c r="N233" s="12">
        <v>2</v>
      </c>
      <c r="O233" s="12" t="s">
        <v>98</v>
      </c>
      <c r="P233" s="12" t="s">
        <v>44</v>
      </c>
      <c r="Q233" s="12" t="s">
        <v>30</v>
      </c>
    </row>
    <row r="234" spans="1:17" x14ac:dyDescent="0.2">
      <c r="A234" s="11">
        <v>45878</v>
      </c>
      <c r="B234" s="12"/>
      <c r="C234" s="12"/>
      <c r="D234" s="12" t="s">
        <v>5100</v>
      </c>
      <c r="E234" s="12" t="s">
        <v>16</v>
      </c>
      <c r="F234" s="12" t="s">
        <v>896</v>
      </c>
      <c r="G234" s="13">
        <v>26000</v>
      </c>
      <c r="H234" s="13">
        <v>26000</v>
      </c>
      <c r="I234" s="12" t="s">
        <v>22</v>
      </c>
      <c r="J234" s="12" t="s">
        <v>22</v>
      </c>
      <c r="K234" s="12" t="s">
        <v>1193</v>
      </c>
      <c r="L234" s="12" t="s">
        <v>915</v>
      </c>
      <c r="M234" s="12" t="s">
        <v>97</v>
      </c>
      <c r="N234" s="12">
        <v>2</v>
      </c>
      <c r="O234" s="12" t="s">
        <v>98</v>
      </c>
      <c r="P234" s="12" t="s">
        <v>44</v>
      </c>
      <c r="Q234" s="12" t="s">
        <v>30</v>
      </c>
    </row>
    <row r="235" spans="1:17" x14ac:dyDescent="0.2">
      <c r="A235" s="11">
        <v>45878</v>
      </c>
      <c r="B235" s="12"/>
      <c r="C235" s="12"/>
      <c r="D235" s="12" t="s">
        <v>5101</v>
      </c>
      <c r="E235" s="12" t="s">
        <v>16</v>
      </c>
      <c r="F235" s="12" t="s">
        <v>896</v>
      </c>
      <c r="G235" s="13">
        <v>26000</v>
      </c>
      <c r="H235" s="13">
        <v>26000</v>
      </c>
      <c r="I235" s="12" t="s">
        <v>22</v>
      </c>
      <c r="J235" s="12" t="s">
        <v>22</v>
      </c>
      <c r="K235" s="12" t="s">
        <v>1193</v>
      </c>
      <c r="L235" s="12" t="s">
        <v>915</v>
      </c>
      <c r="M235" s="12" t="s">
        <v>97</v>
      </c>
      <c r="N235" s="12">
        <v>2</v>
      </c>
      <c r="O235" s="12" t="s">
        <v>98</v>
      </c>
      <c r="P235" s="12" t="s">
        <v>44</v>
      </c>
      <c r="Q235" s="12" t="s">
        <v>30</v>
      </c>
    </row>
    <row r="236" spans="1:17" x14ac:dyDescent="0.2">
      <c r="A236" s="11">
        <v>45878</v>
      </c>
      <c r="B236" s="12"/>
      <c r="C236" s="12"/>
      <c r="D236" s="12" t="s">
        <v>5102</v>
      </c>
      <c r="E236" s="12" t="s">
        <v>16</v>
      </c>
      <c r="F236" s="12" t="s">
        <v>896</v>
      </c>
      <c r="G236" s="13">
        <v>26000</v>
      </c>
      <c r="H236" s="13">
        <v>26000</v>
      </c>
      <c r="I236" s="12" t="s">
        <v>22</v>
      </c>
      <c r="J236" s="12" t="s">
        <v>22</v>
      </c>
      <c r="K236" s="12" t="s">
        <v>1193</v>
      </c>
      <c r="L236" s="12" t="s">
        <v>915</v>
      </c>
      <c r="M236" s="12" t="s">
        <v>97</v>
      </c>
      <c r="N236" s="12">
        <v>2</v>
      </c>
      <c r="O236" s="12" t="s">
        <v>98</v>
      </c>
      <c r="P236" s="12" t="s">
        <v>44</v>
      </c>
      <c r="Q236" s="12" t="s">
        <v>30</v>
      </c>
    </row>
    <row r="237" spans="1:17" x14ac:dyDescent="0.2">
      <c r="A237" s="11">
        <v>45878</v>
      </c>
      <c r="B237" s="12"/>
      <c r="C237" s="12"/>
      <c r="D237" s="12" t="s">
        <v>5103</v>
      </c>
      <c r="E237" s="12" t="s">
        <v>16</v>
      </c>
      <c r="F237" s="12" t="s">
        <v>896</v>
      </c>
      <c r="G237" s="13">
        <v>26000</v>
      </c>
      <c r="H237" s="13">
        <v>26000</v>
      </c>
      <c r="I237" s="12" t="s">
        <v>22</v>
      </c>
      <c r="J237" s="12" t="s">
        <v>22</v>
      </c>
      <c r="K237" s="12" t="s">
        <v>1193</v>
      </c>
      <c r="L237" s="12" t="s">
        <v>915</v>
      </c>
      <c r="M237" s="12" t="s">
        <v>97</v>
      </c>
      <c r="N237" s="12">
        <v>2</v>
      </c>
      <c r="O237" s="12" t="s">
        <v>98</v>
      </c>
      <c r="P237" s="12" t="s">
        <v>44</v>
      </c>
      <c r="Q237" s="12" t="s">
        <v>30</v>
      </c>
    </row>
    <row r="238" spans="1:17" x14ac:dyDescent="0.2">
      <c r="A238" s="11">
        <v>45878</v>
      </c>
      <c r="B238" s="12"/>
      <c r="C238" s="12"/>
      <c r="D238" s="12" t="s">
        <v>5103</v>
      </c>
      <c r="E238" s="12" t="s">
        <v>16</v>
      </c>
      <c r="F238" s="12" t="s">
        <v>896</v>
      </c>
      <c r="G238" s="13">
        <v>26000</v>
      </c>
      <c r="H238" s="13">
        <v>26000</v>
      </c>
      <c r="I238" s="12" t="s">
        <v>22</v>
      </c>
      <c r="J238" s="12" t="s">
        <v>22</v>
      </c>
      <c r="K238" s="12" t="s">
        <v>1193</v>
      </c>
      <c r="L238" s="12" t="s">
        <v>915</v>
      </c>
      <c r="M238" s="12" t="s">
        <v>97</v>
      </c>
      <c r="N238" s="12">
        <v>2</v>
      </c>
      <c r="O238" s="12" t="s">
        <v>98</v>
      </c>
      <c r="P238" s="12" t="s">
        <v>44</v>
      </c>
      <c r="Q238" s="12" t="s">
        <v>30</v>
      </c>
    </row>
    <row r="239" spans="1:17" x14ac:dyDescent="0.2">
      <c r="A239" s="11">
        <v>45798</v>
      </c>
      <c r="B239" s="12" t="s">
        <v>6627</v>
      </c>
      <c r="C239" s="12"/>
      <c r="D239" s="12" t="s">
        <v>6628</v>
      </c>
      <c r="E239" s="12" t="s">
        <v>16</v>
      </c>
      <c r="F239" s="12" t="s">
        <v>17</v>
      </c>
      <c r="G239" s="13">
        <v>21000</v>
      </c>
      <c r="H239" s="13">
        <v>26000</v>
      </c>
      <c r="I239" s="12" t="s">
        <v>22</v>
      </c>
      <c r="J239" s="12" t="s">
        <v>22</v>
      </c>
      <c r="K239" s="12" t="s">
        <v>6629</v>
      </c>
      <c r="L239" s="12" t="s">
        <v>3159</v>
      </c>
      <c r="M239" s="12" t="s">
        <v>97</v>
      </c>
      <c r="N239" s="12">
        <v>2</v>
      </c>
      <c r="O239" s="12" t="s">
        <v>227</v>
      </c>
      <c r="P239" s="12" t="s">
        <v>21</v>
      </c>
      <c r="Q239" s="12" t="s">
        <v>30</v>
      </c>
    </row>
    <row r="240" spans="1:17" x14ac:dyDescent="0.2">
      <c r="A240" s="11">
        <v>45772</v>
      </c>
      <c r="B240" s="12" t="s">
        <v>7073</v>
      </c>
      <c r="C240" s="12"/>
      <c r="D240" s="12" t="s">
        <v>7074</v>
      </c>
      <c r="E240" s="12" t="s">
        <v>16</v>
      </c>
      <c r="F240" s="12" t="s">
        <v>38</v>
      </c>
      <c r="G240" s="13">
        <v>28000</v>
      </c>
      <c r="H240" s="13">
        <v>26000</v>
      </c>
      <c r="I240" s="12" t="s">
        <v>22</v>
      </c>
      <c r="J240" s="12" t="s">
        <v>22</v>
      </c>
      <c r="K240" s="12" t="s">
        <v>7075</v>
      </c>
      <c r="L240" s="12" t="s">
        <v>54</v>
      </c>
      <c r="M240" s="12" t="s">
        <v>300</v>
      </c>
      <c r="N240" s="12">
        <v>2</v>
      </c>
      <c r="O240" s="12" t="s">
        <v>55</v>
      </c>
      <c r="P240" s="12" t="s">
        <v>21</v>
      </c>
      <c r="Q240" s="12" t="s">
        <v>30</v>
      </c>
    </row>
    <row r="241" spans="1:17" x14ac:dyDescent="0.2">
      <c r="A241" s="11">
        <v>45708</v>
      </c>
      <c r="B241" s="12" t="s">
        <v>7978</v>
      </c>
      <c r="C241" s="12"/>
      <c r="D241" s="12" t="s">
        <v>7979</v>
      </c>
      <c r="E241" s="12" t="s">
        <v>16</v>
      </c>
      <c r="F241" s="12" t="s">
        <v>184</v>
      </c>
      <c r="G241" s="13">
        <v>26347</v>
      </c>
      <c r="H241" s="13">
        <v>26347</v>
      </c>
      <c r="I241" s="12" t="s">
        <v>22</v>
      </c>
      <c r="J241" s="12" t="s">
        <v>22</v>
      </c>
      <c r="K241" s="12"/>
      <c r="L241" s="12" t="s">
        <v>129</v>
      </c>
      <c r="M241" s="12" t="s">
        <v>97</v>
      </c>
      <c r="N241" s="12">
        <v>1</v>
      </c>
      <c r="O241" s="12" t="s">
        <v>130</v>
      </c>
      <c r="P241" s="12" t="s">
        <v>131</v>
      </c>
      <c r="Q241" s="12" t="s">
        <v>30</v>
      </c>
    </row>
    <row r="242" spans="1:17" x14ac:dyDescent="0.2">
      <c r="A242" s="11">
        <v>45674</v>
      </c>
      <c r="B242" s="12" t="s">
        <v>8356</v>
      </c>
      <c r="C242" s="12"/>
      <c r="D242" s="12" t="s">
        <v>8357</v>
      </c>
      <c r="E242" s="12" t="s">
        <v>16</v>
      </c>
      <c r="F242" s="12" t="s">
        <v>134</v>
      </c>
      <c r="G242" s="13">
        <v>0</v>
      </c>
      <c r="H242" s="13">
        <v>26347</v>
      </c>
      <c r="I242" s="12" t="s">
        <v>22</v>
      </c>
      <c r="J242" s="12" t="s">
        <v>22</v>
      </c>
      <c r="K242" s="12"/>
      <c r="L242" s="12" t="s">
        <v>129</v>
      </c>
      <c r="M242" s="12" t="s">
        <v>97</v>
      </c>
      <c r="N242" s="12">
        <v>1</v>
      </c>
      <c r="O242" s="12" t="s">
        <v>130</v>
      </c>
      <c r="P242" s="12" t="s">
        <v>131</v>
      </c>
      <c r="Q242" s="12" t="s">
        <v>30</v>
      </c>
    </row>
    <row r="243" spans="1:17" x14ac:dyDescent="0.2">
      <c r="A243" s="11">
        <v>45775</v>
      </c>
      <c r="B243" s="12" t="s">
        <v>7047</v>
      </c>
      <c r="C243" s="12"/>
      <c r="D243" s="12" t="s">
        <v>7048</v>
      </c>
      <c r="E243" s="12" t="s">
        <v>16</v>
      </c>
      <c r="F243" s="12" t="s">
        <v>17</v>
      </c>
      <c r="G243" s="13">
        <v>1200</v>
      </c>
      <c r="H243" s="13">
        <v>26400</v>
      </c>
      <c r="I243" s="12" t="s">
        <v>22</v>
      </c>
      <c r="J243" s="12" t="s">
        <v>22</v>
      </c>
      <c r="K243" s="12" t="s">
        <v>7049</v>
      </c>
      <c r="L243" s="12" t="s">
        <v>6480</v>
      </c>
      <c r="M243" s="12" t="s">
        <v>28</v>
      </c>
      <c r="N243" s="12">
        <v>2</v>
      </c>
      <c r="O243" s="12" t="s">
        <v>142</v>
      </c>
      <c r="P243" s="12" t="s">
        <v>41</v>
      </c>
      <c r="Q243" s="12" t="s">
        <v>30</v>
      </c>
    </row>
    <row r="244" spans="1:17" x14ac:dyDescent="0.2">
      <c r="A244" s="11">
        <v>46072</v>
      </c>
      <c r="B244" s="12" t="s">
        <v>1232</v>
      </c>
      <c r="C244" s="12"/>
      <c r="D244" s="12" t="s">
        <v>1233</v>
      </c>
      <c r="E244" s="12" t="s">
        <v>16</v>
      </c>
      <c r="F244" s="12" t="s">
        <v>38</v>
      </c>
      <c r="G244" s="13">
        <v>29000</v>
      </c>
      <c r="H244" s="13">
        <v>26500</v>
      </c>
      <c r="I244" s="12" t="s">
        <v>22</v>
      </c>
      <c r="J244" s="12" t="s">
        <v>22</v>
      </c>
      <c r="K244" s="12" t="s">
        <v>1234</v>
      </c>
      <c r="L244" s="12" t="s">
        <v>1235</v>
      </c>
      <c r="M244" s="12" t="s">
        <v>19</v>
      </c>
      <c r="N244" s="12">
        <v>2</v>
      </c>
      <c r="O244" s="12" t="s">
        <v>55</v>
      </c>
      <c r="P244" s="12" t="s">
        <v>21</v>
      </c>
      <c r="Q244" s="12" t="s">
        <v>30</v>
      </c>
    </row>
    <row r="245" spans="1:17" x14ac:dyDescent="0.2">
      <c r="A245" s="11">
        <v>45980</v>
      </c>
      <c r="B245" s="12" t="s">
        <v>1914</v>
      </c>
      <c r="C245" s="12"/>
      <c r="D245" s="12" t="s">
        <v>1914</v>
      </c>
      <c r="E245" s="12" t="s">
        <v>16</v>
      </c>
      <c r="F245" s="12" t="s">
        <v>17</v>
      </c>
      <c r="G245" s="13">
        <v>106000</v>
      </c>
      <c r="H245" s="13">
        <v>26500</v>
      </c>
      <c r="I245" s="12" t="s">
        <v>22</v>
      </c>
      <c r="J245" s="12" t="s">
        <v>22</v>
      </c>
      <c r="K245" s="12" t="s">
        <v>1914</v>
      </c>
      <c r="L245" s="12" t="s">
        <v>523</v>
      </c>
      <c r="M245" s="12" t="s">
        <v>19</v>
      </c>
      <c r="N245" s="12">
        <v>2</v>
      </c>
      <c r="O245" s="12" t="s">
        <v>50</v>
      </c>
      <c r="P245" s="12" t="s">
        <v>21</v>
      </c>
      <c r="Q245" s="12" t="s">
        <v>30</v>
      </c>
    </row>
    <row r="246" spans="1:17" x14ac:dyDescent="0.2">
      <c r="A246" s="11">
        <v>45734</v>
      </c>
      <c r="B246" s="12" t="s">
        <v>7699</v>
      </c>
      <c r="C246" s="12"/>
      <c r="D246" s="12" t="s">
        <v>7700</v>
      </c>
      <c r="E246" s="12" t="s">
        <v>16</v>
      </c>
      <c r="F246" s="12" t="s">
        <v>134</v>
      </c>
      <c r="G246" s="13">
        <v>34000</v>
      </c>
      <c r="H246" s="13">
        <v>26500</v>
      </c>
      <c r="I246" s="12" t="s">
        <v>22</v>
      </c>
      <c r="J246" s="12" t="s">
        <v>22</v>
      </c>
      <c r="K246" s="12" t="s">
        <v>7701</v>
      </c>
      <c r="L246" s="12" t="s">
        <v>6186</v>
      </c>
      <c r="M246" s="12" t="s">
        <v>97</v>
      </c>
      <c r="N246" s="12">
        <v>2</v>
      </c>
      <c r="O246" s="12" t="s">
        <v>130</v>
      </c>
      <c r="P246" s="12" t="s">
        <v>21</v>
      </c>
      <c r="Q246" s="12" t="s">
        <v>30</v>
      </c>
    </row>
    <row r="247" spans="1:17" x14ac:dyDescent="0.2">
      <c r="A247" s="11">
        <v>45674</v>
      </c>
      <c r="B247" s="12" t="s">
        <v>8351</v>
      </c>
      <c r="C247" s="12"/>
      <c r="D247" s="12" t="s">
        <v>8352</v>
      </c>
      <c r="E247" s="12" t="s">
        <v>16</v>
      </c>
      <c r="F247" s="12" t="s">
        <v>134</v>
      </c>
      <c r="G247" s="13">
        <v>26609</v>
      </c>
      <c r="H247" s="13">
        <v>26609</v>
      </c>
      <c r="I247" s="12" t="s">
        <v>22</v>
      </c>
      <c r="J247" s="12" t="s">
        <v>22</v>
      </c>
      <c r="K247" s="12"/>
      <c r="L247" s="12" t="s">
        <v>129</v>
      </c>
      <c r="M247" s="12" t="s">
        <v>97</v>
      </c>
      <c r="N247" s="12">
        <v>1</v>
      </c>
      <c r="O247" s="12" t="s">
        <v>130</v>
      </c>
      <c r="P247" s="12" t="s">
        <v>131</v>
      </c>
      <c r="Q247" s="12" t="s">
        <v>30</v>
      </c>
    </row>
    <row r="248" spans="1:17" x14ac:dyDescent="0.2">
      <c r="A248" s="11">
        <v>45846</v>
      </c>
      <c r="B248" s="12" t="s">
        <v>5700</v>
      </c>
      <c r="C248" s="12"/>
      <c r="D248" s="12" t="s">
        <v>5701</v>
      </c>
      <c r="E248" s="12" t="s">
        <v>16</v>
      </c>
      <c r="F248" s="12" t="s">
        <v>17</v>
      </c>
      <c r="G248" s="13">
        <v>28900</v>
      </c>
      <c r="H248" s="13">
        <v>26900</v>
      </c>
      <c r="I248" s="12" t="s">
        <v>22</v>
      </c>
      <c r="J248" s="12" t="s">
        <v>22</v>
      </c>
      <c r="K248" s="12" t="s">
        <v>5702</v>
      </c>
      <c r="L248" s="12" t="s">
        <v>71</v>
      </c>
      <c r="M248" s="12" t="s">
        <v>300</v>
      </c>
      <c r="N248" s="12">
        <v>2</v>
      </c>
      <c r="O248" s="12" t="s">
        <v>103</v>
      </c>
      <c r="P248" s="12" t="s">
        <v>21</v>
      </c>
      <c r="Q248" s="12" t="s">
        <v>30</v>
      </c>
    </row>
    <row r="249" spans="1:17" x14ac:dyDescent="0.2">
      <c r="A249" s="11">
        <v>46090</v>
      </c>
      <c r="B249" s="12" t="s">
        <v>840</v>
      </c>
      <c r="C249" s="12"/>
      <c r="D249" s="12" t="s">
        <v>841</v>
      </c>
      <c r="E249" s="12" t="s">
        <v>16</v>
      </c>
      <c r="F249" s="12" t="s">
        <v>17</v>
      </c>
      <c r="G249" s="13">
        <v>32000</v>
      </c>
      <c r="H249" s="13">
        <v>27000</v>
      </c>
      <c r="I249" s="12" t="s">
        <v>22</v>
      </c>
      <c r="J249" s="12" t="s">
        <v>22</v>
      </c>
      <c r="K249" s="12" t="s">
        <v>842</v>
      </c>
      <c r="L249" s="12" t="s">
        <v>54</v>
      </c>
      <c r="M249" s="12" t="s">
        <v>28</v>
      </c>
      <c r="N249" s="12">
        <v>1</v>
      </c>
      <c r="O249" s="12" t="s">
        <v>55</v>
      </c>
      <c r="P249" s="12" t="s">
        <v>131</v>
      </c>
      <c r="Q249" s="12" t="s">
        <v>30</v>
      </c>
    </row>
    <row r="250" spans="1:17" x14ac:dyDescent="0.2">
      <c r="A250" s="11">
        <v>45992</v>
      </c>
      <c r="B250" s="12" t="s">
        <v>2713</v>
      </c>
      <c r="C250" s="12"/>
      <c r="D250" s="12" t="s">
        <v>2714</v>
      </c>
      <c r="E250" s="12" t="s">
        <v>16</v>
      </c>
      <c r="F250" s="12" t="s">
        <v>82</v>
      </c>
      <c r="G250" s="13">
        <v>27000</v>
      </c>
      <c r="H250" s="13">
        <v>27000</v>
      </c>
      <c r="I250" s="12" t="s">
        <v>22</v>
      </c>
      <c r="J250" s="12" t="s">
        <v>22</v>
      </c>
      <c r="K250" s="12"/>
      <c r="L250" s="12" t="s">
        <v>2715</v>
      </c>
      <c r="M250" s="12" t="s">
        <v>97</v>
      </c>
      <c r="N250" s="12">
        <v>1</v>
      </c>
      <c r="O250" s="12" t="s">
        <v>65</v>
      </c>
      <c r="P250" s="12" t="s">
        <v>131</v>
      </c>
      <c r="Q250" s="12" t="s">
        <v>30</v>
      </c>
    </row>
    <row r="251" spans="1:17" x14ac:dyDescent="0.2">
      <c r="A251" s="11">
        <v>45954</v>
      </c>
      <c r="B251" s="12"/>
      <c r="C251" s="12"/>
      <c r="D251" s="12" t="s">
        <v>3556</v>
      </c>
      <c r="E251" s="12" t="s">
        <v>16</v>
      </c>
      <c r="F251" s="12" t="s">
        <v>17</v>
      </c>
      <c r="G251" s="13">
        <v>27000</v>
      </c>
      <c r="H251" s="13">
        <v>27000</v>
      </c>
      <c r="I251" s="12" t="s">
        <v>22</v>
      </c>
      <c r="J251" s="12" t="s">
        <v>22</v>
      </c>
      <c r="K251" s="12"/>
      <c r="L251" s="12" t="s">
        <v>170</v>
      </c>
      <c r="M251" s="12" t="s">
        <v>97</v>
      </c>
      <c r="N251" s="12">
        <v>2</v>
      </c>
      <c r="O251" s="12" t="s">
        <v>171</v>
      </c>
      <c r="P251" s="12" t="s">
        <v>21</v>
      </c>
      <c r="Q251" s="12" t="s">
        <v>30</v>
      </c>
    </row>
    <row r="252" spans="1:17" x14ac:dyDescent="0.2">
      <c r="A252" s="11">
        <v>45915</v>
      </c>
      <c r="B252" s="12" t="s">
        <v>4394</v>
      </c>
      <c r="C252" s="12"/>
      <c r="D252" s="12" t="s">
        <v>4395</v>
      </c>
      <c r="E252" s="12" t="s">
        <v>16</v>
      </c>
      <c r="F252" s="12" t="s">
        <v>82</v>
      </c>
      <c r="G252" s="13">
        <v>29000</v>
      </c>
      <c r="H252" s="13">
        <v>27000</v>
      </c>
      <c r="I252" s="12" t="s">
        <v>22</v>
      </c>
      <c r="J252" s="12" t="s">
        <v>22</v>
      </c>
      <c r="K252" s="12" t="s">
        <v>4396</v>
      </c>
      <c r="L252" s="12" t="s">
        <v>54</v>
      </c>
      <c r="M252" s="12" t="s">
        <v>97</v>
      </c>
      <c r="N252" s="12">
        <v>1</v>
      </c>
      <c r="O252" s="12" t="s">
        <v>55</v>
      </c>
      <c r="P252" s="12" t="s">
        <v>131</v>
      </c>
      <c r="Q252" s="12" t="s">
        <v>30</v>
      </c>
    </row>
    <row r="253" spans="1:17" x14ac:dyDescent="0.2">
      <c r="A253" s="11">
        <v>45848</v>
      </c>
      <c r="B253" s="12" t="s">
        <v>5676</v>
      </c>
      <c r="C253" s="12"/>
      <c r="D253" s="12" t="s">
        <v>4978</v>
      </c>
      <c r="E253" s="12" t="s">
        <v>16</v>
      </c>
      <c r="F253" s="12" t="s">
        <v>17</v>
      </c>
      <c r="G253" s="13">
        <v>30000</v>
      </c>
      <c r="H253" s="13">
        <v>27000</v>
      </c>
      <c r="I253" s="12" t="s">
        <v>22</v>
      </c>
      <c r="J253" s="12" t="s">
        <v>22</v>
      </c>
      <c r="K253" s="12" t="s">
        <v>5677</v>
      </c>
      <c r="L253" s="12" t="s">
        <v>1468</v>
      </c>
      <c r="M253" s="12" t="s">
        <v>97</v>
      </c>
      <c r="N253" s="12">
        <v>2</v>
      </c>
      <c r="O253" s="12" t="s">
        <v>142</v>
      </c>
      <c r="P253" s="12" t="s">
        <v>41</v>
      </c>
      <c r="Q253" s="12" t="s">
        <v>30</v>
      </c>
    </row>
    <row r="254" spans="1:17" x14ac:dyDescent="0.2">
      <c r="A254" s="11">
        <v>45680</v>
      </c>
      <c r="B254" s="12" t="s">
        <v>8305</v>
      </c>
      <c r="C254" s="12"/>
      <c r="D254" s="12" t="s">
        <v>8306</v>
      </c>
      <c r="E254" s="12" t="s">
        <v>16</v>
      </c>
      <c r="F254" s="12" t="s">
        <v>47</v>
      </c>
      <c r="G254" s="13">
        <v>27000</v>
      </c>
      <c r="H254" s="13">
        <v>27000</v>
      </c>
      <c r="I254" s="12" t="s">
        <v>22</v>
      </c>
      <c r="J254" s="12" t="s">
        <v>22</v>
      </c>
      <c r="K254" s="12"/>
      <c r="L254" s="12" t="s">
        <v>1114</v>
      </c>
      <c r="M254" s="12" t="s">
        <v>97</v>
      </c>
      <c r="N254" s="12">
        <v>2</v>
      </c>
      <c r="O254" s="12" t="s">
        <v>359</v>
      </c>
      <c r="P254" s="12" t="s">
        <v>36</v>
      </c>
      <c r="Q254" s="12" t="s">
        <v>30</v>
      </c>
    </row>
    <row r="255" spans="1:17" x14ac:dyDescent="0.2">
      <c r="A255" s="11">
        <v>45680</v>
      </c>
      <c r="B255" s="12" t="s">
        <v>8316</v>
      </c>
      <c r="C255" s="12"/>
      <c r="D255" s="12" t="s">
        <v>8317</v>
      </c>
      <c r="E255" s="12" t="s">
        <v>16</v>
      </c>
      <c r="F255" s="12" t="s">
        <v>17</v>
      </c>
      <c r="G255" s="13">
        <v>25999</v>
      </c>
      <c r="H255" s="13">
        <v>27000</v>
      </c>
      <c r="I255" s="12" t="s">
        <v>22</v>
      </c>
      <c r="J255" s="12" t="s">
        <v>22</v>
      </c>
      <c r="K255" s="12" t="s">
        <v>8318</v>
      </c>
      <c r="L255" s="12" t="s">
        <v>8319</v>
      </c>
      <c r="M255" s="12" t="s">
        <v>97</v>
      </c>
      <c r="N255" s="12">
        <v>2</v>
      </c>
      <c r="O255" s="12" t="s">
        <v>1081</v>
      </c>
      <c r="P255" s="12" t="s">
        <v>36</v>
      </c>
      <c r="Q255" s="12" t="s">
        <v>30</v>
      </c>
    </row>
    <row r="256" spans="1:17" x14ac:dyDescent="0.2">
      <c r="A256" s="11">
        <v>45674</v>
      </c>
      <c r="B256" s="12" t="s">
        <v>8351</v>
      </c>
      <c r="C256" s="12"/>
      <c r="D256" s="12" t="s">
        <v>8358</v>
      </c>
      <c r="E256" s="12" t="s">
        <v>16</v>
      </c>
      <c r="F256" s="12" t="s">
        <v>134</v>
      </c>
      <c r="G256" s="13">
        <v>27219</v>
      </c>
      <c r="H256" s="13">
        <v>27219</v>
      </c>
      <c r="I256" s="12" t="s">
        <v>22</v>
      </c>
      <c r="J256" s="12" t="s">
        <v>22</v>
      </c>
      <c r="K256" s="12" t="s">
        <v>5726</v>
      </c>
      <c r="L256" s="12" t="s">
        <v>129</v>
      </c>
      <c r="M256" s="12" t="s">
        <v>97</v>
      </c>
      <c r="N256" s="12">
        <v>1</v>
      </c>
      <c r="O256" s="12" t="s">
        <v>130</v>
      </c>
      <c r="P256" s="12" t="s">
        <v>131</v>
      </c>
      <c r="Q256" s="12" t="s">
        <v>30</v>
      </c>
    </row>
    <row r="257" spans="1:17" x14ac:dyDescent="0.2">
      <c r="A257" s="11">
        <v>46097</v>
      </c>
      <c r="B257" s="12" t="s">
        <v>639</v>
      </c>
      <c r="C257" s="12"/>
      <c r="D257" s="12" t="s">
        <v>640</v>
      </c>
      <c r="E257" s="12" t="s">
        <v>16</v>
      </c>
      <c r="F257" s="12" t="s">
        <v>17</v>
      </c>
      <c r="G257" s="13">
        <v>87000</v>
      </c>
      <c r="H257" s="13">
        <v>27500</v>
      </c>
      <c r="I257" s="12" t="s">
        <v>22</v>
      </c>
      <c r="J257" s="12" t="s">
        <v>22</v>
      </c>
      <c r="K257" s="12" t="s">
        <v>641</v>
      </c>
      <c r="L257" s="12" t="s">
        <v>308</v>
      </c>
      <c r="M257" s="12" t="s">
        <v>97</v>
      </c>
      <c r="N257" s="12">
        <v>2</v>
      </c>
      <c r="O257" s="12" t="s">
        <v>171</v>
      </c>
      <c r="P257" s="12" t="s">
        <v>21</v>
      </c>
      <c r="Q257" s="12" t="s">
        <v>30</v>
      </c>
    </row>
    <row r="258" spans="1:17" x14ac:dyDescent="0.2">
      <c r="A258" s="11">
        <v>45962</v>
      </c>
      <c r="B258" s="12" t="s">
        <v>3379</v>
      </c>
      <c r="C258" s="12"/>
      <c r="D258" s="12" t="s">
        <v>3380</v>
      </c>
      <c r="E258" s="12" t="s">
        <v>16</v>
      </c>
      <c r="F258" s="12" t="s">
        <v>17</v>
      </c>
      <c r="G258" s="13">
        <v>28000</v>
      </c>
      <c r="H258" s="13">
        <v>27500</v>
      </c>
      <c r="I258" s="12" t="s">
        <v>22</v>
      </c>
      <c r="J258" s="12" t="s">
        <v>22</v>
      </c>
      <c r="K258" s="12" t="s">
        <v>3381</v>
      </c>
      <c r="L258" s="12" t="s">
        <v>1037</v>
      </c>
      <c r="M258" s="12" t="s">
        <v>97</v>
      </c>
      <c r="N258" s="12">
        <v>2</v>
      </c>
      <c r="O258" s="12" t="s">
        <v>65</v>
      </c>
      <c r="P258" s="12" t="s">
        <v>21</v>
      </c>
      <c r="Q258" s="12" t="s">
        <v>30</v>
      </c>
    </row>
    <row r="259" spans="1:17" x14ac:dyDescent="0.2">
      <c r="A259" s="11">
        <v>45992</v>
      </c>
      <c r="B259" s="12" t="s">
        <v>2702</v>
      </c>
      <c r="C259" s="12"/>
      <c r="D259" s="12" t="s">
        <v>2703</v>
      </c>
      <c r="E259" s="12" t="s">
        <v>16</v>
      </c>
      <c r="F259" s="12" t="s">
        <v>17</v>
      </c>
      <c r="G259" s="13">
        <v>52000</v>
      </c>
      <c r="H259" s="13">
        <v>28000</v>
      </c>
      <c r="I259" s="12" t="s">
        <v>22</v>
      </c>
      <c r="J259" s="12" t="s">
        <v>22</v>
      </c>
      <c r="K259" s="12" t="s">
        <v>2704</v>
      </c>
      <c r="L259" s="12" t="s">
        <v>2705</v>
      </c>
      <c r="M259" s="12" t="s">
        <v>72</v>
      </c>
      <c r="N259" s="12">
        <v>1</v>
      </c>
      <c r="O259" s="12" t="s">
        <v>171</v>
      </c>
      <c r="P259" s="12" t="s">
        <v>66</v>
      </c>
      <c r="Q259" s="12" t="s">
        <v>30</v>
      </c>
    </row>
    <row r="260" spans="1:17" x14ac:dyDescent="0.2">
      <c r="A260" s="11">
        <v>45974</v>
      </c>
      <c r="B260" s="12" t="s">
        <v>3160</v>
      </c>
      <c r="C260" s="12"/>
      <c r="D260" s="12" t="s">
        <v>3161</v>
      </c>
      <c r="E260" s="12" t="s">
        <v>16</v>
      </c>
      <c r="F260" s="12" t="s">
        <v>82</v>
      </c>
      <c r="G260" s="13">
        <v>31000</v>
      </c>
      <c r="H260" s="13">
        <v>28000</v>
      </c>
      <c r="I260" s="12" t="s">
        <v>22</v>
      </c>
      <c r="J260" s="12" t="s">
        <v>22</v>
      </c>
      <c r="K260" s="12" t="s">
        <v>3162</v>
      </c>
      <c r="L260" s="12" t="s">
        <v>84</v>
      </c>
      <c r="M260" s="12" t="s">
        <v>97</v>
      </c>
      <c r="N260" s="12">
        <v>2</v>
      </c>
      <c r="O260" s="12" t="s">
        <v>85</v>
      </c>
      <c r="P260" s="12" t="s">
        <v>41</v>
      </c>
      <c r="Q260" s="12" t="s">
        <v>30</v>
      </c>
    </row>
    <row r="261" spans="1:17" x14ac:dyDescent="0.2">
      <c r="A261" s="11">
        <v>45974</v>
      </c>
      <c r="B261" s="12" t="s">
        <v>3163</v>
      </c>
      <c r="C261" s="12"/>
      <c r="D261" s="12" t="s">
        <v>3164</v>
      </c>
      <c r="E261" s="12" t="s">
        <v>16</v>
      </c>
      <c r="F261" s="12" t="s">
        <v>82</v>
      </c>
      <c r="G261" s="13">
        <v>31000</v>
      </c>
      <c r="H261" s="13">
        <v>28000</v>
      </c>
      <c r="I261" s="12" t="s">
        <v>22</v>
      </c>
      <c r="J261" s="12" t="s">
        <v>22</v>
      </c>
      <c r="K261" s="12" t="s">
        <v>3165</v>
      </c>
      <c r="L261" s="12" t="s">
        <v>84</v>
      </c>
      <c r="M261" s="12" t="s">
        <v>97</v>
      </c>
      <c r="N261" s="12">
        <v>2</v>
      </c>
      <c r="O261" s="12" t="s">
        <v>85</v>
      </c>
      <c r="P261" s="12" t="s">
        <v>41</v>
      </c>
      <c r="Q261" s="12" t="s">
        <v>30</v>
      </c>
    </row>
    <row r="262" spans="1:17" x14ac:dyDescent="0.2">
      <c r="A262" s="11">
        <v>45973</v>
      </c>
      <c r="B262" s="12" t="s">
        <v>3204</v>
      </c>
      <c r="C262" s="12"/>
      <c r="D262" s="12" t="s">
        <v>3205</v>
      </c>
      <c r="E262" s="12" t="s">
        <v>16</v>
      </c>
      <c r="F262" s="12" t="s">
        <v>82</v>
      </c>
      <c r="G262" s="13">
        <v>28000</v>
      </c>
      <c r="H262" s="13">
        <v>28000</v>
      </c>
      <c r="I262" s="12" t="s">
        <v>22</v>
      </c>
      <c r="J262" s="12" t="s">
        <v>22</v>
      </c>
      <c r="K262" s="12" t="s">
        <v>3206</v>
      </c>
      <c r="L262" s="12" t="s">
        <v>1494</v>
      </c>
      <c r="M262" s="12" t="s">
        <v>28</v>
      </c>
      <c r="N262" s="12">
        <v>1</v>
      </c>
      <c r="O262" s="12" t="s">
        <v>55</v>
      </c>
      <c r="P262" s="12" t="s">
        <v>131</v>
      </c>
      <c r="Q262" s="12" t="s">
        <v>30</v>
      </c>
    </row>
    <row r="263" spans="1:17" x14ac:dyDescent="0.2">
      <c r="A263" s="11">
        <v>45965</v>
      </c>
      <c r="B263" s="12" t="s">
        <v>3370</v>
      </c>
      <c r="C263" s="12"/>
      <c r="D263" s="12" t="s">
        <v>3371</v>
      </c>
      <c r="E263" s="12" t="s">
        <v>16</v>
      </c>
      <c r="F263" s="12" t="s">
        <v>17</v>
      </c>
      <c r="G263" s="13">
        <v>29000</v>
      </c>
      <c r="H263" s="13">
        <v>28000</v>
      </c>
      <c r="I263" s="12" t="s">
        <v>22</v>
      </c>
      <c r="J263" s="12" t="s">
        <v>22</v>
      </c>
      <c r="K263" s="12" t="s">
        <v>3372</v>
      </c>
      <c r="L263" s="12" t="s">
        <v>2997</v>
      </c>
      <c r="M263" s="12" t="s">
        <v>97</v>
      </c>
      <c r="N263" s="12">
        <v>2</v>
      </c>
      <c r="O263" s="12" t="s">
        <v>367</v>
      </c>
      <c r="P263" s="12" t="s">
        <v>41</v>
      </c>
      <c r="Q263" s="12" t="s">
        <v>30</v>
      </c>
    </row>
    <row r="264" spans="1:17" x14ac:dyDescent="0.2">
      <c r="A264" s="11">
        <v>45926</v>
      </c>
      <c r="B264" s="12" t="s">
        <v>4126</v>
      </c>
      <c r="C264" s="12"/>
      <c r="D264" s="12" t="s">
        <v>4127</v>
      </c>
      <c r="E264" s="12" t="s">
        <v>16</v>
      </c>
      <c r="F264" s="12" t="s">
        <v>38</v>
      </c>
      <c r="G264" s="13">
        <v>28000</v>
      </c>
      <c r="H264" s="13">
        <v>28000</v>
      </c>
      <c r="I264" s="12" t="s">
        <v>22</v>
      </c>
      <c r="J264" s="12" t="s">
        <v>22</v>
      </c>
      <c r="K264" s="12" t="s">
        <v>4128</v>
      </c>
      <c r="L264" s="12" t="s">
        <v>4129</v>
      </c>
      <c r="M264" s="12" t="s">
        <v>97</v>
      </c>
      <c r="N264" s="12">
        <v>2</v>
      </c>
      <c r="O264" s="12" t="s">
        <v>156</v>
      </c>
      <c r="P264" s="12" t="s">
        <v>41</v>
      </c>
      <c r="Q264" s="12" t="s">
        <v>30</v>
      </c>
    </row>
    <row r="265" spans="1:17" x14ac:dyDescent="0.2">
      <c r="A265" s="11">
        <v>45783</v>
      </c>
      <c r="B265" s="12" t="s">
        <v>6897</v>
      </c>
      <c r="C265" s="12"/>
      <c r="D265" s="12" t="s">
        <v>6898</v>
      </c>
      <c r="E265" s="12" t="s">
        <v>16</v>
      </c>
      <c r="F265" s="12" t="s">
        <v>17</v>
      </c>
      <c r="G265" s="13">
        <v>31900</v>
      </c>
      <c r="H265" s="13">
        <v>28000</v>
      </c>
      <c r="I265" s="12" t="s">
        <v>22</v>
      </c>
      <c r="J265" s="12" t="s">
        <v>22</v>
      </c>
      <c r="K265" s="12" t="s">
        <v>6899</v>
      </c>
      <c r="L265" s="12" t="s">
        <v>482</v>
      </c>
      <c r="M265" s="12" t="s">
        <v>188</v>
      </c>
      <c r="N265" s="12">
        <v>2</v>
      </c>
      <c r="O265" s="12" t="s">
        <v>20</v>
      </c>
      <c r="P265" s="12" t="s">
        <v>21</v>
      </c>
      <c r="Q265" s="12" t="s">
        <v>30</v>
      </c>
    </row>
    <row r="266" spans="1:17" x14ac:dyDescent="0.2">
      <c r="A266" s="11">
        <v>45761</v>
      </c>
      <c r="B266" s="12" t="s">
        <v>7292</v>
      </c>
      <c r="C266" s="12"/>
      <c r="D266" s="12" t="s">
        <v>7293</v>
      </c>
      <c r="E266" s="12" t="s">
        <v>16</v>
      </c>
      <c r="F266" s="12" t="s">
        <v>47</v>
      </c>
      <c r="G266" s="13">
        <v>28000</v>
      </c>
      <c r="H266" s="13">
        <v>28000</v>
      </c>
      <c r="I266" s="12" t="s">
        <v>22</v>
      </c>
      <c r="J266" s="12" t="s">
        <v>22</v>
      </c>
      <c r="K266" s="12" t="s">
        <v>1145</v>
      </c>
      <c r="L266" s="12" t="s">
        <v>1136</v>
      </c>
      <c r="M266" s="12" t="s">
        <v>97</v>
      </c>
      <c r="N266" s="12">
        <v>1</v>
      </c>
      <c r="O266" s="12" t="s">
        <v>227</v>
      </c>
      <c r="P266" s="12" t="s">
        <v>131</v>
      </c>
      <c r="Q266" s="12" t="s">
        <v>30</v>
      </c>
    </row>
    <row r="267" spans="1:17" x14ac:dyDescent="0.2">
      <c r="A267" s="11">
        <v>45744</v>
      </c>
      <c r="B267" s="12" t="s">
        <v>7532</v>
      </c>
      <c r="C267" s="12"/>
      <c r="D267" s="12" t="s">
        <v>7533</v>
      </c>
      <c r="E267" s="12" t="s">
        <v>16</v>
      </c>
      <c r="F267" s="12" t="s">
        <v>58</v>
      </c>
      <c r="G267" s="13">
        <v>30000</v>
      </c>
      <c r="H267" s="13">
        <v>28000</v>
      </c>
      <c r="I267" s="12" t="s">
        <v>22</v>
      </c>
      <c r="J267" s="12" t="s">
        <v>22</v>
      </c>
      <c r="K267" s="12" t="s">
        <v>7534</v>
      </c>
      <c r="L267" s="12" t="s">
        <v>657</v>
      </c>
      <c r="M267" s="12" t="s">
        <v>97</v>
      </c>
      <c r="N267" s="12">
        <v>2</v>
      </c>
      <c r="O267" s="12" t="s">
        <v>50</v>
      </c>
      <c r="P267" s="12" t="s">
        <v>21</v>
      </c>
      <c r="Q267" s="12" t="s">
        <v>30</v>
      </c>
    </row>
    <row r="268" spans="1:17" x14ac:dyDescent="0.2">
      <c r="A268" s="11">
        <v>45699</v>
      </c>
      <c r="B268" s="12" t="s">
        <v>8126</v>
      </c>
      <c r="C268" s="12"/>
      <c r="D268" s="12" t="s">
        <v>8127</v>
      </c>
      <c r="E268" s="12" t="s">
        <v>16</v>
      </c>
      <c r="F268" s="12" t="s">
        <v>17</v>
      </c>
      <c r="G268" s="13">
        <v>28000</v>
      </c>
      <c r="H268" s="13">
        <v>28000</v>
      </c>
      <c r="I268" s="12" t="s">
        <v>22</v>
      </c>
      <c r="J268" s="12" t="s">
        <v>22</v>
      </c>
      <c r="K268" s="12" t="s">
        <v>8128</v>
      </c>
      <c r="L268" s="12" t="s">
        <v>54</v>
      </c>
      <c r="M268" s="12" t="s">
        <v>300</v>
      </c>
      <c r="N268" s="12">
        <v>1</v>
      </c>
      <c r="O268" s="12" t="s">
        <v>55</v>
      </c>
      <c r="P268" s="12" t="s">
        <v>131</v>
      </c>
      <c r="Q268" s="12" t="s">
        <v>30</v>
      </c>
    </row>
    <row r="269" spans="1:17" x14ac:dyDescent="0.2">
      <c r="A269" s="11">
        <v>45692</v>
      </c>
      <c r="B269" s="12" t="s">
        <v>8176</v>
      </c>
      <c r="C269" s="12"/>
      <c r="D269" s="12" t="s">
        <v>8177</v>
      </c>
      <c r="E269" s="12" t="s">
        <v>16</v>
      </c>
      <c r="F269" s="12" t="s">
        <v>243</v>
      </c>
      <c r="G269" s="13">
        <v>28000</v>
      </c>
      <c r="H269" s="13">
        <v>28000</v>
      </c>
      <c r="I269" s="12" t="s">
        <v>22</v>
      </c>
      <c r="J269" s="12" t="s">
        <v>22</v>
      </c>
      <c r="K269" s="12" t="s">
        <v>8178</v>
      </c>
      <c r="L269" s="12" t="s">
        <v>1531</v>
      </c>
      <c r="M269" s="12" t="s">
        <v>97</v>
      </c>
      <c r="N269" s="12">
        <v>2</v>
      </c>
      <c r="O269" s="12" t="s">
        <v>85</v>
      </c>
      <c r="P269" s="12" t="s">
        <v>41</v>
      </c>
      <c r="Q269" s="12" t="s">
        <v>30</v>
      </c>
    </row>
    <row r="270" spans="1:17" x14ac:dyDescent="0.2">
      <c r="A270" s="11">
        <v>45936</v>
      </c>
      <c r="B270" s="12">
        <v>6102025</v>
      </c>
      <c r="C270" s="12"/>
      <c r="D270" s="12" t="s">
        <v>3974</v>
      </c>
      <c r="E270" s="12" t="s">
        <v>16</v>
      </c>
      <c r="F270" s="12" t="s">
        <v>127</v>
      </c>
      <c r="G270" s="13">
        <v>0</v>
      </c>
      <c r="H270" s="13">
        <v>28200</v>
      </c>
      <c r="I270" s="12" t="s">
        <v>22</v>
      </c>
      <c r="J270" s="12" t="s">
        <v>22</v>
      </c>
      <c r="K270" s="12"/>
      <c r="L270" s="12" t="s">
        <v>129</v>
      </c>
      <c r="M270" s="12" t="s">
        <v>97</v>
      </c>
      <c r="N270" s="12">
        <v>1</v>
      </c>
      <c r="O270" s="12" t="s">
        <v>130</v>
      </c>
      <c r="P270" s="12" t="s">
        <v>131</v>
      </c>
      <c r="Q270" s="12" t="s">
        <v>30</v>
      </c>
    </row>
    <row r="271" spans="1:17" x14ac:dyDescent="0.2">
      <c r="A271" s="11">
        <v>45992</v>
      </c>
      <c r="B271" s="12" t="s">
        <v>2811</v>
      </c>
      <c r="C271" s="12"/>
      <c r="D271" s="12" t="s">
        <v>2812</v>
      </c>
      <c r="E271" s="12" t="s">
        <v>16</v>
      </c>
      <c r="F271" s="12" t="s">
        <v>17</v>
      </c>
      <c r="G271" s="13">
        <v>36500</v>
      </c>
      <c r="H271" s="13">
        <v>28500</v>
      </c>
      <c r="I271" s="12" t="s">
        <v>22</v>
      </c>
      <c r="J271" s="12" t="s">
        <v>22</v>
      </c>
      <c r="K271" s="12" t="s">
        <v>2813</v>
      </c>
      <c r="L271" s="12" t="s">
        <v>2814</v>
      </c>
      <c r="M271" s="12" t="s">
        <v>97</v>
      </c>
      <c r="N271" s="12">
        <v>2</v>
      </c>
      <c r="O271" s="12" t="s">
        <v>65</v>
      </c>
      <c r="P271" s="12" t="s">
        <v>21</v>
      </c>
      <c r="Q271" s="12" t="s">
        <v>30</v>
      </c>
    </row>
    <row r="272" spans="1:17" x14ac:dyDescent="0.2">
      <c r="A272" s="11">
        <v>45966</v>
      </c>
      <c r="B272" s="12" t="s">
        <v>3338</v>
      </c>
      <c r="C272" s="12"/>
      <c r="D272" s="12" t="s">
        <v>3339</v>
      </c>
      <c r="E272" s="12" t="s">
        <v>16</v>
      </c>
      <c r="F272" s="12" t="s">
        <v>58</v>
      </c>
      <c r="G272" s="13">
        <v>71900</v>
      </c>
      <c r="H272" s="13">
        <v>28863</v>
      </c>
      <c r="I272" s="12" t="s">
        <v>22</v>
      </c>
      <c r="J272" s="12" t="s">
        <v>22</v>
      </c>
      <c r="K272" s="12" t="s">
        <v>3340</v>
      </c>
      <c r="L272" s="12" t="s">
        <v>2939</v>
      </c>
      <c r="M272" s="12" t="s">
        <v>19</v>
      </c>
      <c r="N272" s="12">
        <v>2</v>
      </c>
      <c r="O272" s="12" t="s">
        <v>50</v>
      </c>
      <c r="P272" s="12" t="s">
        <v>21</v>
      </c>
      <c r="Q272" s="12" t="s">
        <v>30</v>
      </c>
    </row>
    <row r="273" spans="1:17" x14ac:dyDescent="0.2">
      <c r="A273" s="11">
        <v>46086</v>
      </c>
      <c r="B273" s="12" t="s">
        <v>943</v>
      </c>
      <c r="C273" s="12"/>
      <c r="D273" s="12" t="s">
        <v>944</v>
      </c>
      <c r="E273" s="12" t="s">
        <v>16</v>
      </c>
      <c r="F273" s="12" t="s">
        <v>17</v>
      </c>
      <c r="G273" s="13">
        <v>29000</v>
      </c>
      <c r="H273" s="13">
        <v>29000</v>
      </c>
      <c r="I273" s="12" t="s">
        <v>22</v>
      </c>
      <c r="J273" s="12" t="s">
        <v>22</v>
      </c>
      <c r="K273" s="12" t="s">
        <v>945</v>
      </c>
      <c r="L273" s="12" t="s">
        <v>946</v>
      </c>
      <c r="M273" s="12" t="s">
        <v>97</v>
      </c>
      <c r="N273" s="12">
        <v>2</v>
      </c>
      <c r="O273" s="12" t="s">
        <v>65</v>
      </c>
      <c r="P273" s="12" t="s">
        <v>41</v>
      </c>
      <c r="Q273" s="12" t="s">
        <v>30</v>
      </c>
    </row>
    <row r="274" spans="1:17" x14ac:dyDescent="0.2">
      <c r="A274" s="11">
        <v>46031</v>
      </c>
      <c r="B274" s="12" t="s">
        <v>2006</v>
      </c>
      <c r="C274" s="12"/>
      <c r="D274" s="12" t="s">
        <v>2007</v>
      </c>
      <c r="E274" s="12" t="s">
        <v>16</v>
      </c>
      <c r="F274" s="12" t="s">
        <v>38</v>
      </c>
      <c r="G274" s="13">
        <v>39000</v>
      </c>
      <c r="H274" s="13">
        <v>29000</v>
      </c>
      <c r="I274" s="12" t="s">
        <v>22</v>
      </c>
      <c r="J274" s="12" t="s">
        <v>22</v>
      </c>
      <c r="K274" s="12" t="s">
        <v>1050</v>
      </c>
      <c r="L274" s="12" t="s">
        <v>2008</v>
      </c>
      <c r="M274" s="12" t="s">
        <v>97</v>
      </c>
      <c r="N274" s="12">
        <v>2</v>
      </c>
      <c r="O274" s="12" t="s">
        <v>40</v>
      </c>
      <c r="P274" s="12" t="s">
        <v>41</v>
      </c>
      <c r="Q274" s="12" t="s">
        <v>30</v>
      </c>
    </row>
    <row r="275" spans="1:17" x14ac:dyDescent="0.2">
      <c r="A275" s="11">
        <v>45947</v>
      </c>
      <c r="B275" s="12" t="s">
        <v>3711</v>
      </c>
      <c r="C275" s="12"/>
      <c r="D275" s="12" t="s">
        <v>3712</v>
      </c>
      <c r="E275" s="12" t="s">
        <v>16</v>
      </c>
      <c r="F275" s="12" t="s">
        <v>243</v>
      </c>
      <c r="G275" s="13">
        <v>30000</v>
      </c>
      <c r="H275" s="13">
        <v>29000</v>
      </c>
      <c r="I275" s="12" t="s">
        <v>22</v>
      </c>
      <c r="J275" s="12" t="s">
        <v>22</v>
      </c>
      <c r="K275" s="12" t="s">
        <v>3713</v>
      </c>
      <c r="L275" s="12" t="s">
        <v>449</v>
      </c>
      <c r="M275" s="12" t="s">
        <v>97</v>
      </c>
      <c r="N275" s="12">
        <v>2</v>
      </c>
      <c r="O275" s="12" t="s">
        <v>367</v>
      </c>
      <c r="P275" s="12" t="s">
        <v>21</v>
      </c>
      <c r="Q275" s="12" t="s">
        <v>30</v>
      </c>
    </row>
    <row r="276" spans="1:17" x14ac:dyDescent="0.2">
      <c r="A276" s="11">
        <v>45863</v>
      </c>
      <c r="B276" s="12"/>
      <c r="C276" s="12"/>
      <c r="D276" s="12" t="s">
        <v>5368</v>
      </c>
      <c r="E276" s="12" t="s">
        <v>16</v>
      </c>
      <c r="F276" s="12" t="s">
        <v>17</v>
      </c>
      <c r="G276" s="13">
        <v>29000</v>
      </c>
      <c r="H276" s="13">
        <v>29000</v>
      </c>
      <c r="I276" s="12" t="s">
        <v>22</v>
      </c>
      <c r="J276" s="12" t="s">
        <v>22</v>
      </c>
      <c r="K276" s="12" t="s">
        <v>5369</v>
      </c>
      <c r="L276" s="12" t="s">
        <v>170</v>
      </c>
      <c r="M276" s="12" t="s">
        <v>300</v>
      </c>
      <c r="N276" s="12">
        <v>1</v>
      </c>
      <c r="O276" s="12" t="s">
        <v>171</v>
      </c>
      <c r="P276" s="12" t="s">
        <v>146</v>
      </c>
      <c r="Q276" s="12" t="s">
        <v>30</v>
      </c>
    </row>
    <row r="277" spans="1:17" x14ac:dyDescent="0.2">
      <c r="A277" s="11">
        <v>45855</v>
      </c>
      <c r="B277" s="12" t="s">
        <v>5516</v>
      </c>
      <c r="C277" s="12"/>
      <c r="D277" s="12" t="s">
        <v>5517</v>
      </c>
      <c r="E277" s="12" t="s">
        <v>16</v>
      </c>
      <c r="F277" s="12" t="s">
        <v>82</v>
      </c>
      <c r="G277" s="13">
        <v>32000</v>
      </c>
      <c r="H277" s="13">
        <v>29000</v>
      </c>
      <c r="I277" s="12" t="s">
        <v>22</v>
      </c>
      <c r="J277" s="12" t="s">
        <v>22</v>
      </c>
      <c r="K277" s="12" t="s">
        <v>5518</v>
      </c>
      <c r="L277" s="12" t="s">
        <v>2546</v>
      </c>
      <c r="M277" s="12" t="s">
        <v>97</v>
      </c>
      <c r="N277" s="12">
        <v>2</v>
      </c>
      <c r="O277" s="12" t="s">
        <v>85</v>
      </c>
      <c r="P277" s="12" t="s">
        <v>21</v>
      </c>
      <c r="Q277" s="12" t="s">
        <v>30</v>
      </c>
    </row>
    <row r="278" spans="1:17" x14ac:dyDescent="0.2">
      <c r="A278" s="11">
        <v>45797</v>
      </c>
      <c r="B278" s="12" t="s">
        <v>6654</v>
      </c>
      <c r="C278" s="12"/>
      <c r="D278" s="12" t="s">
        <v>6655</v>
      </c>
      <c r="E278" s="12" t="s">
        <v>16</v>
      </c>
      <c r="F278" s="12" t="s">
        <v>82</v>
      </c>
      <c r="G278" s="13">
        <v>29000</v>
      </c>
      <c r="H278" s="13">
        <v>29000</v>
      </c>
      <c r="I278" s="12" t="s">
        <v>22</v>
      </c>
      <c r="J278" s="12" t="s">
        <v>22</v>
      </c>
      <c r="K278" s="12"/>
      <c r="L278" s="12" t="s">
        <v>1136</v>
      </c>
      <c r="M278" s="12" t="s">
        <v>97</v>
      </c>
      <c r="N278" s="12">
        <v>1</v>
      </c>
      <c r="O278" s="12" t="s">
        <v>227</v>
      </c>
      <c r="P278" s="12" t="s">
        <v>131</v>
      </c>
      <c r="Q278" s="12" t="s">
        <v>30</v>
      </c>
    </row>
    <row r="279" spans="1:17" x14ac:dyDescent="0.2">
      <c r="A279" s="11">
        <v>45790</v>
      </c>
      <c r="B279" s="12" t="s">
        <v>6794</v>
      </c>
      <c r="C279" s="12"/>
      <c r="D279" s="12" t="s">
        <v>6795</v>
      </c>
      <c r="E279" s="12" t="s">
        <v>16</v>
      </c>
      <c r="F279" s="12" t="s">
        <v>127</v>
      </c>
      <c r="G279" s="13">
        <v>28000</v>
      </c>
      <c r="H279" s="13">
        <v>29000</v>
      </c>
      <c r="I279" s="12" t="s">
        <v>22</v>
      </c>
      <c r="J279" s="12" t="s">
        <v>22</v>
      </c>
      <c r="K279" s="12" t="s">
        <v>6796</v>
      </c>
      <c r="L279" s="12" t="s">
        <v>1574</v>
      </c>
      <c r="M279" s="12" t="s">
        <v>97</v>
      </c>
      <c r="N279" s="12">
        <v>2</v>
      </c>
      <c r="O279" s="12" t="s">
        <v>367</v>
      </c>
      <c r="P279" s="12" t="s">
        <v>21</v>
      </c>
      <c r="Q279" s="12" t="s">
        <v>30</v>
      </c>
    </row>
    <row r="280" spans="1:17" x14ac:dyDescent="0.2">
      <c r="A280" s="11">
        <v>45968</v>
      </c>
      <c r="B280" s="12" t="s">
        <v>3300</v>
      </c>
      <c r="C280" s="12"/>
      <c r="D280" s="12" t="s">
        <v>3301</v>
      </c>
      <c r="E280" s="12" t="s">
        <v>16</v>
      </c>
      <c r="F280" s="12" t="s">
        <v>38</v>
      </c>
      <c r="G280" s="13">
        <v>33000</v>
      </c>
      <c r="H280" s="13">
        <v>29400</v>
      </c>
      <c r="I280" s="12" t="s">
        <v>22</v>
      </c>
      <c r="J280" s="12" t="s">
        <v>22</v>
      </c>
      <c r="K280" s="12" t="s">
        <v>3302</v>
      </c>
      <c r="L280" s="12" t="s">
        <v>1827</v>
      </c>
      <c r="M280" s="12" t="s">
        <v>97</v>
      </c>
      <c r="N280" s="12">
        <v>2</v>
      </c>
      <c r="O280" s="12" t="s">
        <v>151</v>
      </c>
      <c r="P280" s="12" t="s">
        <v>41</v>
      </c>
      <c r="Q280" s="12" t="s">
        <v>30</v>
      </c>
    </row>
    <row r="281" spans="1:17" x14ac:dyDescent="0.2">
      <c r="A281" s="11">
        <v>45982</v>
      </c>
      <c r="B281" s="12" t="s">
        <v>3002</v>
      </c>
      <c r="C281" s="12"/>
      <c r="D281" s="12" t="s">
        <v>3003</v>
      </c>
      <c r="E281" s="12" t="s">
        <v>16</v>
      </c>
      <c r="F281" s="12" t="s">
        <v>82</v>
      </c>
      <c r="G281" s="13">
        <v>29900</v>
      </c>
      <c r="H281" s="13">
        <v>29900</v>
      </c>
      <c r="I281" s="12" t="s">
        <v>22</v>
      </c>
      <c r="J281" s="12" t="s">
        <v>22</v>
      </c>
      <c r="K281" s="12" t="s">
        <v>3004</v>
      </c>
      <c r="L281" s="12" t="s">
        <v>3005</v>
      </c>
      <c r="M281" s="12" t="s">
        <v>97</v>
      </c>
      <c r="N281" s="12">
        <v>2</v>
      </c>
      <c r="O281" s="12" t="s">
        <v>85</v>
      </c>
      <c r="P281" s="12" t="s">
        <v>41</v>
      </c>
      <c r="Q281" s="12" t="s">
        <v>30</v>
      </c>
    </row>
    <row r="282" spans="1:17" x14ac:dyDescent="0.2">
      <c r="A282" s="11">
        <v>46112</v>
      </c>
      <c r="B282" s="12" t="s">
        <v>118</v>
      </c>
      <c r="C282" s="12"/>
      <c r="D282" s="12" t="s">
        <v>119</v>
      </c>
      <c r="E282" s="12" t="s">
        <v>16</v>
      </c>
      <c r="F282" s="12" t="s">
        <v>38</v>
      </c>
      <c r="G282" s="13">
        <v>33000</v>
      </c>
      <c r="H282" s="13">
        <v>30000</v>
      </c>
      <c r="I282" s="12" t="s">
        <v>22</v>
      </c>
      <c r="J282" s="12" t="s">
        <v>22</v>
      </c>
      <c r="K282" s="12" t="s">
        <v>120</v>
      </c>
      <c r="L282" s="12" t="s">
        <v>54</v>
      </c>
      <c r="M282" s="12"/>
      <c r="N282" s="12">
        <v>2</v>
      </c>
      <c r="O282" s="12" t="s">
        <v>55</v>
      </c>
      <c r="P282" s="12" t="s">
        <v>21</v>
      </c>
      <c r="Q282" s="12" t="s">
        <v>30</v>
      </c>
    </row>
    <row r="283" spans="1:17" x14ac:dyDescent="0.2">
      <c r="A283" s="11">
        <v>46083</v>
      </c>
      <c r="B283" s="12" t="s">
        <v>986</v>
      </c>
      <c r="C283" s="12"/>
      <c r="D283" s="12" t="s">
        <v>987</v>
      </c>
      <c r="E283" s="12" t="s">
        <v>16</v>
      </c>
      <c r="F283" s="12" t="s">
        <v>17</v>
      </c>
      <c r="G283" s="13">
        <v>34000</v>
      </c>
      <c r="H283" s="13">
        <v>30000</v>
      </c>
      <c r="I283" s="12" t="s">
        <v>22</v>
      </c>
      <c r="J283" s="12" t="s">
        <v>22</v>
      </c>
      <c r="K283" s="12" t="s">
        <v>988</v>
      </c>
      <c r="L283" s="12" t="s">
        <v>989</v>
      </c>
      <c r="M283" s="12" t="s">
        <v>19</v>
      </c>
      <c r="N283" s="12">
        <v>2</v>
      </c>
      <c r="O283" s="12" t="s">
        <v>65</v>
      </c>
      <c r="P283" s="12" t="s">
        <v>21</v>
      </c>
      <c r="Q283" s="12" t="s">
        <v>30</v>
      </c>
    </row>
    <row r="284" spans="1:17" x14ac:dyDescent="0.2">
      <c r="A284" s="11">
        <v>46042</v>
      </c>
      <c r="B284" s="12"/>
      <c r="C284" s="12"/>
      <c r="D284" s="12" t="s">
        <v>1819</v>
      </c>
      <c r="E284" s="12" t="s">
        <v>16</v>
      </c>
      <c r="F284" s="12" t="s">
        <v>38</v>
      </c>
      <c r="G284" s="13">
        <v>30000</v>
      </c>
      <c r="H284" s="13">
        <v>30000</v>
      </c>
      <c r="I284" s="12" t="s">
        <v>22</v>
      </c>
      <c r="J284" s="12" t="s">
        <v>22</v>
      </c>
      <c r="K284" s="12"/>
      <c r="L284" s="12" t="s">
        <v>538</v>
      </c>
      <c r="M284" s="12" t="s">
        <v>97</v>
      </c>
      <c r="N284" s="12">
        <v>2</v>
      </c>
      <c r="O284" s="12" t="s">
        <v>367</v>
      </c>
      <c r="P284" s="12" t="s">
        <v>44</v>
      </c>
      <c r="Q284" s="12" t="s">
        <v>30</v>
      </c>
    </row>
    <row r="285" spans="1:17" x14ac:dyDescent="0.2">
      <c r="A285" s="11">
        <v>46035</v>
      </c>
      <c r="B285" s="12" t="s">
        <v>1957</v>
      </c>
      <c r="C285" s="12"/>
      <c r="D285" s="12" t="s">
        <v>1958</v>
      </c>
      <c r="E285" s="12" t="s">
        <v>16</v>
      </c>
      <c r="F285" s="12" t="s">
        <v>82</v>
      </c>
      <c r="G285" s="13">
        <v>35000</v>
      </c>
      <c r="H285" s="13">
        <v>30000</v>
      </c>
      <c r="I285" s="12" t="s">
        <v>22</v>
      </c>
      <c r="J285" s="12" t="s">
        <v>22</v>
      </c>
      <c r="K285" s="12" t="s">
        <v>1959</v>
      </c>
      <c r="L285" s="12" t="s">
        <v>1960</v>
      </c>
      <c r="M285" s="12" t="s">
        <v>97</v>
      </c>
      <c r="N285" s="12">
        <v>2</v>
      </c>
      <c r="O285" s="12" t="s">
        <v>55</v>
      </c>
      <c r="P285" s="12" t="s">
        <v>21</v>
      </c>
      <c r="Q285" s="12" t="s">
        <v>30</v>
      </c>
    </row>
    <row r="286" spans="1:17" x14ac:dyDescent="0.2">
      <c r="A286" s="11">
        <v>46000</v>
      </c>
      <c r="B286" s="12" t="s">
        <v>2588</v>
      </c>
      <c r="C286" s="12"/>
      <c r="D286" s="12" t="s">
        <v>2589</v>
      </c>
      <c r="E286" s="12" t="s">
        <v>16</v>
      </c>
      <c r="F286" s="12" t="s">
        <v>47</v>
      </c>
      <c r="G286" s="13">
        <v>30000</v>
      </c>
      <c r="H286" s="13">
        <v>30000</v>
      </c>
      <c r="I286" s="12" t="s">
        <v>22</v>
      </c>
      <c r="J286" s="12" t="s">
        <v>22</v>
      </c>
      <c r="K286" s="12"/>
      <c r="L286" s="12" t="s">
        <v>530</v>
      </c>
      <c r="M286" s="12" t="s">
        <v>97</v>
      </c>
      <c r="N286" s="12">
        <v>2</v>
      </c>
      <c r="O286" s="12" t="s">
        <v>359</v>
      </c>
      <c r="P286" s="12" t="s">
        <v>21</v>
      </c>
      <c r="Q286" s="12" t="s">
        <v>30</v>
      </c>
    </row>
    <row r="287" spans="1:17" x14ac:dyDescent="0.2">
      <c r="A287" s="11">
        <v>45973</v>
      </c>
      <c r="B287" s="12" t="s">
        <v>3225</v>
      </c>
      <c r="C287" s="12"/>
      <c r="D287" s="12" t="s">
        <v>3226</v>
      </c>
      <c r="E287" s="12" t="s">
        <v>16</v>
      </c>
      <c r="F287" s="12" t="s">
        <v>82</v>
      </c>
      <c r="G287" s="13">
        <v>42000</v>
      </c>
      <c r="H287" s="13">
        <v>30000</v>
      </c>
      <c r="I287" s="12" t="s">
        <v>22</v>
      </c>
      <c r="J287" s="12" t="s">
        <v>22</v>
      </c>
      <c r="K287" s="12" t="s">
        <v>3227</v>
      </c>
      <c r="L287" s="12" t="s">
        <v>54</v>
      </c>
      <c r="M287" s="12" t="s">
        <v>28</v>
      </c>
      <c r="N287" s="12">
        <v>2</v>
      </c>
      <c r="O287" s="12" t="s">
        <v>55</v>
      </c>
      <c r="P287" s="12" t="s">
        <v>41</v>
      </c>
      <c r="Q287" s="12" t="s">
        <v>30</v>
      </c>
    </row>
    <row r="288" spans="1:17" x14ac:dyDescent="0.2">
      <c r="A288" s="11">
        <v>45953</v>
      </c>
      <c r="B288" s="12" t="s">
        <v>3559</v>
      </c>
      <c r="C288" s="12"/>
      <c r="D288" s="12" t="s">
        <v>3560</v>
      </c>
      <c r="E288" s="12" t="s">
        <v>16</v>
      </c>
      <c r="F288" s="12" t="s">
        <v>47</v>
      </c>
      <c r="G288" s="13">
        <v>33000</v>
      </c>
      <c r="H288" s="13">
        <v>30000</v>
      </c>
      <c r="I288" s="12" t="s">
        <v>22</v>
      </c>
      <c r="J288" s="12" t="s">
        <v>22</v>
      </c>
      <c r="K288" s="12" t="s">
        <v>3561</v>
      </c>
      <c r="L288" s="12" t="s">
        <v>1672</v>
      </c>
      <c r="M288" s="12" t="s">
        <v>19</v>
      </c>
      <c r="N288" s="12">
        <v>2</v>
      </c>
      <c r="O288" s="12" t="s">
        <v>50</v>
      </c>
      <c r="P288" s="12" t="s">
        <v>21</v>
      </c>
      <c r="Q288" s="12" t="s">
        <v>30</v>
      </c>
    </row>
    <row r="289" spans="1:17" x14ac:dyDescent="0.2">
      <c r="A289" s="11">
        <v>45898</v>
      </c>
      <c r="B289" s="12" t="s">
        <v>4659</v>
      </c>
      <c r="C289" s="12"/>
      <c r="D289" s="12" t="s">
        <v>4660</v>
      </c>
      <c r="E289" s="12" t="s">
        <v>16</v>
      </c>
      <c r="F289" s="12" t="s">
        <v>134</v>
      </c>
      <c r="G289" s="13">
        <v>41000</v>
      </c>
      <c r="H289" s="13">
        <v>30000</v>
      </c>
      <c r="I289" s="12" t="s">
        <v>22</v>
      </c>
      <c r="J289" s="12" t="s">
        <v>22</v>
      </c>
      <c r="K289" s="12" t="s">
        <v>2852</v>
      </c>
      <c r="L289" s="12" t="s">
        <v>1454</v>
      </c>
      <c r="M289" s="12" t="s">
        <v>97</v>
      </c>
      <c r="N289" s="12">
        <v>2</v>
      </c>
      <c r="O289" s="12" t="s">
        <v>130</v>
      </c>
      <c r="P289" s="12" t="s">
        <v>41</v>
      </c>
      <c r="Q289" s="12" t="s">
        <v>30</v>
      </c>
    </row>
    <row r="290" spans="1:17" x14ac:dyDescent="0.2">
      <c r="A290" s="11">
        <v>45888</v>
      </c>
      <c r="B290" s="12" t="s">
        <v>4950</v>
      </c>
      <c r="C290" s="12"/>
      <c r="D290" s="12" t="s">
        <v>4951</v>
      </c>
      <c r="E290" s="12" t="s">
        <v>16</v>
      </c>
      <c r="F290" s="12" t="s">
        <v>53</v>
      </c>
      <c r="G290" s="13">
        <v>40000</v>
      </c>
      <c r="H290" s="13">
        <v>30000</v>
      </c>
      <c r="I290" s="12" t="s">
        <v>22</v>
      </c>
      <c r="J290" s="12" t="s">
        <v>22</v>
      </c>
      <c r="K290" s="12" t="s">
        <v>4952</v>
      </c>
      <c r="L290" s="12" t="s">
        <v>4953</v>
      </c>
      <c r="M290" s="12" t="s">
        <v>19</v>
      </c>
      <c r="N290" s="12">
        <v>2</v>
      </c>
      <c r="O290" s="12" t="s">
        <v>85</v>
      </c>
      <c r="P290" s="12" t="s">
        <v>41</v>
      </c>
      <c r="Q290" s="12" t="s">
        <v>30</v>
      </c>
    </row>
    <row r="291" spans="1:17" x14ac:dyDescent="0.2">
      <c r="A291" s="11">
        <v>45883</v>
      </c>
      <c r="B291" s="12" t="s">
        <v>4998</v>
      </c>
      <c r="C291" s="12"/>
      <c r="D291" s="12" t="s">
        <v>4999</v>
      </c>
      <c r="E291" s="12" t="s">
        <v>16</v>
      </c>
      <c r="F291" s="12" t="s">
        <v>82</v>
      </c>
      <c r="G291" s="13">
        <v>35000</v>
      </c>
      <c r="H291" s="13">
        <v>30000</v>
      </c>
      <c r="I291" s="12" t="s">
        <v>22</v>
      </c>
      <c r="J291" s="12" t="s">
        <v>22</v>
      </c>
      <c r="K291" s="12" t="s">
        <v>5000</v>
      </c>
      <c r="L291" s="12" t="s">
        <v>449</v>
      </c>
      <c r="M291" s="12" t="s">
        <v>97</v>
      </c>
      <c r="N291" s="12">
        <v>1</v>
      </c>
      <c r="O291" s="12" t="s">
        <v>367</v>
      </c>
      <c r="P291" s="12" t="s">
        <v>66</v>
      </c>
      <c r="Q291" s="12" t="s">
        <v>30</v>
      </c>
    </row>
    <row r="292" spans="1:17" x14ac:dyDescent="0.2">
      <c r="A292" s="11">
        <v>45854</v>
      </c>
      <c r="B292" s="12" t="s">
        <v>5560</v>
      </c>
      <c r="C292" s="12"/>
      <c r="D292" s="12" t="s">
        <v>5561</v>
      </c>
      <c r="E292" s="12" t="s">
        <v>16</v>
      </c>
      <c r="F292" s="12" t="s">
        <v>58</v>
      </c>
      <c r="G292" s="13">
        <v>41000</v>
      </c>
      <c r="H292" s="13">
        <v>30000</v>
      </c>
      <c r="I292" s="12" t="s">
        <v>22</v>
      </c>
      <c r="J292" s="12" t="s">
        <v>22</v>
      </c>
      <c r="K292" s="12" t="s">
        <v>5562</v>
      </c>
      <c r="L292" s="12" t="s">
        <v>5563</v>
      </c>
      <c r="M292" s="12" t="s">
        <v>19</v>
      </c>
      <c r="N292" s="12">
        <v>2</v>
      </c>
      <c r="O292" s="12" t="s">
        <v>252</v>
      </c>
      <c r="P292" s="12" t="s">
        <v>21</v>
      </c>
      <c r="Q292" s="12" t="s">
        <v>30</v>
      </c>
    </row>
    <row r="293" spans="1:17" x14ac:dyDescent="0.2">
      <c r="A293" s="11">
        <v>45852</v>
      </c>
      <c r="B293" s="12" t="s">
        <v>5600</v>
      </c>
      <c r="C293" s="12"/>
      <c r="D293" s="12" t="s">
        <v>5600</v>
      </c>
      <c r="E293" s="12" t="s">
        <v>16</v>
      </c>
      <c r="F293" s="12" t="s">
        <v>58</v>
      </c>
      <c r="G293" s="13">
        <v>60000</v>
      </c>
      <c r="H293" s="13">
        <v>30000</v>
      </c>
      <c r="I293" s="12" t="s">
        <v>22</v>
      </c>
      <c r="J293" s="12" t="s">
        <v>22</v>
      </c>
      <c r="K293" s="12" t="s">
        <v>5600</v>
      </c>
      <c r="L293" s="12" t="s">
        <v>523</v>
      </c>
      <c r="M293" s="12" t="s">
        <v>19</v>
      </c>
      <c r="N293" s="12">
        <v>2</v>
      </c>
      <c r="O293" s="12" t="s">
        <v>50</v>
      </c>
      <c r="P293" s="12" t="s">
        <v>21</v>
      </c>
      <c r="Q293" s="12" t="s">
        <v>30</v>
      </c>
    </row>
    <row r="294" spans="1:17" x14ac:dyDescent="0.2">
      <c r="A294" s="11">
        <v>45814</v>
      </c>
      <c r="B294" s="12" t="s">
        <v>6267</v>
      </c>
      <c r="C294" s="12"/>
      <c r="D294" s="12" t="s">
        <v>6268</v>
      </c>
      <c r="E294" s="12" t="s">
        <v>16</v>
      </c>
      <c r="F294" s="12" t="s">
        <v>17</v>
      </c>
      <c r="G294" s="13">
        <v>32000</v>
      </c>
      <c r="H294" s="13">
        <v>30000</v>
      </c>
      <c r="I294" s="12" t="s">
        <v>22</v>
      </c>
      <c r="J294" s="12" t="s">
        <v>22</v>
      </c>
      <c r="K294" s="12" t="s">
        <v>6269</v>
      </c>
      <c r="L294" s="12" t="s">
        <v>1849</v>
      </c>
      <c r="M294" s="12" t="s">
        <v>19</v>
      </c>
      <c r="N294" s="12">
        <v>2</v>
      </c>
      <c r="O294" s="12" t="s">
        <v>227</v>
      </c>
      <c r="P294" s="12" t="s">
        <v>21</v>
      </c>
      <c r="Q294" s="12" t="s">
        <v>30</v>
      </c>
    </row>
    <row r="295" spans="1:17" x14ac:dyDescent="0.2">
      <c r="A295" s="11">
        <v>45812</v>
      </c>
      <c r="B295" s="12" t="s">
        <v>6346</v>
      </c>
      <c r="C295" s="12"/>
      <c r="D295" s="12" t="s">
        <v>6347</v>
      </c>
      <c r="E295" s="12" t="s">
        <v>16</v>
      </c>
      <c r="F295" s="12" t="s">
        <v>17</v>
      </c>
      <c r="G295" s="13">
        <v>30000</v>
      </c>
      <c r="H295" s="13">
        <v>30000</v>
      </c>
      <c r="I295" s="12" t="s">
        <v>22</v>
      </c>
      <c r="J295" s="12" t="s">
        <v>22</v>
      </c>
      <c r="K295" s="12" t="s">
        <v>6348</v>
      </c>
      <c r="L295" s="12" t="s">
        <v>1177</v>
      </c>
      <c r="M295" s="12" t="s">
        <v>19</v>
      </c>
      <c r="N295" s="12">
        <v>2</v>
      </c>
      <c r="O295" s="12" t="s">
        <v>1081</v>
      </c>
      <c r="P295" s="12" t="s">
        <v>256</v>
      </c>
      <c r="Q295" s="12" t="s">
        <v>30</v>
      </c>
    </row>
    <row r="296" spans="1:17" x14ac:dyDescent="0.2">
      <c r="A296" s="11">
        <v>45797</v>
      </c>
      <c r="B296" s="12" t="s">
        <v>6346</v>
      </c>
      <c r="C296" s="12"/>
      <c r="D296" s="12" t="s">
        <v>6347</v>
      </c>
      <c r="E296" s="12" t="s">
        <v>16</v>
      </c>
      <c r="F296" s="12" t="s">
        <v>38</v>
      </c>
      <c r="G296" s="13">
        <v>30000</v>
      </c>
      <c r="H296" s="13">
        <v>30000</v>
      </c>
      <c r="I296" s="12" t="s">
        <v>22</v>
      </c>
      <c r="J296" s="12" t="s">
        <v>22</v>
      </c>
      <c r="K296" s="12" t="s">
        <v>6348</v>
      </c>
      <c r="L296" s="12" t="s">
        <v>1177</v>
      </c>
      <c r="M296" s="12" t="s">
        <v>19</v>
      </c>
      <c r="N296" s="12">
        <v>2</v>
      </c>
      <c r="O296" s="12" t="s">
        <v>198</v>
      </c>
      <c r="P296" s="12" t="s">
        <v>1578</v>
      </c>
      <c r="Q296" s="12" t="s">
        <v>30</v>
      </c>
    </row>
    <row r="297" spans="1:17" x14ac:dyDescent="0.2">
      <c r="A297" s="11">
        <v>45791</v>
      </c>
      <c r="B297" s="12" t="s">
        <v>6733</v>
      </c>
      <c r="C297" s="12"/>
      <c r="D297" s="12" t="s">
        <v>6734</v>
      </c>
      <c r="E297" s="12" t="s">
        <v>16</v>
      </c>
      <c r="F297" s="12" t="s">
        <v>38</v>
      </c>
      <c r="G297" s="13">
        <v>35000</v>
      </c>
      <c r="H297" s="13">
        <v>30000</v>
      </c>
      <c r="I297" s="12" t="s">
        <v>22</v>
      </c>
      <c r="J297" s="12" t="s">
        <v>22</v>
      </c>
      <c r="K297" s="12" t="s">
        <v>6734</v>
      </c>
      <c r="L297" s="12" t="s">
        <v>6735</v>
      </c>
      <c r="M297" s="12" t="s">
        <v>28</v>
      </c>
      <c r="N297" s="12">
        <v>2</v>
      </c>
      <c r="O297" s="12" t="s">
        <v>55</v>
      </c>
      <c r="P297" s="12" t="s">
        <v>21</v>
      </c>
      <c r="Q297" s="12" t="s">
        <v>30</v>
      </c>
    </row>
    <row r="298" spans="1:17" x14ac:dyDescent="0.2">
      <c r="A298" s="11">
        <v>45790</v>
      </c>
      <c r="B298" s="12" t="s">
        <v>6767</v>
      </c>
      <c r="C298" s="12"/>
      <c r="D298" s="12" t="s">
        <v>6768</v>
      </c>
      <c r="E298" s="12" t="s">
        <v>16</v>
      </c>
      <c r="F298" s="12" t="s">
        <v>58</v>
      </c>
      <c r="G298" s="13">
        <v>38000</v>
      </c>
      <c r="H298" s="13">
        <v>30000</v>
      </c>
      <c r="I298" s="12" t="s">
        <v>22</v>
      </c>
      <c r="J298" s="12" t="s">
        <v>22</v>
      </c>
      <c r="K298" s="12" t="s">
        <v>6769</v>
      </c>
      <c r="L298" s="12" t="s">
        <v>6770</v>
      </c>
      <c r="M298" s="12" t="s">
        <v>28</v>
      </c>
      <c r="N298" s="12">
        <v>2</v>
      </c>
      <c r="O298" s="12" t="s">
        <v>85</v>
      </c>
      <c r="P298" s="12" t="s">
        <v>21</v>
      </c>
      <c r="Q298" s="12" t="s">
        <v>30</v>
      </c>
    </row>
    <row r="299" spans="1:17" x14ac:dyDescent="0.2">
      <c r="A299" s="11">
        <v>45785</v>
      </c>
      <c r="B299" s="12" t="s">
        <v>6861</v>
      </c>
      <c r="C299" s="12"/>
      <c r="D299" s="12" t="s">
        <v>4901</v>
      </c>
      <c r="E299" s="12" t="s">
        <v>16</v>
      </c>
      <c r="F299" s="12" t="s">
        <v>38</v>
      </c>
      <c r="G299" s="13">
        <v>30000</v>
      </c>
      <c r="H299" s="13">
        <v>30000</v>
      </c>
      <c r="I299" s="12" t="s">
        <v>22</v>
      </c>
      <c r="J299" s="12" t="s">
        <v>22</v>
      </c>
      <c r="K299" s="12" t="s">
        <v>6862</v>
      </c>
      <c r="L299" s="12" t="s">
        <v>630</v>
      </c>
      <c r="M299" s="12" t="s">
        <v>97</v>
      </c>
      <c r="N299" s="12">
        <v>2</v>
      </c>
      <c r="O299" s="12" t="s">
        <v>246</v>
      </c>
      <c r="P299" s="12" t="s">
        <v>21</v>
      </c>
      <c r="Q299" s="12" t="s">
        <v>30</v>
      </c>
    </row>
    <row r="300" spans="1:17" x14ac:dyDescent="0.2">
      <c r="A300" s="11">
        <v>45784</v>
      </c>
      <c r="B300" s="12" t="s">
        <v>6872</v>
      </c>
      <c r="C300" s="12"/>
      <c r="D300" s="12" t="s">
        <v>6873</v>
      </c>
      <c r="E300" s="12" t="s">
        <v>16</v>
      </c>
      <c r="F300" s="12" t="s">
        <v>134</v>
      </c>
      <c r="G300" s="13">
        <v>900</v>
      </c>
      <c r="H300" s="13">
        <v>30000</v>
      </c>
      <c r="I300" s="12" t="s">
        <v>22</v>
      </c>
      <c r="J300" s="12" t="s">
        <v>22</v>
      </c>
      <c r="K300" s="12" t="s">
        <v>6874</v>
      </c>
      <c r="L300" s="12" t="s">
        <v>6875</v>
      </c>
      <c r="M300" s="12" t="s">
        <v>28</v>
      </c>
      <c r="N300" s="12">
        <v>2</v>
      </c>
      <c r="O300" s="12" t="s">
        <v>130</v>
      </c>
      <c r="P300" s="12" t="s">
        <v>21</v>
      </c>
      <c r="Q300" s="12" t="s">
        <v>30</v>
      </c>
    </row>
    <row r="301" spans="1:17" x14ac:dyDescent="0.2">
      <c r="A301" s="11">
        <v>45734</v>
      </c>
      <c r="B301" s="12" t="s">
        <v>7705</v>
      </c>
      <c r="C301" s="12"/>
      <c r="D301" s="12" t="s">
        <v>7706</v>
      </c>
      <c r="E301" s="12" t="s">
        <v>16</v>
      </c>
      <c r="F301" s="12" t="s">
        <v>17</v>
      </c>
      <c r="G301" s="13">
        <v>32000</v>
      </c>
      <c r="H301" s="13">
        <v>30000</v>
      </c>
      <c r="I301" s="12" t="s">
        <v>22</v>
      </c>
      <c r="J301" s="12" t="s">
        <v>22</v>
      </c>
      <c r="K301" s="12" t="s">
        <v>7707</v>
      </c>
      <c r="L301" s="12" t="s">
        <v>2068</v>
      </c>
      <c r="M301" s="12" t="s">
        <v>72</v>
      </c>
      <c r="N301" s="12">
        <v>2</v>
      </c>
      <c r="O301" s="12" t="s">
        <v>151</v>
      </c>
      <c r="P301" s="12" t="s">
        <v>41</v>
      </c>
      <c r="Q301" s="12" t="s">
        <v>30</v>
      </c>
    </row>
    <row r="302" spans="1:17" x14ac:dyDescent="0.2">
      <c r="A302" s="11">
        <v>45716</v>
      </c>
      <c r="B302" s="12" t="s">
        <v>7906</v>
      </c>
      <c r="C302" s="12"/>
      <c r="D302" s="12" t="s">
        <v>7907</v>
      </c>
      <c r="E302" s="12" t="s">
        <v>16</v>
      </c>
      <c r="F302" s="12" t="s">
        <v>17</v>
      </c>
      <c r="G302" s="13">
        <v>30000</v>
      </c>
      <c r="H302" s="13">
        <v>30000</v>
      </c>
      <c r="I302" s="12" t="s">
        <v>22</v>
      </c>
      <c r="J302" s="12" t="s">
        <v>22</v>
      </c>
      <c r="K302" s="12" t="s">
        <v>7908</v>
      </c>
      <c r="L302" s="12" t="s">
        <v>189</v>
      </c>
      <c r="M302" s="12" t="s">
        <v>97</v>
      </c>
      <c r="N302" s="12">
        <v>2</v>
      </c>
      <c r="O302" s="12" t="s">
        <v>151</v>
      </c>
      <c r="P302" s="12" t="s">
        <v>276</v>
      </c>
      <c r="Q302" s="12" t="s">
        <v>30</v>
      </c>
    </row>
    <row r="303" spans="1:17" x14ac:dyDescent="0.2">
      <c r="A303" s="11">
        <v>45665</v>
      </c>
      <c r="B303" s="12" t="s">
        <v>8457</v>
      </c>
      <c r="C303" s="12"/>
      <c r="D303" s="12" t="s">
        <v>8458</v>
      </c>
      <c r="E303" s="12" t="s">
        <v>16</v>
      </c>
      <c r="F303" s="12" t="s">
        <v>134</v>
      </c>
      <c r="G303" s="13">
        <v>30000</v>
      </c>
      <c r="H303" s="13">
        <v>30000</v>
      </c>
      <c r="I303" s="12" t="s">
        <v>22</v>
      </c>
      <c r="J303" s="12" t="s">
        <v>22</v>
      </c>
      <c r="K303" s="12"/>
      <c r="L303" s="12" t="s">
        <v>129</v>
      </c>
      <c r="M303" s="12" t="s">
        <v>97</v>
      </c>
      <c r="N303" s="12">
        <v>1</v>
      </c>
      <c r="O303" s="12" t="s">
        <v>130</v>
      </c>
      <c r="P303" s="12" t="s">
        <v>131</v>
      </c>
      <c r="Q303" s="12" t="s">
        <v>30</v>
      </c>
    </row>
    <row r="304" spans="1:17" x14ac:dyDescent="0.2">
      <c r="A304" s="11">
        <v>46057</v>
      </c>
      <c r="B304" s="12" t="s">
        <v>1528</v>
      </c>
      <c r="C304" s="12"/>
      <c r="D304" s="12" t="s">
        <v>1529</v>
      </c>
      <c r="E304" s="12" t="s">
        <v>16</v>
      </c>
      <c r="F304" s="12" t="s">
        <v>38</v>
      </c>
      <c r="G304" s="13">
        <v>32000</v>
      </c>
      <c r="H304" s="13">
        <v>30413</v>
      </c>
      <c r="I304" s="12" t="s">
        <v>22</v>
      </c>
      <c r="J304" s="12" t="s">
        <v>22</v>
      </c>
      <c r="K304" s="12" t="s">
        <v>1530</v>
      </c>
      <c r="L304" s="12" t="s">
        <v>1531</v>
      </c>
      <c r="M304" s="12" t="s">
        <v>97</v>
      </c>
      <c r="N304" s="12">
        <v>2</v>
      </c>
      <c r="O304" s="12" t="s">
        <v>85</v>
      </c>
      <c r="P304" s="12" t="s">
        <v>41</v>
      </c>
      <c r="Q304" s="12" t="s">
        <v>30</v>
      </c>
    </row>
    <row r="305" spans="1:17" x14ac:dyDescent="0.2">
      <c r="A305" s="11">
        <v>46080</v>
      </c>
      <c r="B305" s="12" t="s">
        <v>1044</v>
      </c>
      <c r="C305" s="12"/>
      <c r="D305" s="12" t="s">
        <v>1045</v>
      </c>
      <c r="E305" s="12" t="s">
        <v>16</v>
      </c>
      <c r="F305" s="12" t="s">
        <v>38</v>
      </c>
      <c r="G305" s="13">
        <v>35000</v>
      </c>
      <c r="H305" s="13">
        <v>30500</v>
      </c>
      <c r="I305" s="12" t="s">
        <v>22</v>
      </c>
      <c r="J305" s="12" t="s">
        <v>22</v>
      </c>
      <c r="K305" s="12" t="s">
        <v>1046</v>
      </c>
      <c r="L305" s="12" t="s">
        <v>1047</v>
      </c>
      <c r="M305" s="12" t="s">
        <v>97</v>
      </c>
      <c r="N305" s="12">
        <v>2</v>
      </c>
      <c r="O305" s="12" t="s">
        <v>85</v>
      </c>
      <c r="P305" s="12" t="s">
        <v>21</v>
      </c>
      <c r="Q305" s="12" t="s">
        <v>30</v>
      </c>
    </row>
    <row r="306" spans="1:17" x14ac:dyDescent="0.2">
      <c r="A306" s="11">
        <v>45901</v>
      </c>
      <c r="B306" s="12" t="s">
        <v>4613</v>
      </c>
      <c r="C306" s="12"/>
      <c r="D306" s="12" t="s">
        <v>4614</v>
      </c>
      <c r="E306" s="12" t="s">
        <v>16</v>
      </c>
      <c r="F306" s="12" t="s">
        <v>134</v>
      </c>
      <c r="G306" s="13">
        <v>31350</v>
      </c>
      <c r="H306" s="13">
        <v>30567</v>
      </c>
      <c r="I306" s="12" t="s">
        <v>22</v>
      </c>
      <c r="J306" s="12" t="s">
        <v>22</v>
      </c>
      <c r="K306" s="12" t="s">
        <v>4615</v>
      </c>
      <c r="L306" s="12" t="s">
        <v>129</v>
      </c>
      <c r="M306" s="12" t="s">
        <v>97</v>
      </c>
      <c r="N306" s="12">
        <v>2</v>
      </c>
      <c r="O306" s="12" t="s">
        <v>130</v>
      </c>
      <c r="P306" s="12" t="s">
        <v>41</v>
      </c>
      <c r="Q306" s="12" t="s">
        <v>30</v>
      </c>
    </row>
    <row r="307" spans="1:17" x14ac:dyDescent="0.2">
      <c r="A307" s="11">
        <v>45965</v>
      </c>
      <c r="B307" s="12" t="s">
        <v>3347</v>
      </c>
      <c r="C307" s="12"/>
      <c r="D307" s="12" t="s">
        <v>3348</v>
      </c>
      <c r="E307" s="12" t="s">
        <v>16</v>
      </c>
      <c r="F307" s="12" t="s">
        <v>82</v>
      </c>
      <c r="G307" s="13">
        <v>33000</v>
      </c>
      <c r="H307" s="13">
        <v>31000</v>
      </c>
      <c r="I307" s="12" t="s">
        <v>22</v>
      </c>
      <c r="J307" s="12" t="s">
        <v>22</v>
      </c>
      <c r="K307" s="12" t="s">
        <v>3349</v>
      </c>
      <c r="L307" s="12" t="s">
        <v>1642</v>
      </c>
      <c r="M307" s="12" t="s">
        <v>300</v>
      </c>
      <c r="N307" s="12">
        <v>1</v>
      </c>
      <c r="O307" s="12" t="s">
        <v>55</v>
      </c>
      <c r="P307" s="12" t="s">
        <v>66</v>
      </c>
      <c r="Q307" s="12" t="s">
        <v>30</v>
      </c>
    </row>
    <row r="308" spans="1:17" x14ac:dyDescent="0.2">
      <c r="A308" s="11">
        <v>45930</v>
      </c>
      <c r="B308" s="12" t="s">
        <v>4061</v>
      </c>
      <c r="C308" s="12"/>
      <c r="D308" s="12" t="s">
        <v>4062</v>
      </c>
      <c r="E308" s="12" t="s">
        <v>16</v>
      </c>
      <c r="F308" s="12" t="s">
        <v>17</v>
      </c>
      <c r="G308" s="13">
        <v>31000</v>
      </c>
      <c r="H308" s="13">
        <v>31000</v>
      </c>
      <c r="I308" s="12" t="s">
        <v>22</v>
      </c>
      <c r="J308" s="12" t="s">
        <v>22</v>
      </c>
      <c r="K308" s="12" t="s">
        <v>4063</v>
      </c>
      <c r="L308" s="12" t="s">
        <v>2705</v>
      </c>
      <c r="M308" s="12" t="s">
        <v>72</v>
      </c>
      <c r="N308" s="12">
        <v>2</v>
      </c>
      <c r="O308" s="12" t="s">
        <v>171</v>
      </c>
      <c r="P308" s="12" t="s">
        <v>1578</v>
      </c>
      <c r="Q308" s="12" t="s">
        <v>30</v>
      </c>
    </row>
    <row r="309" spans="1:17" x14ac:dyDescent="0.2">
      <c r="A309" s="11">
        <v>45868</v>
      </c>
      <c r="B309" s="12" t="s">
        <v>5284</v>
      </c>
      <c r="C309" s="12"/>
      <c r="D309" s="12" t="s">
        <v>5285</v>
      </c>
      <c r="E309" s="12" t="s">
        <v>16</v>
      </c>
      <c r="F309" s="12" t="s">
        <v>58</v>
      </c>
      <c r="G309" s="13">
        <v>39000</v>
      </c>
      <c r="H309" s="13">
        <v>31000</v>
      </c>
      <c r="I309" s="12" t="s">
        <v>22</v>
      </c>
      <c r="J309" s="12" t="s">
        <v>22</v>
      </c>
      <c r="K309" s="12" t="s">
        <v>5286</v>
      </c>
      <c r="L309" s="12" t="s">
        <v>141</v>
      </c>
      <c r="M309" s="12" t="s">
        <v>72</v>
      </c>
      <c r="N309" s="12">
        <v>2</v>
      </c>
      <c r="O309" s="12" t="s">
        <v>50</v>
      </c>
      <c r="P309" s="12" t="s">
        <v>21</v>
      </c>
      <c r="Q309" s="12" t="s">
        <v>30</v>
      </c>
    </row>
    <row r="310" spans="1:17" x14ac:dyDescent="0.2">
      <c r="A310" s="11">
        <v>45847</v>
      </c>
      <c r="B310" s="12" t="s">
        <v>5688</v>
      </c>
      <c r="C310" s="12"/>
      <c r="D310" s="12" t="s">
        <v>5689</v>
      </c>
      <c r="E310" s="12" t="s">
        <v>16</v>
      </c>
      <c r="F310" s="12" t="s">
        <v>47</v>
      </c>
      <c r="G310" s="13">
        <v>31000</v>
      </c>
      <c r="H310" s="13">
        <v>31000</v>
      </c>
      <c r="I310" s="12" t="s">
        <v>22</v>
      </c>
      <c r="J310" s="12" t="s">
        <v>22</v>
      </c>
      <c r="K310" s="12"/>
      <c r="L310" s="12" t="s">
        <v>1114</v>
      </c>
      <c r="M310" s="12" t="s">
        <v>97</v>
      </c>
      <c r="N310" s="12">
        <v>2</v>
      </c>
      <c r="O310" s="12" t="s">
        <v>359</v>
      </c>
      <c r="P310" s="12" t="s">
        <v>41</v>
      </c>
      <c r="Q310" s="12" t="s">
        <v>30</v>
      </c>
    </row>
    <row r="311" spans="1:17" x14ac:dyDescent="0.2">
      <c r="A311" s="11">
        <v>45821</v>
      </c>
      <c r="B311" s="12" t="s">
        <v>5676</v>
      </c>
      <c r="C311" s="12"/>
      <c r="D311" s="12" t="s">
        <v>4978</v>
      </c>
      <c r="E311" s="12" t="s">
        <v>16</v>
      </c>
      <c r="F311" s="12" t="s">
        <v>17</v>
      </c>
      <c r="G311" s="13">
        <v>30000</v>
      </c>
      <c r="H311" s="13">
        <v>31000</v>
      </c>
      <c r="I311" s="12" t="s">
        <v>22</v>
      </c>
      <c r="J311" s="12" t="s">
        <v>22</v>
      </c>
      <c r="K311" s="12" t="s">
        <v>5677</v>
      </c>
      <c r="L311" s="12" t="s">
        <v>1468</v>
      </c>
      <c r="M311" s="12" t="s">
        <v>97</v>
      </c>
      <c r="N311" s="12">
        <v>2</v>
      </c>
      <c r="O311" s="12" t="s">
        <v>142</v>
      </c>
      <c r="P311" s="12" t="s">
        <v>41</v>
      </c>
      <c r="Q311" s="12" t="s">
        <v>30</v>
      </c>
    </row>
    <row r="312" spans="1:17" x14ac:dyDescent="0.2">
      <c r="A312" s="11">
        <v>45776</v>
      </c>
      <c r="B312" s="12" t="s">
        <v>6995</v>
      </c>
      <c r="C312" s="12"/>
      <c r="D312" s="12" t="s">
        <v>6996</v>
      </c>
      <c r="E312" s="12" t="s">
        <v>16</v>
      </c>
      <c r="F312" s="12" t="s">
        <v>58</v>
      </c>
      <c r="G312" s="13">
        <v>20000</v>
      </c>
      <c r="H312" s="13">
        <v>31000</v>
      </c>
      <c r="I312" s="12" t="s">
        <v>22</v>
      </c>
      <c r="J312" s="12" t="s">
        <v>22</v>
      </c>
      <c r="K312" s="12" t="s">
        <v>6997</v>
      </c>
      <c r="L312" s="12" t="s">
        <v>6998</v>
      </c>
      <c r="M312" s="12" t="s">
        <v>19</v>
      </c>
      <c r="N312" s="12">
        <v>2</v>
      </c>
      <c r="O312" s="12" t="s">
        <v>50</v>
      </c>
      <c r="P312" s="12" t="s">
        <v>21</v>
      </c>
      <c r="Q312" s="12" t="s">
        <v>30</v>
      </c>
    </row>
    <row r="313" spans="1:17" x14ac:dyDescent="0.2">
      <c r="A313" s="11">
        <v>45910</v>
      </c>
      <c r="B313" s="12" t="s">
        <v>4464</v>
      </c>
      <c r="C313" s="12"/>
      <c r="D313" s="12" t="s">
        <v>4464</v>
      </c>
      <c r="E313" s="12" t="s">
        <v>16</v>
      </c>
      <c r="F313" s="12" t="s">
        <v>47</v>
      </c>
      <c r="G313" s="13">
        <v>63000</v>
      </c>
      <c r="H313" s="13">
        <v>31500</v>
      </c>
      <c r="I313" s="12" t="s">
        <v>22</v>
      </c>
      <c r="J313" s="12" t="s">
        <v>22</v>
      </c>
      <c r="K313" s="12" t="s">
        <v>4464</v>
      </c>
      <c r="L313" s="12" t="s">
        <v>523</v>
      </c>
      <c r="M313" s="12" t="s">
        <v>19</v>
      </c>
      <c r="N313" s="12">
        <v>2</v>
      </c>
      <c r="O313" s="12" t="s">
        <v>50</v>
      </c>
      <c r="P313" s="12" t="s">
        <v>21</v>
      </c>
      <c r="Q313" s="12" t="s">
        <v>30</v>
      </c>
    </row>
    <row r="314" spans="1:17" x14ac:dyDescent="0.2">
      <c r="A314" s="11">
        <v>46091</v>
      </c>
      <c r="B314" s="12" t="s">
        <v>800</v>
      </c>
      <c r="C314" s="12"/>
      <c r="D314" s="12" t="s">
        <v>801</v>
      </c>
      <c r="E314" s="12" t="s">
        <v>16</v>
      </c>
      <c r="F314" s="12" t="s">
        <v>47</v>
      </c>
      <c r="G314" s="13">
        <v>39500</v>
      </c>
      <c r="H314" s="13">
        <v>32000</v>
      </c>
      <c r="I314" s="12" t="s">
        <v>22</v>
      </c>
      <c r="J314" s="12" t="s">
        <v>22</v>
      </c>
      <c r="K314" s="12" t="s">
        <v>802</v>
      </c>
      <c r="L314" s="12" t="s">
        <v>803</v>
      </c>
      <c r="M314" s="12" t="s">
        <v>97</v>
      </c>
      <c r="N314" s="12">
        <v>2</v>
      </c>
      <c r="O314" s="12" t="s">
        <v>142</v>
      </c>
      <c r="P314" s="12" t="s">
        <v>21</v>
      </c>
      <c r="Q314" s="12" t="s">
        <v>30</v>
      </c>
    </row>
    <row r="315" spans="1:17" x14ac:dyDescent="0.2">
      <c r="A315" s="11">
        <v>45891</v>
      </c>
      <c r="B315" s="12" t="s">
        <v>4833</v>
      </c>
      <c r="C315" s="12"/>
      <c r="D315" s="12" t="s">
        <v>4834</v>
      </c>
      <c r="E315" s="12" t="s">
        <v>16</v>
      </c>
      <c r="F315" s="12" t="s">
        <v>243</v>
      </c>
      <c r="G315" s="13">
        <v>36000</v>
      </c>
      <c r="H315" s="13">
        <v>32000</v>
      </c>
      <c r="I315" s="12" t="s">
        <v>22</v>
      </c>
      <c r="J315" s="12" t="s">
        <v>22</v>
      </c>
      <c r="K315" s="12" t="s">
        <v>4835</v>
      </c>
      <c r="L315" s="12" t="s">
        <v>4836</v>
      </c>
      <c r="M315" s="12" t="s">
        <v>19</v>
      </c>
      <c r="N315" s="12">
        <v>2</v>
      </c>
      <c r="O315" s="12" t="s">
        <v>55</v>
      </c>
      <c r="P315" s="12" t="s">
        <v>21</v>
      </c>
      <c r="Q315" s="12" t="s">
        <v>30</v>
      </c>
    </row>
    <row r="316" spans="1:17" x14ac:dyDescent="0.2">
      <c r="A316" s="11">
        <v>45859</v>
      </c>
      <c r="B316" s="12" t="s">
        <v>5476</v>
      </c>
      <c r="C316" s="12"/>
      <c r="D316" s="12" t="s">
        <v>5477</v>
      </c>
      <c r="E316" s="12" t="s">
        <v>16</v>
      </c>
      <c r="F316" s="12" t="s">
        <v>17</v>
      </c>
      <c r="G316" s="13">
        <v>35000</v>
      </c>
      <c r="H316" s="13">
        <v>32000</v>
      </c>
      <c r="I316" s="12" t="s">
        <v>22</v>
      </c>
      <c r="J316" s="12" t="s">
        <v>22</v>
      </c>
      <c r="K316" s="12" t="s">
        <v>5478</v>
      </c>
      <c r="L316" s="12" t="s">
        <v>221</v>
      </c>
      <c r="M316" s="12" t="s">
        <v>13</v>
      </c>
      <c r="N316" s="12">
        <v>2</v>
      </c>
      <c r="O316" s="12" t="s">
        <v>20</v>
      </c>
      <c r="P316" s="12" t="s">
        <v>21</v>
      </c>
      <c r="Q316" s="12" t="s">
        <v>30</v>
      </c>
    </row>
    <row r="317" spans="1:17" x14ac:dyDescent="0.2">
      <c r="A317" s="11">
        <v>45838</v>
      </c>
      <c r="B317" s="12" t="s">
        <v>5851</v>
      </c>
      <c r="C317" s="12"/>
      <c r="D317" s="12" t="s">
        <v>5852</v>
      </c>
      <c r="E317" s="12" t="s">
        <v>16</v>
      </c>
      <c r="F317" s="12" t="s">
        <v>47</v>
      </c>
      <c r="G317" s="13">
        <v>32000</v>
      </c>
      <c r="H317" s="13">
        <v>32000</v>
      </c>
      <c r="I317" s="12" t="s">
        <v>22</v>
      </c>
      <c r="J317" s="12" t="s">
        <v>22</v>
      </c>
      <c r="K317" s="12" t="s">
        <v>5853</v>
      </c>
      <c r="L317" s="12" t="s">
        <v>474</v>
      </c>
      <c r="M317" s="12" t="s">
        <v>19</v>
      </c>
      <c r="N317" s="12">
        <v>2</v>
      </c>
      <c r="O317" s="12" t="s">
        <v>50</v>
      </c>
      <c r="P317" s="12" t="s">
        <v>21</v>
      </c>
      <c r="Q317" s="12" t="s">
        <v>30</v>
      </c>
    </row>
    <row r="318" spans="1:17" x14ac:dyDescent="0.2">
      <c r="A318" s="11">
        <v>45820</v>
      </c>
      <c r="B318" s="12" t="s">
        <v>6168</v>
      </c>
      <c r="C318" s="12"/>
      <c r="D318" s="12" t="s">
        <v>6169</v>
      </c>
      <c r="E318" s="12" t="s">
        <v>16</v>
      </c>
      <c r="F318" s="12" t="s">
        <v>17</v>
      </c>
      <c r="G318" s="13">
        <v>31900</v>
      </c>
      <c r="H318" s="13">
        <v>32000</v>
      </c>
      <c r="I318" s="12" t="s">
        <v>22</v>
      </c>
      <c r="J318" s="12" t="s">
        <v>22</v>
      </c>
      <c r="K318" s="12" t="s">
        <v>6170</v>
      </c>
      <c r="L318" s="12" t="s">
        <v>1375</v>
      </c>
      <c r="M318" s="12" t="s">
        <v>19</v>
      </c>
      <c r="N318" s="12">
        <v>2</v>
      </c>
      <c r="O318" s="12" t="s">
        <v>50</v>
      </c>
      <c r="P318" s="12" t="s">
        <v>21</v>
      </c>
      <c r="Q318" s="12" t="s">
        <v>30</v>
      </c>
    </row>
    <row r="319" spans="1:17" x14ac:dyDescent="0.2">
      <c r="A319" s="11">
        <v>45800</v>
      </c>
      <c r="B319" s="12" t="s">
        <v>6546</v>
      </c>
      <c r="C319" s="12"/>
      <c r="D319" s="12" t="s">
        <v>6547</v>
      </c>
      <c r="E319" s="12" t="s">
        <v>16</v>
      </c>
      <c r="F319" s="12" t="s">
        <v>17</v>
      </c>
      <c r="G319" s="13">
        <v>35000</v>
      </c>
      <c r="H319" s="13">
        <v>32000</v>
      </c>
      <c r="I319" s="12" t="s">
        <v>22</v>
      </c>
      <c r="J319" s="12" t="s">
        <v>22</v>
      </c>
      <c r="K319" s="12" t="s">
        <v>6548</v>
      </c>
      <c r="L319" s="12" t="s">
        <v>3159</v>
      </c>
      <c r="M319" s="12" t="s">
        <v>97</v>
      </c>
      <c r="N319" s="12">
        <v>2</v>
      </c>
      <c r="O319" s="12" t="s">
        <v>227</v>
      </c>
      <c r="P319" s="12" t="s">
        <v>21</v>
      </c>
      <c r="Q319" s="12" t="s">
        <v>30</v>
      </c>
    </row>
    <row r="320" spans="1:17" x14ac:dyDescent="0.2">
      <c r="A320" s="11">
        <v>45786</v>
      </c>
      <c r="B320" s="12" t="s">
        <v>6834</v>
      </c>
      <c r="C320" s="12"/>
      <c r="D320" s="12" t="s">
        <v>6835</v>
      </c>
      <c r="E320" s="12" t="s">
        <v>16</v>
      </c>
      <c r="F320" s="12" t="s">
        <v>17</v>
      </c>
      <c r="G320" s="13">
        <v>32000</v>
      </c>
      <c r="H320" s="13">
        <v>32000</v>
      </c>
      <c r="I320" s="12" t="s">
        <v>22</v>
      </c>
      <c r="J320" s="12" t="s">
        <v>22</v>
      </c>
      <c r="K320" s="12" t="s">
        <v>6836</v>
      </c>
      <c r="L320" s="12" t="s">
        <v>1651</v>
      </c>
      <c r="M320" s="12" t="s">
        <v>19</v>
      </c>
      <c r="N320" s="12">
        <v>2</v>
      </c>
      <c r="O320" s="12" t="s">
        <v>151</v>
      </c>
      <c r="P320" s="12" t="s">
        <v>21</v>
      </c>
      <c r="Q320" s="12" t="s">
        <v>30</v>
      </c>
    </row>
    <row r="321" spans="1:17" x14ac:dyDescent="0.2">
      <c r="A321" s="11">
        <v>45770</v>
      </c>
      <c r="B321" s="12" t="s">
        <v>7131</v>
      </c>
      <c r="C321" s="12"/>
      <c r="D321" s="12" t="s">
        <v>7132</v>
      </c>
      <c r="E321" s="12" t="s">
        <v>16</v>
      </c>
      <c r="F321" s="12" t="s">
        <v>17</v>
      </c>
      <c r="G321" s="13">
        <v>35000</v>
      </c>
      <c r="H321" s="13">
        <v>32000</v>
      </c>
      <c r="I321" s="12" t="s">
        <v>22</v>
      </c>
      <c r="J321" s="12" t="s">
        <v>22</v>
      </c>
      <c r="K321" s="12" t="s">
        <v>7133</v>
      </c>
      <c r="L321" s="12" t="s">
        <v>486</v>
      </c>
      <c r="M321" s="12" t="s">
        <v>19</v>
      </c>
      <c r="N321" s="12">
        <v>2</v>
      </c>
      <c r="O321" s="12" t="s">
        <v>227</v>
      </c>
      <c r="P321" s="12" t="s">
        <v>21</v>
      </c>
      <c r="Q321" s="12" t="s">
        <v>30</v>
      </c>
    </row>
    <row r="322" spans="1:17" x14ac:dyDescent="0.2">
      <c r="A322" s="11">
        <v>45737</v>
      </c>
      <c r="B322" s="12" t="s">
        <v>7646</v>
      </c>
      <c r="C322" s="12"/>
      <c r="D322" s="12" t="s">
        <v>7647</v>
      </c>
      <c r="E322" s="12" t="s">
        <v>16</v>
      </c>
      <c r="F322" s="12" t="s">
        <v>17</v>
      </c>
      <c r="G322" s="13">
        <v>32000</v>
      </c>
      <c r="H322" s="13">
        <v>32000</v>
      </c>
      <c r="I322" s="12" t="s">
        <v>22</v>
      </c>
      <c r="J322" s="12" t="s">
        <v>22</v>
      </c>
      <c r="K322" s="12" t="s">
        <v>7648</v>
      </c>
      <c r="L322" s="12" t="s">
        <v>1114</v>
      </c>
      <c r="M322" s="12" t="s">
        <v>97</v>
      </c>
      <c r="N322" s="12">
        <v>1</v>
      </c>
      <c r="O322" s="12" t="s">
        <v>1081</v>
      </c>
      <c r="P322" s="12" t="s">
        <v>146</v>
      </c>
      <c r="Q322" s="12" t="s">
        <v>30</v>
      </c>
    </row>
    <row r="323" spans="1:17" x14ac:dyDescent="0.2">
      <c r="A323" s="11">
        <v>45700</v>
      </c>
      <c r="B323" s="12" t="s">
        <v>8102</v>
      </c>
      <c r="C323" s="12"/>
      <c r="D323" s="12" t="s">
        <v>8103</v>
      </c>
      <c r="E323" s="12" t="s">
        <v>16</v>
      </c>
      <c r="F323" s="12" t="s">
        <v>17</v>
      </c>
      <c r="G323" s="13">
        <v>32000</v>
      </c>
      <c r="H323" s="13">
        <v>32000</v>
      </c>
      <c r="I323" s="12" t="s">
        <v>22</v>
      </c>
      <c r="J323" s="12" t="s">
        <v>22</v>
      </c>
      <c r="K323" s="12"/>
      <c r="L323" s="12" t="s">
        <v>821</v>
      </c>
      <c r="M323" s="12" t="s">
        <v>97</v>
      </c>
      <c r="N323" s="12">
        <v>2</v>
      </c>
      <c r="O323" s="12" t="s">
        <v>151</v>
      </c>
      <c r="P323" s="12" t="s">
        <v>21</v>
      </c>
      <c r="Q323" s="12" t="s">
        <v>30</v>
      </c>
    </row>
    <row r="324" spans="1:17" x14ac:dyDescent="0.2">
      <c r="A324" s="11">
        <v>45987</v>
      </c>
      <c r="B324" s="12" t="s">
        <v>2964</v>
      </c>
      <c r="C324" s="12"/>
      <c r="D324" s="12" t="s">
        <v>2965</v>
      </c>
      <c r="E324" s="12" t="s">
        <v>16</v>
      </c>
      <c r="F324" s="12" t="s">
        <v>184</v>
      </c>
      <c r="G324" s="13">
        <v>32500</v>
      </c>
      <c r="H324" s="13">
        <v>32500</v>
      </c>
      <c r="I324" s="12" t="s">
        <v>22</v>
      </c>
      <c r="J324" s="12" t="s">
        <v>22</v>
      </c>
      <c r="K324" s="12" t="s">
        <v>2966</v>
      </c>
      <c r="L324" s="12" t="s">
        <v>595</v>
      </c>
      <c r="M324" s="12" t="s">
        <v>97</v>
      </c>
      <c r="N324" s="12">
        <v>2</v>
      </c>
      <c r="O324" s="12" t="s">
        <v>130</v>
      </c>
      <c r="P324" s="12" t="s">
        <v>41</v>
      </c>
      <c r="Q324" s="12" t="s">
        <v>30</v>
      </c>
    </row>
    <row r="325" spans="1:17" x14ac:dyDescent="0.2">
      <c r="A325" s="11">
        <v>45889</v>
      </c>
      <c r="B325" s="12" t="s">
        <v>4891</v>
      </c>
      <c r="C325" s="12"/>
      <c r="D325" s="12" t="s">
        <v>4892</v>
      </c>
      <c r="E325" s="12" t="s">
        <v>16</v>
      </c>
      <c r="F325" s="12" t="s">
        <v>17</v>
      </c>
      <c r="G325" s="13">
        <v>35000</v>
      </c>
      <c r="H325" s="13">
        <v>32500</v>
      </c>
      <c r="I325" s="12" t="s">
        <v>22</v>
      </c>
      <c r="J325" s="12" t="s">
        <v>22</v>
      </c>
      <c r="K325" s="12" t="s">
        <v>4893</v>
      </c>
      <c r="L325" s="12" t="s">
        <v>71</v>
      </c>
      <c r="M325" s="12" t="s">
        <v>19</v>
      </c>
      <c r="N325" s="12">
        <v>2</v>
      </c>
      <c r="O325" s="12" t="s">
        <v>116</v>
      </c>
      <c r="P325" s="12" t="s">
        <v>21</v>
      </c>
      <c r="Q325" s="12" t="s">
        <v>30</v>
      </c>
    </row>
    <row r="326" spans="1:17" x14ac:dyDescent="0.2">
      <c r="A326" s="11">
        <v>45946</v>
      </c>
      <c r="B326" s="12" t="s">
        <v>3745</v>
      </c>
      <c r="C326" s="12"/>
      <c r="D326" s="12" t="s">
        <v>917</v>
      </c>
      <c r="E326" s="12" t="s">
        <v>16</v>
      </c>
      <c r="F326" s="12" t="s">
        <v>896</v>
      </c>
      <c r="G326" s="13">
        <v>38700</v>
      </c>
      <c r="H326" s="13">
        <v>33000</v>
      </c>
      <c r="I326" s="12" t="s">
        <v>22</v>
      </c>
      <c r="J326" s="12" t="s">
        <v>22</v>
      </c>
      <c r="K326" s="12" t="s">
        <v>918</v>
      </c>
      <c r="L326" s="12" t="s">
        <v>915</v>
      </c>
      <c r="M326" s="12" t="s">
        <v>97</v>
      </c>
      <c r="N326" s="12">
        <v>2</v>
      </c>
      <c r="O326" s="12" t="s">
        <v>98</v>
      </c>
      <c r="P326" s="12" t="s">
        <v>41</v>
      </c>
      <c r="Q326" s="12" t="s">
        <v>30</v>
      </c>
    </row>
    <row r="327" spans="1:17" x14ac:dyDescent="0.2">
      <c r="A327" s="11">
        <v>45898</v>
      </c>
      <c r="B327" s="12" t="s">
        <v>4667</v>
      </c>
      <c r="C327" s="12"/>
      <c r="D327" s="12" t="s">
        <v>3873</v>
      </c>
      <c r="E327" s="12" t="s">
        <v>16</v>
      </c>
      <c r="F327" s="12" t="s">
        <v>17</v>
      </c>
      <c r="G327" s="13">
        <v>30000</v>
      </c>
      <c r="H327" s="13">
        <v>33000</v>
      </c>
      <c r="I327" s="12" t="s">
        <v>22</v>
      </c>
      <c r="J327" s="12" t="s">
        <v>22</v>
      </c>
      <c r="K327" s="12" t="s">
        <v>4668</v>
      </c>
      <c r="L327" s="12" t="s">
        <v>679</v>
      </c>
      <c r="M327" s="12" t="s">
        <v>97</v>
      </c>
      <c r="N327" s="12">
        <v>1</v>
      </c>
      <c r="O327" s="12" t="s">
        <v>151</v>
      </c>
      <c r="P327" s="12" t="s">
        <v>66</v>
      </c>
      <c r="Q327" s="12" t="s">
        <v>30</v>
      </c>
    </row>
    <row r="328" spans="1:17" x14ac:dyDescent="0.2">
      <c r="A328" s="11">
        <v>45897</v>
      </c>
      <c r="B328" s="12" t="s">
        <v>4667</v>
      </c>
      <c r="C328" s="12"/>
      <c r="D328" s="12" t="s">
        <v>3873</v>
      </c>
      <c r="E328" s="12" t="s">
        <v>16</v>
      </c>
      <c r="F328" s="12" t="s">
        <v>17</v>
      </c>
      <c r="G328" s="13">
        <v>30000</v>
      </c>
      <c r="H328" s="13">
        <v>33000</v>
      </c>
      <c r="I328" s="12" t="s">
        <v>22</v>
      </c>
      <c r="J328" s="12" t="s">
        <v>22</v>
      </c>
      <c r="K328" s="12" t="s">
        <v>4668</v>
      </c>
      <c r="L328" s="12" t="s">
        <v>679</v>
      </c>
      <c r="M328" s="12" t="s">
        <v>97</v>
      </c>
      <c r="N328" s="12">
        <v>2</v>
      </c>
      <c r="O328" s="12" t="s">
        <v>151</v>
      </c>
      <c r="P328" s="12" t="s">
        <v>21</v>
      </c>
      <c r="Q328" s="12" t="s">
        <v>30</v>
      </c>
    </row>
    <row r="329" spans="1:17" x14ac:dyDescent="0.2">
      <c r="A329" s="11">
        <v>45861</v>
      </c>
      <c r="B329" s="12" t="s">
        <v>4667</v>
      </c>
      <c r="C329" s="12"/>
      <c r="D329" s="12" t="s">
        <v>3873</v>
      </c>
      <c r="E329" s="12" t="s">
        <v>16</v>
      </c>
      <c r="F329" s="12" t="s">
        <v>17</v>
      </c>
      <c r="G329" s="13">
        <v>30000</v>
      </c>
      <c r="H329" s="13">
        <v>33000</v>
      </c>
      <c r="I329" s="12" t="s">
        <v>22</v>
      </c>
      <c r="J329" s="12" t="s">
        <v>22</v>
      </c>
      <c r="K329" s="12" t="s">
        <v>4668</v>
      </c>
      <c r="L329" s="12" t="s">
        <v>679</v>
      </c>
      <c r="M329" s="12" t="s">
        <v>97</v>
      </c>
      <c r="N329" s="12">
        <v>2</v>
      </c>
      <c r="O329" s="12" t="s">
        <v>151</v>
      </c>
      <c r="P329" s="12" t="s">
        <v>21</v>
      </c>
      <c r="Q329" s="12" t="s">
        <v>30</v>
      </c>
    </row>
    <row r="330" spans="1:17" x14ac:dyDescent="0.2">
      <c r="A330" s="11">
        <v>45803</v>
      </c>
      <c r="B330" s="12" t="s">
        <v>6523</v>
      </c>
      <c r="C330" s="12"/>
      <c r="D330" s="12" t="s">
        <v>6524</v>
      </c>
      <c r="E330" s="12" t="s">
        <v>16</v>
      </c>
      <c r="F330" s="12" t="s">
        <v>47</v>
      </c>
      <c r="G330" s="13">
        <v>39900</v>
      </c>
      <c r="H330" s="13">
        <v>33000</v>
      </c>
      <c r="I330" s="12" t="s">
        <v>22</v>
      </c>
      <c r="J330" s="12" t="s">
        <v>22</v>
      </c>
      <c r="K330" s="12" t="s">
        <v>6525</v>
      </c>
      <c r="L330" s="12" t="s">
        <v>657</v>
      </c>
      <c r="M330" s="12" t="s">
        <v>28</v>
      </c>
      <c r="N330" s="12">
        <v>2</v>
      </c>
      <c r="O330" s="12" t="s">
        <v>50</v>
      </c>
      <c r="P330" s="12" t="s">
        <v>41</v>
      </c>
      <c r="Q330" s="12" t="s">
        <v>30</v>
      </c>
    </row>
    <row r="331" spans="1:17" x14ac:dyDescent="0.2">
      <c r="A331" s="11">
        <v>45775</v>
      </c>
      <c r="B331" s="12" t="s">
        <v>7040</v>
      </c>
      <c r="C331" s="12"/>
      <c r="D331" s="12" t="s">
        <v>7040</v>
      </c>
      <c r="E331" s="12" t="s">
        <v>16</v>
      </c>
      <c r="F331" s="12" t="s">
        <v>47</v>
      </c>
      <c r="G331" s="13">
        <v>33000</v>
      </c>
      <c r="H331" s="13">
        <v>33000</v>
      </c>
      <c r="I331" s="12" t="s">
        <v>22</v>
      </c>
      <c r="J331" s="12" t="s">
        <v>22</v>
      </c>
      <c r="K331" s="12" t="s">
        <v>7040</v>
      </c>
      <c r="L331" s="12" t="s">
        <v>933</v>
      </c>
      <c r="M331" s="12" t="s">
        <v>19</v>
      </c>
      <c r="N331" s="12">
        <v>2</v>
      </c>
      <c r="O331" s="12" t="s">
        <v>50</v>
      </c>
      <c r="P331" s="12" t="s">
        <v>21</v>
      </c>
      <c r="Q331" s="12" t="s">
        <v>30</v>
      </c>
    </row>
    <row r="332" spans="1:17" x14ac:dyDescent="0.2">
      <c r="A332" s="11">
        <v>45772</v>
      </c>
      <c r="B332" s="12" t="s">
        <v>7079</v>
      </c>
      <c r="C332" s="12"/>
      <c r="D332" s="12" t="s">
        <v>7080</v>
      </c>
      <c r="E332" s="12" t="s">
        <v>16</v>
      </c>
      <c r="F332" s="12" t="s">
        <v>243</v>
      </c>
      <c r="G332" s="13">
        <v>34000</v>
      </c>
      <c r="H332" s="13">
        <v>33000</v>
      </c>
      <c r="I332" s="12" t="s">
        <v>22</v>
      </c>
      <c r="J332" s="12" t="s">
        <v>22</v>
      </c>
      <c r="K332" s="12" t="s">
        <v>7081</v>
      </c>
      <c r="L332" s="12" t="s">
        <v>630</v>
      </c>
      <c r="M332" s="12" t="s">
        <v>97</v>
      </c>
      <c r="N332" s="12">
        <v>2</v>
      </c>
      <c r="O332" s="12" t="s">
        <v>246</v>
      </c>
      <c r="P332" s="12" t="s">
        <v>41</v>
      </c>
      <c r="Q332" s="12" t="s">
        <v>30</v>
      </c>
    </row>
    <row r="333" spans="1:17" x14ac:dyDescent="0.2">
      <c r="A333" s="11">
        <v>45762</v>
      </c>
      <c r="B333" s="12" t="s">
        <v>7267</v>
      </c>
      <c r="C333" s="12"/>
      <c r="D333" s="12" t="s">
        <v>7268</v>
      </c>
      <c r="E333" s="12" t="s">
        <v>16</v>
      </c>
      <c r="F333" s="12" t="s">
        <v>17</v>
      </c>
      <c r="G333" s="13">
        <v>33000</v>
      </c>
      <c r="H333" s="13">
        <v>33000</v>
      </c>
      <c r="I333" s="12" t="s">
        <v>22</v>
      </c>
      <c r="J333" s="12" t="s">
        <v>22</v>
      </c>
      <c r="K333" s="12" t="s">
        <v>7269</v>
      </c>
      <c r="L333" s="12" t="s">
        <v>5892</v>
      </c>
      <c r="M333" s="12" t="s">
        <v>97</v>
      </c>
      <c r="N333" s="12">
        <v>2</v>
      </c>
      <c r="O333" s="12" t="s">
        <v>151</v>
      </c>
      <c r="P333" s="12" t="s">
        <v>21</v>
      </c>
      <c r="Q333" s="12" t="s">
        <v>30</v>
      </c>
    </row>
    <row r="334" spans="1:17" x14ac:dyDescent="0.2">
      <c r="A334" s="11">
        <v>45681</v>
      </c>
      <c r="B334" s="12" t="s">
        <v>8299</v>
      </c>
      <c r="C334" s="12"/>
      <c r="D334" s="12" t="s">
        <v>8300</v>
      </c>
      <c r="E334" s="12" t="s">
        <v>16</v>
      </c>
      <c r="F334" s="12" t="s">
        <v>243</v>
      </c>
      <c r="G334" s="13">
        <v>35000</v>
      </c>
      <c r="H334" s="13">
        <v>33000</v>
      </c>
      <c r="I334" s="12" t="s">
        <v>22</v>
      </c>
      <c r="J334" s="12" t="s">
        <v>22</v>
      </c>
      <c r="K334" s="12" t="s">
        <v>8301</v>
      </c>
      <c r="L334" s="12" t="s">
        <v>426</v>
      </c>
      <c r="M334" s="12" t="s">
        <v>19</v>
      </c>
      <c r="N334" s="12">
        <v>2</v>
      </c>
      <c r="O334" s="12" t="s">
        <v>246</v>
      </c>
      <c r="P334" s="12" t="s">
        <v>41</v>
      </c>
      <c r="Q334" s="12" t="s">
        <v>30</v>
      </c>
    </row>
    <row r="335" spans="1:17" x14ac:dyDescent="0.2">
      <c r="A335" s="11">
        <v>45992</v>
      </c>
      <c r="B335" s="12" t="s">
        <v>19</v>
      </c>
      <c r="C335" s="12"/>
      <c r="D335" s="12" t="s">
        <v>19</v>
      </c>
      <c r="E335" s="12" t="s">
        <v>16</v>
      </c>
      <c r="F335" s="12" t="s">
        <v>17</v>
      </c>
      <c r="G335" s="13">
        <v>30000</v>
      </c>
      <c r="H335" s="13">
        <v>33300</v>
      </c>
      <c r="I335" s="12" t="s">
        <v>22</v>
      </c>
      <c r="J335" s="12" t="s">
        <v>22</v>
      </c>
      <c r="K335" s="12"/>
      <c r="L335" s="12" t="s">
        <v>355</v>
      </c>
      <c r="M335" s="12" t="s">
        <v>19</v>
      </c>
      <c r="N335" s="12">
        <v>1</v>
      </c>
      <c r="O335" s="12" t="s">
        <v>65</v>
      </c>
      <c r="P335" s="12" t="s">
        <v>131</v>
      </c>
      <c r="Q335" s="12" t="s">
        <v>30</v>
      </c>
    </row>
    <row r="336" spans="1:17" x14ac:dyDescent="0.2">
      <c r="A336" s="11">
        <v>46008</v>
      </c>
      <c r="B336" s="12" t="s">
        <v>2380</v>
      </c>
      <c r="C336" s="12"/>
      <c r="D336" s="12" t="s">
        <v>2381</v>
      </c>
      <c r="E336" s="12" t="s">
        <v>16</v>
      </c>
      <c r="F336" s="12" t="s">
        <v>17</v>
      </c>
      <c r="G336" s="13">
        <v>36000</v>
      </c>
      <c r="H336" s="13">
        <v>34000</v>
      </c>
      <c r="I336" s="12" t="s">
        <v>22</v>
      </c>
      <c r="J336" s="12" t="s">
        <v>22</v>
      </c>
      <c r="K336" s="12" t="s">
        <v>2381</v>
      </c>
      <c r="L336" s="12" t="s">
        <v>2382</v>
      </c>
      <c r="M336" s="12" t="s">
        <v>72</v>
      </c>
      <c r="N336" s="12">
        <v>2</v>
      </c>
      <c r="O336" s="12" t="s">
        <v>171</v>
      </c>
      <c r="P336" s="12" t="s">
        <v>21</v>
      </c>
      <c r="Q336" s="12" t="s">
        <v>30</v>
      </c>
    </row>
    <row r="337" spans="1:17" x14ac:dyDescent="0.2">
      <c r="A337" s="11">
        <v>45947</v>
      </c>
      <c r="B337" s="12" t="s">
        <v>3684</v>
      </c>
      <c r="C337" s="12"/>
      <c r="D337" s="12" t="s">
        <v>3685</v>
      </c>
      <c r="E337" s="12" t="s">
        <v>16</v>
      </c>
      <c r="F337" s="12" t="s">
        <v>82</v>
      </c>
      <c r="G337" s="13">
        <v>34000</v>
      </c>
      <c r="H337" s="13">
        <v>34000</v>
      </c>
      <c r="I337" s="12" t="s">
        <v>22</v>
      </c>
      <c r="J337" s="12" t="s">
        <v>22</v>
      </c>
      <c r="K337" s="12" t="s">
        <v>3686</v>
      </c>
      <c r="L337" s="12" t="s">
        <v>3687</v>
      </c>
      <c r="M337" s="12" t="s">
        <v>28</v>
      </c>
      <c r="N337" s="12">
        <v>2</v>
      </c>
      <c r="O337" s="12" t="s">
        <v>55</v>
      </c>
      <c r="P337" s="12" t="s">
        <v>21</v>
      </c>
      <c r="Q337" s="12" t="s">
        <v>30</v>
      </c>
    </row>
    <row r="338" spans="1:17" x14ac:dyDescent="0.2">
      <c r="A338" s="11">
        <v>45932</v>
      </c>
      <c r="B338" s="12" t="s">
        <v>4029</v>
      </c>
      <c r="C338" s="12"/>
      <c r="D338" s="12" t="s">
        <v>4030</v>
      </c>
      <c r="E338" s="12" t="s">
        <v>16</v>
      </c>
      <c r="F338" s="12" t="s">
        <v>47</v>
      </c>
      <c r="G338" s="13">
        <v>39500</v>
      </c>
      <c r="H338" s="13">
        <v>34000</v>
      </c>
      <c r="I338" s="12" t="s">
        <v>22</v>
      </c>
      <c r="J338" s="12" t="s">
        <v>22</v>
      </c>
      <c r="K338" s="12" t="s">
        <v>4031</v>
      </c>
      <c r="L338" s="12" t="s">
        <v>2361</v>
      </c>
      <c r="M338" s="12" t="s">
        <v>72</v>
      </c>
      <c r="N338" s="12">
        <v>2</v>
      </c>
      <c r="O338" s="12" t="s">
        <v>50</v>
      </c>
      <c r="P338" s="12" t="s">
        <v>21</v>
      </c>
      <c r="Q338" s="12" t="s">
        <v>30</v>
      </c>
    </row>
    <row r="339" spans="1:17" x14ac:dyDescent="0.2">
      <c r="A339" s="11">
        <v>45894</v>
      </c>
      <c r="B339" s="12" t="s">
        <v>4818</v>
      </c>
      <c r="C339" s="12"/>
      <c r="D339" s="12" t="s">
        <v>4819</v>
      </c>
      <c r="E339" s="12" t="s">
        <v>16</v>
      </c>
      <c r="F339" s="12" t="s">
        <v>82</v>
      </c>
      <c r="G339" s="13">
        <v>44350</v>
      </c>
      <c r="H339" s="13">
        <v>34000</v>
      </c>
      <c r="I339" s="12" t="s">
        <v>22</v>
      </c>
      <c r="J339" s="12" t="s">
        <v>22</v>
      </c>
      <c r="K339" s="12" t="s">
        <v>4820</v>
      </c>
      <c r="L339" s="12" t="s">
        <v>84</v>
      </c>
      <c r="M339" s="12" t="s">
        <v>97</v>
      </c>
      <c r="N339" s="12">
        <v>2</v>
      </c>
      <c r="O339" s="12" t="s">
        <v>85</v>
      </c>
      <c r="P339" s="12" t="s">
        <v>41</v>
      </c>
      <c r="Q339" s="12" t="s">
        <v>30</v>
      </c>
    </row>
    <row r="340" spans="1:17" x14ac:dyDescent="0.2">
      <c r="A340" s="11">
        <v>45849</v>
      </c>
      <c r="B340" s="12" t="s">
        <v>5635</v>
      </c>
      <c r="C340" s="12"/>
      <c r="D340" s="12" t="s">
        <v>5636</v>
      </c>
      <c r="E340" s="12" t="s">
        <v>16</v>
      </c>
      <c r="F340" s="12" t="s">
        <v>53</v>
      </c>
      <c r="G340" s="13">
        <v>35000</v>
      </c>
      <c r="H340" s="13">
        <v>34000</v>
      </c>
      <c r="I340" s="12" t="s">
        <v>22</v>
      </c>
      <c r="J340" s="12" t="s">
        <v>22</v>
      </c>
      <c r="K340" s="12" t="s">
        <v>5637</v>
      </c>
      <c r="L340" s="12" t="s">
        <v>1494</v>
      </c>
      <c r="M340" s="12" t="s">
        <v>28</v>
      </c>
      <c r="N340" s="12">
        <v>1</v>
      </c>
      <c r="O340" s="12" t="s">
        <v>55</v>
      </c>
      <c r="P340" s="12" t="s">
        <v>131</v>
      </c>
      <c r="Q340" s="12" t="s">
        <v>30</v>
      </c>
    </row>
    <row r="341" spans="1:17" x14ac:dyDescent="0.2">
      <c r="A341" s="11">
        <v>45813</v>
      </c>
      <c r="B341" s="12" t="s">
        <v>2859</v>
      </c>
      <c r="C341" s="12"/>
      <c r="D341" s="12" t="s">
        <v>2860</v>
      </c>
      <c r="E341" s="12" t="s">
        <v>16</v>
      </c>
      <c r="F341" s="12" t="s">
        <v>82</v>
      </c>
      <c r="G341" s="13">
        <v>34000</v>
      </c>
      <c r="H341" s="13">
        <v>34000</v>
      </c>
      <c r="I341" s="12" t="s">
        <v>22</v>
      </c>
      <c r="J341" s="12" t="s">
        <v>22</v>
      </c>
      <c r="K341" s="12"/>
      <c r="L341" s="12" t="s">
        <v>355</v>
      </c>
      <c r="M341" s="12" t="s">
        <v>28</v>
      </c>
      <c r="N341" s="12">
        <v>1</v>
      </c>
      <c r="O341" s="12" t="s">
        <v>65</v>
      </c>
      <c r="P341" s="12" t="s">
        <v>146</v>
      </c>
      <c r="Q341" s="12" t="s">
        <v>30</v>
      </c>
    </row>
    <row r="342" spans="1:17" x14ac:dyDescent="0.2">
      <c r="A342" s="11">
        <v>45806</v>
      </c>
      <c r="B342" s="12" t="s">
        <v>6465</v>
      </c>
      <c r="C342" s="12"/>
      <c r="D342" s="12" t="s">
        <v>2503</v>
      </c>
      <c r="E342" s="12" t="s">
        <v>16</v>
      </c>
      <c r="F342" s="12" t="s">
        <v>38</v>
      </c>
      <c r="G342" s="13">
        <v>39000</v>
      </c>
      <c r="H342" s="13">
        <v>34000</v>
      </c>
      <c r="I342" s="12" t="s">
        <v>22</v>
      </c>
      <c r="J342" s="12" t="s">
        <v>22</v>
      </c>
      <c r="K342" s="12" t="s">
        <v>6466</v>
      </c>
      <c r="L342" s="12" t="s">
        <v>977</v>
      </c>
      <c r="M342" s="12" t="s">
        <v>19</v>
      </c>
      <c r="N342" s="12">
        <v>1</v>
      </c>
      <c r="O342" s="12" t="s">
        <v>55</v>
      </c>
      <c r="P342" s="12" t="s">
        <v>66</v>
      </c>
      <c r="Q342" s="12" t="s">
        <v>30</v>
      </c>
    </row>
    <row r="343" spans="1:17" x14ac:dyDescent="0.2">
      <c r="A343" s="11">
        <v>45801</v>
      </c>
      <c r="B343" s="12" t="s">
        <v>6542</v>
      </c>
      <c r="C343" s="12"/>
      <c r="D343" s="12" t="s">
        <v>6543</v>
      </c>
      <c r="E343" s="12" t="s">
        <v>16</v>
      </c>
      <c r="F343" s="12" t="s">
        <v>38</v>
      </c>
      <c r="G343" s="13">
        <v>38000</v>
      </c>
      <c r="H343" s="13">
        <v>34000</v>
      </c>
      <c r="I343" s="12" t="s">
        <v>22</v>
      </c>
      <c r="J343" s="12" t="s">
        <v>22</v>
      </c>
      <c r="K343" s="12" t="s">
        <v>6544</v>
      </c>
      <c r="L343" s="12" t="s">
        <v>6545</v>
      </c>
      <c r="M343" s="12" t="s">
        <v>28</v>
      </c>
      <c r="N343" s="12">
        <v>2</v>
      </c>
      <c r="O343" s="12" t="s">
        <v>55</v>
      </c>
      <c r="P343" s="12" t="s">
        <v>21</v>
      </c>
      <c r="Q343" s="12" t="s">
        <v>30</v>
      </c>
    </row>
    <row r="344" spans="1:17" x14ac:dyDescent="0.2">
      <c r="A344" s="11">
        <v>45770</v>
      </c>
      <c r="B344" s="12" t="s">
        <v>7137</v>
      </c>
      <c r="C344" s="12"/>
      <c r="D344" s="12" t="s">
        <v>7138</v>
      </c>
      <c r="E344" s="12" t="s">
        <v>16</v>
      </c>
      <c r="F344" s="12" t="s">
        <v>38</v>
      </c>
      <c r="G344" s="13">
        <v>35000</v>
      </c>
      <c r="H344" s="13">
        <v>34000</v>
      </c>
      <c r="I344" s="12" t="s">
        <v>22</v>
      </c>
      <c r="J344" s="12" t="s">
        <v>22</v>
      </c>
      <c r="K344" s="12" t="s">
        <v>7139</v>
      </c>
      <c r="L344" s="12" t="s">
        <v>7140</v>
      </c>
      <c r="M344" s="12" t="s">
        <v>72</v>
      </c>
      <c r="N344" s="12">
        <v>1</v>
      </c>
      <c r="O344" s="12" t="s">
        <v>55</v>
      </c>
      <c r="P344" s="12" t="s">
        <v>66</v>
      </c>
      <c r="Q344" s="12" t="s">
        <v>30</v>
      </c>
    </row>
    <row r="345" spans="1:17" x14ac:dyDescent="0.2">
      <c r="A345" s="11">
        <v>45751</v>
      </c>
      <c r="B345" s="12" t="s">
        <v>7426</v>
      </c>
      <c r="C345" s="12"/>
      <c r="D345" s="12" t="s">
        <v>7427</v>
      </c>
      <c r="E345" s="12" t="s">
        <v>16</v>
      </c>
      <c r="F345" s="12" t="s">
        <v>38</v>
      </c>
      <c r="G345" s="13">
        <v>37000</v>
      </c>
      <c r="H345" s="13">
        <v>34000</v>
      </c>
      <c r="I345" s="12" t="s">
        <v>22</v>
      </c>
      <c r="J345" s="12" t="s">
        <v>22</v>
      </c>
      <c r="K345" s="12" t="s">
        <v>7428</v>
      </c>
      <c r="L345" s="12" t="s">
        <v>630</v>
      </c>
      <c r="M345" s="12" t="s">
        <v>97</v>
      </c>
      <c r="N345" s="12">
        <v>2</v>
      </c>
      <c r="O345" s="12" t="s">
        <v>246</v>
      </c>
      <c r="P345" s="12" t="s">
        <v>41</v>
      </c>
      <c r="Q345" s="12" t="s">
        <v>30</v>
      </c>
    </row>
    <row r="346" spans="1:17" x14ac:dyDescent="0.2">
      <c r="A346" s="11">
        <v>45721</v>
      </c>
      <c r="B346" s="12"/>
      <c r="C346" s="12"/>
      <c r="D346" s="12" t="s">
        <v>7846</v>
      </c>
      <c r="E346" s="12" t="s">
        <v>16</v>
      </c>
      <c r="F346" s="12" t="s">
        <v>82</v>
      </c>
      <c r="G346" s="13">
        <v>34000</v>
      </c>
      <c r="H346" s="13">
        <v>34000</v>
      </c>
      <c r="I346" s="12" t="s">
        <v>22</v>
      </c>
      <c r="J346" s="12" t="s">
        <v>22</v>
      </c>
      <c r="K346" s="12" t="s">
        <v>7847</v>
      </c>
      <c r="L346" s="12" t="s">
        <v>915</v>
      </c>
      <c r="M346" s="12" t="s">
        <v>97</v>
      </c>
      <c r="N346" s="12">
        <v>2</v>
      </c>
      <c r="O346" s="12" t="s">
        <v>98</v>
      </c>
      <c r="P346" s="12" t="s">
        <v>41</v>
      </c>
      <c r="Q346" s="12" t="s">
        <v>30</v>
      </c>
    </row>
    <row r="347" spans="1:17" x14ac:dyDescent="0.2">
      <c r="A347" s="11">
        <v>45732</v>
      </c>
      <c r="B347" s="12" t="s">
        <v>7725</v>
      </c>
      <c r="C347" s="12"/>
      <c r="D347" s="12" t="s">
        <v>7726</v>
      </c>
      <c r="E347" s="12" t="s">
        <v>16</v>
      </c>
      <c r="F347" s="12" t="s">
        <v>17</v>
      </c>
      <c r="G347" s="13">
        <v>34040</v>
      </c>
      <c r="H347" s="13">
        <v>34040</v>
      </c>
      <c r="I347" s="12" t="s">
        <v>22</v>
      </c>
      <c r="J347" s="12" t="s">
        <v>22</v>
      </c>
      <c r="K347" s="12"/>
      <c r="L347" s="12" t="s">
        <v>7727</v>
      </c>
      <c r="M347" s="12" t="s">
        <v>97</v>
      </c>
      <c r="N347" s="12">
        <v>2</v>
      </c>
      <c r="O347" s="12" t="s">
        <v>142</v>
      </c>
      <c r="P347" s="12" t="s">
        <v>21</v>
      </c>
      <c r="Q347" s="12" t="s">
        <v>30</v>
      </c>
    </row>
    <row r="348" spans="1:17" x14ac:dyDescent="0.2">
      <c r="A348" s="11">
        <v>45992</v>
      </c>
      <c r="B348" s="12" t="s">
        <v>2733</v>
      </c>
      <c r="C348" s="12"/>
      <c r="D348" s="12" t="s">
        <v>2734</v>
      </c>
      <c r="E348" s="12" t="s">
        <v>16</v>
      </c>
      <c r="F348" s="12" t="s">
        <v>17</v>
      </c>
      <c r="G348" s="13">
        <v>38500</v>
      </c>
      <c r="H348" s="13">
        <v>34400</v>
      </c>
      <c r="I348" s="12" t="s">
        <v>22</v>
      </c>
      <c r="J348" s="12" t="s">
        <v>22</v>
      </c>
      <c r="K348" s="12" t="s">
        <v>2735</v>
      </c>
      <c r="L348" s="12" t="s">
        <v>946</v>
      </c>
      <c r="M348" s="12" t="s">
        <v>97</v>
      </c>
      <c r="N348" s="12">
        <v>2</v>
      </c>
      <c r="O348" s="12" t="s">
        <v>65</v>
      </c>
      <c r="P348" s="12" t="s">
        <v>41</v>
      </c>
      <c r="Q348" s="12" t="s">
        <v>30</v>
      </c>
    </row>
    <row r="349" spans="1:17" x14ac:dyDescent="0.2">
      <c r="A349" s="11">
        <v>46087</v>
      </c>
      <c r="B349" s="12"/>
      <c r="C349" s="12"/>
      <c r="D349" s="12" t="s">
        <v>913</v>
      </c>
      <c r="E349" s="12" t="s">
        <v>16</v>
      </c>
      <c r="F349" s="12" t="s">
        <v>17</v>
      </c>
      <c r="G349" s="13">
        <v>35000</v>
      </c>
      <c r="H349" s="13">
        <v>35000</v>
      </c>
      <c r="I349" s="12" t="s">
        <v>22</v>
      </c>
      <c r="J349" s="12" t="s">
        <v>22</v>
      </c>
      <c r="K349" s="12" t="s">
        <v>914</v>
      </c>
      <c r="L349" s="12" t="s">
        <v>915</v>
      </c>
      <c r="M349" s="12" t="s">
        <v>97</v>
      </c>
      <c r="N349" s="12">
        <v>2</v>
      </c>
      <c r="O349" s="12" t="s">
        <v>98</v>
      </c>
      <c r="P349" s="12" t="s">
        <v>21</v>
      </c>
      <c r="Q349" s="12" t="s">
        <v>30</v>
      </c>
    </row>
    <row r="350" spans="1:17" x14ac:dyDescent="0.2">
      <c r="A350" s="11">
        <v>46066</v>
      </c>
      <c r="B350" s="12"/>
      <c r="C350" s="12"/>
      <c r="D350" s="12" t="s">
        <v>1311</v>
      </c>
      <c r="E350" s="12" t="s">
        <v>16</v>
      </c>
      <c r="F350" s="12" t="s">
        <v>82</v>
      </c>
      <c r="G350" s="13">
        <v>35000</v>
      </c>
      <c r="H350" s="13">
        <v>35000</v>
      </c>
      <c r="I350" s="12" t="s">
        <v>22</v>
      </c>
      <c r="J350" s="12" t="s">
        <v>22</v>
      </c>
      <c r="K350" s="12" t="s">
        <v>1193</v>
      </c>
      <c r="L350" s="12" t="s">
        <v>915</v>
      </c>
      <c r="M350" s="12" t="s">
        <v>97</v>
      </c>
      <c r="N350" s="12">
        <v>2</v>
      </c>
      <c r="O350" s="12" t="s">
        <v>98</v>
      </c>
      <c r="P350" s="12" t="s">
        <v>41</v>
      </c>
      <c r="Q350" s="12" t="s">
        <v>30</v>
      </c>
    </row>
    <row r="351" spans="1:17" x14ac:dyDescent="0.2">
      <c r="A351" s="11">
        <v>46054</v>
      </c>
      <c r="B351" s="12" t="s">
        <v>1575</v>
      </c>
      <c r="C351" s="12"/>
      <c r="D351" s="12" t="s">
        <v>1576</v>
      </c>
      <c r="E351" s="12" t="s">
        <v>16</v>
      </c>
      <c r="F351" s="12" t="s">
        <v>17</v>
      </c>
      <c r="G351" s="13">
        <v>42000</v>
      </c>
      <c r="H351" s="13">
        <v>35000</v>
      </c>
      <c r="I351" s="12" t="s">
        <v>22</v>
      </c>
      <c r="J351" s="12" t="s">
        <v>22</v>
      </c>
      <c r="K351" s="12" t="s">
        <v>1577</v>
      </c>
      <c r="L351" s="12" t="s">
        <v>141</v>
      </c>
      <c r="M351" s="12" t="s">
        <v>19</v>
      </c>
      <c r="N351" s="12">
        <v>2</v>
      </c>
      <c r="O351" s="12" t="s">
        <v>198</v>
      </c>
      <c r="P351" s="12" t="s">
        <v>276</v>
      </c>
      <c r="Q351" s="12" t="s">
        <v>30</v>
      </c>
    </row>
    <row r="352" spans="1:17" x14ac:dyDescent="0.2">
      <c r="A352" s="11">
        <v>46049</v>
      </c>
      <c r="B352" s="12" t="s">
        <v>1700</v>
      </c>
      <c r="C352" s="12"/>
      <c r="D352" s="12" t="s">
        <v>1701</v>
      </c>
      <c r="E352" s="12" t="s">
        <v>16</v>
      </c>
      <c r="F352" s="12" t="s">
        <v>82</v>
      </c>
      <c r="G352" s="13">
        <v>38735</v>
      </c>
      <c r="H352" s="13">
        <v>35000</v>
      </c>
      <c r="I352" s="12" t="s">
        <v>22</v>
      </c>
      <c r="J352" s="12" t="s">
        <v>22</v>
      </c>
      <c r="K352" s="12" t="s">
        <v>918</v>
      </c>
      <c r="L352" s="12" t="s">
        <v>915</v>
      </c>
      <c r="M352" s="12" t="s">
        <v>97</v>
      </c>
      <c r="N352" s="12">
        <v>2</v>
      </c>
      <c r="O352" s="12" t="s">
        <v>98</v>
      </c>
      <c r="P352" s="12" t="s">
        <v>41</v>
      </c>
      <c r="Q352" s="12" t="s">
        <v>30</v>
      </c>
    </row>
    <row r="353" spans="1:17" x14ac:dyDescent="0.2">
      <c r="A353" s="11">
        <v>46034</v>
      </c>
      <c r="B353" s="12" t="s">
        <v>1984</v>
      </c>
      <c r="C353" s="12"/>
      <c r="D353" s="12" t="s">
        <v>1701</v>
      </c>
      <c r="E353" s="12" t="s">
        <v>16</v>
      </c>
      <c r="F353" s="12" t="s">
        <v>1708</v>
      </c>
      <c r="G353" s="13">
        <v>38735</v>
      </c>
      <c r="H353" s="13">
        <v>35000</v>
      </c>
      <c r="I353" s="12" t="s">
        <v>22</v>
      </c>
      <c r="J353" s="12" t="s">
        <v>22</v>
      </c>
      <c r="K353" s="12" t="s">
        <v>918</v>
      </c>
      <c r="L353" s="12" t="s">
        <v>915</v>
      </c>
      <c r="M353" s="12" t="s">
        <v>97</v>
      </c>
      <c r="N353" s="12">
        <v>2</v>
      </c>
      <c r="O353" s="12" t="s">
        <v>98</v>
      </c>
      <c r="P353" s="12" t="s">
        <v>21</v>
      </c>
      <c r="Q353" s="12" t="s">
        <v>30</v>
      </c>
    </row>
    <row r="354" spans="1:17" x14ac:dyDescent="0.2">
      <c r="A354" s="11">
        <v>46010</v>
      </c>
      <c r="B354" s="12"/>
      <c r="C354" s="12"/>
      <c r="D354" s="12" t="s">
        <v>2327</v>
      </c>
      <c r="E354" s="12" t="s">
        <v>16</v>
      </c>
      <c r="F354" s="12" t="s">
        <v>17</v>
      </c>
      <c r="G354" s="13">
        <v>35000</v>
      </c>
      <c r="H354" s="13">
        <v>35000</v>
      </c>
      <c r="I354" s="12" t="s">
        <v>22</v>
      </c>
      <c r="J354" s="12" t="s">
        <v>22</v>
      </c>
      <c r="K354" s="12" t="s">
        <v>2328</v>
      </c>
      <c r="L354" s="12" t="s">
        <v>915</v>
      </c>
      <c r="M354" s="12" t="s">
        <v>97</v>
      </c>
      <c r="N354" s="12">
        <v>2</v>
      </c>
      <c r="O354" s="12" t="s">
        <v>98</v>
      </c>
      <c r="P354" s="12" t="s">
        <v>41</v>
      </c>
      <c r="Q354" s="12" t="s">
        <v>30</v>
      </c>
    </row>
    <row r="355" spans="1:17" x14ac:dyDescent="0.2">
      <c r="A355" s="11">
        <v>46007</v>
      </c>
      <c r="B355" s="12" t="s">
        <v>2421</v>
      </c>
      <c r="C355" s="12"/>
      <c r="D355" s="12" t="s">
        <v>2422</v>
      </c>
      <c r="E355" s="12" t="s">
        <v>16</v>
      </c>
      <c r="F355" s="12" t="s">
        <v>82</v>
      </c>
      <c r="G355" s="13">
        <v>45000</v>
      </c>
      <c r="H355" s="13">
        <v>35000</v>
      </c>
      <c r="I355" s="12" t="s">
        <v>22</v>
      </c>
      <c r="J355" s="12" t="s">
        <v>22</v>
      </c>
      <c r="K355" s="12" t="s">
        <v>2423</v>
      </c>
      <c r="L355" s="12" t="s">
        <v>1531</v>
      </c>
      <c r="M355" s="12" t="s">
        <v>97</v>
      </c>
      <c r="N355" s="12">
        <v>2</v>
      </c>
      <c r="O355" s="12" t="s">
        <v>85</v>
      </c>
      <c r="P355" s="12" t="s">
        <v>21</v>
      </c>
      <c r="Q355" s="12" t="s">
        <v>30</v>
      </c>
    </row>
    <row r="356" spans="1:17" x14ac:dyDescent="0.2">
      <c r="A356" s="11">
        <v>45995</v>
      </c>
      <c r="B356" s="12" t="s">
        <v>2648</v>
      </c>
      <c r="C356" s="12"/>
      <c r="D356" s="12" t="s">
        <v>2649</v>
      </c>
      <c r="E356" s="12" t="s">
        <v>16</v>
      </c>
      <c r="F356" s="12" t="s">
        <v>243</v>
      </c>
      <c r="G356" s="13">
        <v>35000</v>
      </c>
      <c r="H356" s="13">
        <v>35000</v>
      </c>
      <c r="I356" s="12" t="s">
        <v>22</v>
      </c>
      <c r="J356" s="12" t="s">
        <v>22</v>
      </c>
      <c r="K356" s="12" t="s">
        <v>2650</v>
      </c>
      <c r="L356" s="12" t="s">
        <v>658</v>
      </c>
      <c r="M356" s="12" t="s">
        <v>97</v>
      </c>
      <c r="N356" s="12">
        <v>2</v>
      </c>
      <c r="O356" s="12" t="s">
        <v>246</v>
      </c>
      <c r="P356" s="12" t="s">
        <v>41</v>
      </c>
      <c r="Q356" s="12" t="s">
        <v>30</v>
      </c>
    </row>
    <row r="357" spans="1:17" x14ac:dyDescent="0.2">
      <c r="A357" s="11">
        <v>45987</v>
      </c>
      <c r="B357" s="12" t="s">
        <v>2969</v>
      </c>
      <c r="C357" s="12"/>
      <c r="D357" s="12" t="s">
        <v>1986</v>
      </c>
      <c r="E357" s="12" t="s">
        <v>16</v>
      </c>
      <c r="F357" s="12" t="s">
        <v>38</v>
      </c>
      <c r="G357" s="13">
        <v>35000</v>
      </c>
      <c r="H357" s="13">
        <v>35000</v>
      </c>
      <c r="I357" s="12" t="s">
        <v>22</v>
      </c>
      <c r="J357" s="12" t="s">
        <v>22</v>
      </c>
      <c r="K357" s="12" t="s">
        <v>918</v>
      </c>
      <c r="L357" s="12" t="s">
        <v>915</v>
      </c>
      <c r="M357" s="12" t="s">
        <v>97</v>
      </c>
      <c r="N357" s="12">
        <v>2</v>
      </c>
      <c r="O357" s="12" t="s">
        <v>98</v>
      </c>
      <c r="P357" s="12" t="s">
        <v>41</v>
      </c>
      <c r="Q357" s="12" t="s">
        <v>30</v>
      </c>
    </row>
    <row r="358" spans="1:17" x14ac:dyDescent="0.2">
      <c r="A358" s="11">
        <v>45979</v>
      </c>
      <c r="B358" s="12" t="s">
        <v>3062</v>
      </c>
      <c r="C358" s="12"/>
      <c r="D358" s="12" t="s">
        <v>3063</v>
      </c>
      <c r="E358" s="12" t="s">
        <v>16</v>
      </c>
      <c r="F358" s="12" t="s">
        <v>243</v>
      </c>
      <c r="G358" s="13">
        <v>38000</v>
      </c>
      <c r="H358" s="13">
        <v>35000</v>
      </c>
      <c r="I358" s="12" t="s">
        <v>22</v>
      </c>
      <c r="J358" s="12" t="s">
        <v>22</v>
      </c>
      <c r="K358" s="12" t="s">
        <v>3064</v>
      </c>
      <c r="L358" s="12" t="s">
        <v>3065</v>
      </c>
      <c r="M358" s="12" t="s">
        <v>19</v>
      </c>
      <c r="N358" s="12">
        <v>2</v>
      </c>
      <c r="O358" s="12" t="s">
        <v>246</v>
      </c>
      <c r="P358" s="12" t="s">
        <v>21</v>
      </c>
      <c r="Q358" s="12" t="s">
        <v>30</v>
      </c>
    </row>
    <row r="359" spans="1:17" x14ac:dyDescent="0.2">
      <c r="A359" s="11">
        <v>45965</v>
      </c>
      <c r="B359" s="12" t="s">
        <v>3350</v>
      </c>
      <c r="C359" s="12"/>
      <c r="D359" s="12" t="s">
        <v>3351</v>
      </c>
      <c r="E359" s="12" t="s">
        <v>16</v>
      </c>
      <c r="F359" s="12" t="s">
        <v>243</v>
      </c>
      <c r="G359" s="13">
        <v>36000</v>
      </c>
      <c r="H359" s="13">
        <v>35000</v>
      </c>
      <c r="I359" s="12" t="s">
        <v>22</v>
      </c>
      <c r="J359" s="12" t="s">
        <v>22</v>
      </c>
      <c r="K359" s="12" t="s">
        <v>3352</v>
      </c>
      <c r="L359" s="12" t="s">
        <v>630</v>
      </c>
      <c r="M359" s="12" t="s">
        <v>97</v>
      </c>
      <c r="N359" s="12">
        <v>2</v>
      </c>
      <c r="O359" s="12" t="s">
        <v>246</v>
      </c>
      <c r="P359" s="12" t="s">
        <v>21</v>
      </c>
      <c r="Q359" s="12" t="s">
        <v>30</v>
      </c>
    </row>
    <row r="360" spans="1:17" x14ac:dyDescent="0.2">
      <c r="A360" s="11">
        <v>45947</v>
      </c>
      <c r="B360" s="12" t="s">
        <v>3706</v>
      </c>
      <c r="C360" s="12"/>
      <c r="D360" s="12" t="s">
        <v>917</v>
      </c>
      <c r="E360" s="12" t="s">
        <v>16</v>
      </c>
      <c r="F360" s="12" t="s">
        <v>82</v>
      </c>
      <c r="G360" s="13">
        <v>38700</v>
      </c>
      <c r="H360" s="13">
        <v>35000</v>
      </c>
      <c r="I360" s="12" t="s">
        <v>22</v>
      </c>
      <c r="J360" s="12" t="s">
        <v>22</v>
      </c>
      <c r="K360" s="12" t="s">
        <v>918</v>
      </c>
      <c r="L360" s="12" t="s">
        <v>915</v>
      </c>
      <c r="M360" s="12" t="s">
        <v>97</v>
      </c>
      <c r="N360" s="12">
        <v>2</v>
      </c>
      <c r="O360" s="12" t="s">
        <v>98</v>
      </c>
      <c r="P360" s="12" t="s">
        <v>41</v>
      </c>
      <c r="Q360" s="12" t="s">
        <v>30</v>
      </c>
    </row>
    <row r="361" spans="1:17" x14ac:dyDescent="0.2">
      <c r="A361" s="11">
        <v>45947</v>
      </c>
      <c r="B361" s="12" t="s">
        <v>3708</v>
      </c>
      <c r="C361" s="12"/>
      <c r="D361" s="12" t="s">
        <v>3709</v>
      </c>
      <c r="E361" s="12" t="s">
        <v>16</v>
      </c>
      <c r="F361" s="12" t="s">
        <v>17</v>
      </c>
      <c r="G361" s="13">
        <v>35000</v>
      </c>
      <c r="H361" s="13">
        <v>35000</v>
      </c>
      <c r="I361" s="12" t="s">
        <v>22</v>
      </c>
      <c r="J361" s="12" t="s">
        <v>22</v>
      </c>
      <c r="K361" s="12" t="s">
        <v>3710</v>
      </c>
      <c r="L361" s="12" t="s">
        <v>449</v>
      </c>
      <c r="M361" s="12" t="s">
        <v>97</v>
      </c>
      <c r="N361" s="12">
        <v>2</v>
      </c>
      <c r="O361" s="12" t="s">
        <v>367</v>
      </c>
      <c r="P361" s="12" t="s">
        <v>41</v>
      </c>
      <c r="Q361" s="12" t="s">
        <v>30</v>
      </c>
    </row>
    <row r="362" spans="1:17" x14ac:dyDescent="0.2">
      <c r="A362" s="11">
        <v>45939</v>
      </c>
      <c r="B362" s="12" t="s">
        <v>3872</v>
      </c>
      <c r="C362" s="12"/>
      <c r="D362" s="12" t="s">
        <v>3873</v>
      </c>
      <c r="E362" s="12" t="s">
        <v>16</v>
      </c>
      <c r="F362" s="12" t="s">
        <v>17</v>
      </c>
      <c r="G362" s="13">
        <v>35000</v>
      </c>
      <c r="H362" s="13">
        <v>35000</v>
      </c>
      <c r="I362" s="12" t="s">
        <v>22</v>
      </c>
      <c r="J362" s="12" t="s">
        <v>22</v>
      </c>
      <c r="K362" s="12" t="s">
        <v>3874</v>
      </c>
      <c r="L362" s="12" t="s">
        <v>679</v>
      </c>
      <c r="M362" s="12" t="s">
        <v>97</v>
      </c>
      <c r="N362" s="12">
        <v>2</v>
      </c>
      <c r="O362" s="12" t="s">
        <v>151</v>
      </c>
      <c r="P362" s="12" t="s">
        <v>21</v>
      </c>
      <c r="Q362" s="12" t="s">
        <v>30</v>
      </c>
    </row>
    <row r="363" spans="1:17" x14ac:dyDescent="0.2">
      <c r="A363" s="11">
        <v>45937</v>
      </c>
      <c r="B363" s="12" t="s">
        <v>3946</v>
      </c>
      <c r="C363" s="12"/>
      <c r="D363" s="12" t="s">
        <v>3947</v>
      </c>
      <c r="E363" s="12" t="s">
        <v>16</v>
      </c>
      <c r="F363" s="12" t="s">
        <v>82</v>
      </c>
      <c r="G363" s="13">
        <v>40000</v>
      </c>
      <c r="H363" s="13">
        <v>35000</v>
      </c>
      <c r="I363" s="12" t="s">
        <v>22</v>
      </c>
      <c r="J363" s="12" t="s">
        <v>22</v>
      </c>
      <c r="K363" s="12" t="s">
        <v>3948</v>
      </c>
      <c r="L363" s="12" t="s">
        <v>84</v>
      </c>
      <c r="M363" s="12" t="s">
        <v>28</v>
      </c>
      <c r="N363" s="12">
        <v>2</v>
      </c>
      <c r="O363" s="12" t="s">
        <v>85</v>
      </c>
      <c r="P363" s="12" t="s">
        <v>41</v>
      </c>
      <c r="Q363" s="12" t="s">
        <v>30</v>
      </c>
    </row>
    <row r="364" spans="1:17" x14ac:dyDescent="0.2">
      <c r="A364" s="11">
        <v>45924</v>
      </c>
      <c r="B364" s="12" t="s">
        <v>4195</v>
      </c>
      <c r="C364" s="12"/>
      <c r="D364" s="12" t="s">
        <v>4196</v>
      </c>
      <c r="E364" s="12" t="s">
        <v>16</v>
      </c>
      <c r="F364" s="12" t="s">
        <v>17</v>
      </c>
      <c r="G364" s="13">
        <v>160000</v>
      </c>
      <c r="H364" s="13">
        <v>35000</v>
      </c>
      <c r="I364" s="12" t="s">
        <v>22</v>
      </c>
      <c r="J364" s="12" t="s">
        <v>18</v>
      </c>
      <c r="K364" s="12" t="s">
        <v>4197</v>
      </c>
      <c r="L364" s="12" t="s">
        <v>486</v>
      </c>
      <c r="M364" s="12" t="s">
        <v>300</v>
      </c>
      <c r="N364" s="12">
        <v>2</v>
      </c>
      <c r="O364" s="12" t="s">
        <v>50</v>
      </c>
      <c r="P364" s="12" t="s">
        <v>21</v>
      </c>
      <c r="Q364" s="12" t="s">
        <v>30</v>
      </c>
    </row>
    <row r="365" spans="1:17" x14ac:dyDescent="0.2">
      <c r="A365" s="11">
        <v>45923</v>
      </c>
      <c r="B365" s="12" t="s">
        <v>4244</v>
      </c>
      <c r="C365" s="12"/>
      <c r="D365" s="12" t="s">
        <v>4245</v>
      </c>
      <c r="E365" s="12" t="s">
        <v>16</v>
      </c>
      <c r="F365" s="12" t="s">
        <v>17</v>
      </c>
      <c r="G365" s="13">
        <v>39900</v>
      </c>
      <c r="H365" s="13">
        <v>35000</v>
      </c>
      <c r="I365" s="12" t="s">
        <v>22</v>
      </c>
      <c r="J365" s="12" t="s">
        <v>22</v>
      </c>
      <c r="K365" s="12" t="s">
        <v>4246</v>
      </c>
      <c r="L365" s="12" t="s">
        <v>2361</v>
      </c>
      <c r="M365" s="12" t="s">
        <v>97</v>
      </c>
      <c r="N365" s="12">
        <v>2</v>
      </c>
      <c r="O365" s="12" t="s">
        <v>35</v>
      </c>
      <c r="P365" s="12" t="s">
        <v>21</v>
      </c>
      <c r="Q365" s="12" t="s">
        <v>30</v>
      </c>
    </row>
    <row r="366" spans="1:17" x14ac:dyDescent="0.2">
      <c r="A366" s="11">
        <v>45868</v>
      </c>
      <c r="B366" s="12" t="s">
        <v>5308</v>
      </c>
      <c r="C366" s="12"/>
      <c r="D366" s="12" t="s">
        <v>5309</v>
      </c>
      <c r="E366" s="12" t="s">
        <v>16</v>
      </c>
      <c r="F366" s="12" t="s">
        <v>82</v>
      </c>
      <c r="G366" s="13">
        <v>40000</v>
      </c>
      <c r="H366" s="13">
        <v>35000</v>
      </c>
      <c r="I366" s="12" t="s">
        <v>22</v>
      </c>
      <c r="J366" s="12" t="s">
        <v>22</v>
      </c>
      <c r="K366" s="12" t="s">
        <v>5310</v>
      </c>
      <c r="L366" s="12" t="s">
        <v>54</v>
      </c>
      <c r="M366" s="12" t="s">
        <v>28</v>
      </c>
      <c r="N366" s="12">
        <v>2</v>
      </c>
      <c r="O366" s="12" t="s">
        <v>55</v>
      </c>
      <c r="P366" s="12" t="s">
        <v>41</v>
      </c>
      <c r="Q366" s="12" t="s">
        <v>30</v>
      </c>
    </row>
    <row r="367" spans="1:17" x14ac:dyDescent="0.2">
      <c r="A367" s="11">
        <v>45800</v>
      </c>
      <c r="B367" s="12" t="s">
        <v>6556</v>
      </c>
      <c r="C367" s="12"/>
      <c r="D367" s="12" t="s">
        <v>6556</v>
      </c>
      <c r="E367" s="12" t="s">
        <v>16</v>
      </c>
      <c r="F367" s="12" t="s">
        <v>17</v>
      </c>
      <c r="G367" s="13">
        <v>35000</v>
      </c>
      <c r="H367" s="13">
        <v>35000</v>
      </c>
      <c r="I367" s="12" t="s">
        <v>22</v>
      </c>
      <c r="J367" s="12" t="s">
        <v>22</v>
      </c>
      <c r="K367" s="12" t="s">
        <v>6556</v>
      </c>
      <c r="L367" s="12" t="s">
        <v>1375</v>
      </c>
      <c r="M367" s="12" t="s">
        <v>19</v>
      </c>
      <c r="N367" s="12">
        <v>2</v>
      </c>
      <c r="O367" s="12" t="s">
        <v>35</v>
      </c>
      <c r="P367" s="12" t="s">
        <v>21</v>
      </c>
      <c r="Q367" s="12" t="s">
        <v>30</v>
      </c>
    </row>
    <row r="368" spans="1:17" x14ac:dyDescent="0.2">
      <c r="A368" s="11">
        <v>45730</v>
      </c>
      <c r="B368" s="12" t="s">
        <v>7740</v>
      </c>
      <c r="C368" s="12"/>
      <c r="D368" s="12" t="s">
        <v>7741</v>
      </c>
      <c r="E368" s="12" t="s">
        <v>16</v>
      </c>
      <c r="F368" s="12" t="s">
        <v>17</v>
      </c>
      <c r="G368" s="13">
        <v>40500</v>
      </c>
      <c r="H368" s="13">
        <v>35000</v>
      </c>
      <c r="I368" s="12" t="s">
        <v>22</v>
      </c>
      <c r="J368" s="12" t="s">
        <v>22</v>
      </c>
      <c r="K368" s="12" t="s">
        <v>7742</v>
      </c>
      <c r="L368" s="12" t="s">
        <v>2064</v>
      </c>
      <c r="M368" s="12" t="s">
        <v>72</v>
      </c>
      <c r="N368" s="12">
        <v>2</v>
      </c>
      <c r="O368" s="12" t="s">
        <v>50</v>
      </c>
      <c r="P368" s="12" t="s">
        <v>21</v>
      </c>
      <c r="Q368" s="12" t="s">
        <v>30</v>
      </c>
    </row>
    <row r="369" spans="1:17" x14ac:dyDescent="0.2">
      <c r="A369" s="11">
        <v>45729</v>
      </c>
      <c r="B369" s="12"/>
      <c r="C369" s="12"/>
      <c r="D369" s="12" t="s">
        <v>7767</v>
      </c>
      <c r="E369" s="12" t="s">
        <v>16</v>
      </c>
      <c r="F369" s="12" t="s">
        <v>82</v>
      </c>
      <c r="G369" s="13">
        <v>35000</v>
      </c>
      <c r="H369" s="13">
        <v>35000</v>
      </c>
      <c r="I369" s="12" t="s">
        <v>22</v>
      </c>
      <c r="J369" s="12" t="s">
        <v>22</v>
      </c>
      <c r="K369" s="12" t="s">
        <v>7768</v>
      </c>
      <c r="L369" s="12" t="s">
        <v>915</v>
      </c>
      <c r="M369" s="12" t="s">
        <v>97</v>
      </c>
      <c r="N369" s="12">
        <v>2</v>
      </c>
      <c r="O369" s="12" t="s">
        <v>98</v>
      </c>
      <c r="P369" s="12" t="s">
        <v>41</v>
      </c>
      <c r="Q369" s="12" t="s">
        <v>30</v>
      </c>
    </row>
    <row r="370" spans="1:17" x14ac:dyDescent="0.2">
      <c r="A370" s="11">
        <v>45705</v>
      </c>
      <c r="B370" s="12" t="s">
        <v>8043</v>
      </c>
      <c r="C370" s="12"/>
      <c r="D370" s="12" t="s">
        <v>8044</v>
      </c>
      <c r="E370" s="12" t="s">
        <v>16</v>
      </c>
      <c r="F370" s="12" t="s">
        <v>243</v>
      </c>
      <c r="G370" s="13">
        <v>35000</v>
      </c>
      <c r="H370" s="13">
        <v>35000</v>
      </c>
      <c r="I370" s="12" t="s">
        <v>22</v>
      </c>
      <c r="J370" s="12" t="s">
        <v>22</v>
      </c>
      <c r="K370" s="12" t="s">
        <v>8045</v>
      </c>
      <c r="L370" s="12" t="s">
        <v>2693</v>
      </c>
      <c r="M370" s="12" t="s">
        <v>28</v>
      </c>
      <c r="N370" s="12">
        <v>2</v>
      </c>
      <c r="O370" s="12" t="s">
        <v>246</v>
      </c>
      <c r="P370" s="12" t="s">
        <v>21</v>
      </c>
      <c r="Q370" s="12" t="s">
        <v>30</v>
      </c>
    </row>
    <row r="371" spans="1:17" x14ac:dyDescent="0.2">
      <c r="A371" s="11">
        <v>45699</v>
      </c>
      <c r="B371" s="12" t="s">
        <v>8113</v>
      </c>
      <c r="C371" s="12"/>
      <c r="D371" s="12" t="s">
        <v>8114</v>
      </c>
      <c r="E371" s="12" t="s">
        <v>16</v>
      </c>
      <c r="F371" s="12" t="s">
        <v>134</v>
      </c>
      <c r="G371" s="13">
        <v>37000</v>
      </c>
      <c r="H371" s="13">
        <v>35000</v>
      </c>
      <c r="I371" s="12" t="s">
        <v>22</v>
      </c>
      <c r="J371" s="12" t="s">
        <v>22</v>
      </c>
      <c r="K371" s="12" t="s">
        <v>1453</v>
      </c>
      <c r="L371" s="12" t="s">
        <v>1454</v>
      </c>
      <c r="M371" s="12" t="s">
        <v>97</v>
      </c>
      <c r="N371" s="12">
        <v>2</v>
      </c>
      <c r="O371" s="12" t="s">
        <v>130</v>
      </c>
      <c r="P371" s="12" t="s">
        <v>41</v>
      </c>
      <c r="Q371" s="12" t="s">
        <v>30</v>
      </c>
    </row>
    <row r="372" spans="1:17" x14ac:dyDescent="0.2">
      <c r="A372" s="11">
        <v>45692</v>
      </c>
      <c r="B372" s="12" t="s">
        <v>8184</v>
      </c>
      <c r="C372" s="12"/>
      <c r="D372" s="12" t="s">
        <v>8185</v>
      </c>
      <c r="E372" s="12" t="s">
        <v>16</v>
      </c>
      <c r="F372" s="12" t="s">
        <v>17</v>
      </c>
      <c r="G372" s="13">
        <v>41800</v>
      </c>
      <c r="H372" s="13">
        <v>35000</v>
      </c>
      <c r="I372" s="12" t="s">
        <v>22</v>
      </c>
      <c r="J372" s="12" t="s">
        <v>22</v>
      </c>
      <c r="K372" s="12" t="s">
        <v>8186</v>
      </c>
      <c r="L372" s="12" t="s">
        <v>8187</v>
      </c>
      <c r="M372" s="12" t="s">
        <v>97</v>
      </c>
      <c r="N372" s="12">
        <v>2</v>
      </c>
      <c r="O372" s="12" t="s">
        <v>142</v>
      </c>
      <c r="P372" s="12" t="s">
        <v>21</v>
      </c>
      <c r="Q372" s="12" t="s">
        <v>30</v>
      </c>
    </row>
    <row r="373" spans="1:17" x14ac:dyDescent="0.2">
      <c r="A373" s="11">
        <v>45680</v>
      </c>
      <c r="B373" s="12" t="s">
        <v>8313</v>
      </c>
      <c r="C373" s="12"/>
      <c r="D373" s="12" t="s">
        <v>8314</v>
      </c>
      <c r="E373" s="12" t="s">
        <v>16</v>
      </c>
      <c r="F373" s="12" t="s">
        <v>134</v>
      </c>
      <c r="G373" s="13">
        <v>40000</v>
      </c>
      <c r="H373" s="13">
        <v>35000</v>
      </c>
      <c r="I373" s="12" t="s">
        <v>22</v>
      </c>
      <c r="J373" s="12" t="s">
        <v>22</v>
      </c>
      <c r="K373" s="12" t="s">
        <v>8315</v>
      </c>
      <c r="L373" s="12" t="s">
        <v>449</v>
      </c>
      <c r="M373" s="12" t="s">
        <v>97</v>
      </c>
      <c r="N373" s="12">
        <v>2</v>
      </c>
      <c r="O373" s="12" t="s">
        <v>367</v>
      </c>
      <c r="P373" s="12" t="s">
        <v>41</v>
      </c>
      <c r="Q373" s="12" t="s">
        <v>30</v>
      </c>
    </row>
    <row r="374" spans="1:17" x14ac:dyDescent="0.2">
      <c r="A374" s="11">
        <v>45680</v>
      </c>
      <c r="B374" s="12" t="s">
        <v>8313</v>
      </c>
      <c r="C374" s="12"/>
      <c r="D374" s="12" t="s">
        <v>8314</v>
      </c>
      <c r="E374" s="12" t="s">
        <v>16</v>
      </c>
      <c r="F374" s="12" t="s">
        <v>134</v>
      </c>
      <c r="G374" s="13">
        <v>40000</v>
      </c>
      <c r="H374" s="13">
        <v>35000</v>
      </c>
      <c r="I374" s="12" t="s">
        <v>22</v>
      </c>
      <c r="J374" s="12" t="s">
        <v>22</v>
      </c>
      <c r="K374" s="12" t="s">
        <v>8315</v>
      </c>
      <c r="L374" s="12" t="s">
        <v>449</v>
      </c>
      <c r="M374" s="12" t="s">
        <v>97</v>
      </c>
      <c r="N374" s="12">
        <v>2</v>
      </c>
      <c r="O374" s="12" t="s">
        <v>367</v>
      </c>
      <c r="P374" s="12" t="s">
        <v>41</v>
      </c>
      <c r="Q374" s="12" t="s">
        <v>30</v>
      </c>
    </row>
    <row r="375" spans="1:17" x14ac:dyDescent="0.2">
      <c r="A375" s="11">
        <v>46021</v>
      </c>
      <c r="B375" s="12">
        <v>22122025</v>
      </c>
      <c r="C375" s="12"/>
      <c r="D375" s="12" t="s">
        <v>2127</v>
      </c>
      <c r="E375" s="12" t="s">
        <v>16</v>
      </c>
      <c r="F375" s="12" t="s">
        <v>134</v>
      </c>
      <c r="G375" s="13">
        <v>35500</v>
      </c>
      <c r="H375" s="13">
        <v>35500</v>
      </c>
      <c r="I375" s="12" t="s">
        <v>22</v>
      </c>
      <c r="J375" s="12" t="s">
        <v>22</v>
      </c>
      <c r="K375" s="12"/>
      <c r="L375" s="12" t="s">
        <v>129</v>
      </c>
      <c r="M375" s="12" t="s">
        <v>97</v>
      </c>
      <c r="N375" s="12">
        <v>1</v>
      </c>
      <c r="O375" s="12" t="s">
        <v>130</v>
      </c>
      <c r="P375" s="12" t="s">
        <v>131</v>
      </c>
      <c r="Q375" s="12" t="s">
        <v>30</v>
      </c>
    </row>
    <row r="376" spans="1:17" x14ac:dyDescent="0.2">
      <c r="A376" s="1">
        <v>45779</v>
      </c>
      <c r="B376" t="s">
        <v>6916</v>
      </c>
      <c r="D376" t="s">
        <v>6917</v>
      </c>
      <c r="E376" t="s">
        <v>16</v>
      </c>
      <c r="F376" t="s">
        <v>38</v>
      </c>
      <c r="G376" s="10">
        <v>70000</v>
      </c>
      <c r="H376" s="10">
        <v>60000</v>
      </c>
      <c r="I376" t="s">
        <v>22</v>
      </c>
      <c r="J376" t="s">
        <v>22</v>
      </c>
      <c r="K376" t="s">
        <v>6918</v>
      </c>
      <c r="L376" t="s">
        <v>286</v>
      </c>
      <c r="M376" t="s">
        <v>6919</v>
      </c>
      <c r="N376">
        <v>2</v>
      </c>
      <c r="O376" t="s">
        <v>55</v>
      </c>
      <c r="P376" t="s">
        <v>21</v>
      </c>
      <c r="Q376" t="s">
        <v>30</v>
      </c>
    </row>
    <row r="377" spans="1:17" x14ac:dyDescent="0.2">
      <c r="A377" s="1">
        <v>45897</v>
      </c>
      <c r="B377" t="s">
        <v>4705</v>
      </c>
      <c r="D377" t="s">
        <v>4706</v>
      </c>
      <c r="E377" t="s">
        <v>16</v>
      </c>
      <c r="F377" t="s">
        <v>17</v>
      </c>
      <c r="G377" s="10">
        <v>80000</v>
      </c>
      <c r="H377" s="10">
        <v>80000</v>
      </c>
      <c r="I377" t="s">
        <v>22</v>
      </c>
      <c r="J377" t="s">
        <v>22</v>
      </c>
      <c r="K377" t="s">
        <v>4707</v>
      </c>
      <c r="L377" t="s">
        <v>160</v>
      </c>
      <c r="M377" t="s">
        <v>3479</v>
      </c>
      <c r="N377">
        <v>2</v>
      </c>
      <c r="O377" t="s">
        <v>151</v>
      </c>
      <c r="P377" t="s">
        <v>21</v>
      </c>
      <c r="Q377" t="s">
        <v>30</v>
      </c>
    </row>
    <row r="378" spans="1:17" x14ac:dyDescent="0.2">
      <c r="A378" s="1">
        <v>45712</v>
      </c>
      <c r="B378" t="s">
        <v>7937</v>
      </c>
      <c r="D378" t="s">
        <v>7938</v>
      </c>
      <c r="E378" t="s">
        <v>16</v>
      </c>
      <c r="F378" t="s">
        <v>17</v>
      </c>
      <c r="G378" s="10">
        <v>200000</v>
      </c>
      <c r="H378" s="10">
        <v>170000</v>
      </c>
      <c r="I378" t="s">
        <v>22</v>
      </c>
      <c r="J378" t="s">
        <v>22</v>
      </c>
      <c r="K378" t="s">
        <v>7939</v>
      </c>
      <c r="L378" t="s">
        <v>1651</v>
      </c>
      <c r="M378" t="s">
        <v>3479</v>
      </c>
      <c r="N378">
        <v>2</v>
      </c>
      <c r="O378" t="s">
        <v>151</v>
      </c>
      <c r="P378" t="s">
        <v>41</v>
      </c>
      <c r="Q378" t="s">
        <v>30</v>
      </c>
    </row>
    <row r="379" spans="1:17" x14ac:dyDescent="0.2">
      <c r="A379" s="1">
        <v>45834</v>
      </c>
      <c r="B379" t="s">
        <v>5991</v>
      </c>
      <c r="D379" t="s">
        <v>5992</v>
      </c>
      <c r="E379" t="s">
        <v>16</v>
      </c>
      <c r="F379" t="s">
        <v>17</v>
      </c>
      <c r="G379" s="10">
        <v>420000</v>
      </c>
      <c r="H379" s="10">
        <v>380000</v>
      </c>
      <c r="I379" t="s">
        <v>22</v>
      </c>
      <c r="J379" t="s">
        <v>22</v>
      </c>
      <c r="K379" t="s">
        <v>5993</v>
      </c>
      <c r="L379" t="s">
        <v>3741</v>
      </c>
      <c r="M379" t="s">
        <v>3479</v>
      </c>
      <c r="N379">
        <v>2</v>
      </c>
      <c r="O379" t="s">
        <v>151</v>
      </c>
      <c r="P379" t="s">
        <v>41</v>
      </c>
      <c r="Q379" t="s">
        <v>30</v>
      </c>
    </row>
    <row r="380" spans="1:17" x14ac:dyDescent="0.2">
      <c r="A380" s="1">
        <v>45958</v>
      </c>
      <c r="B380" t="s">
        <v>3475</v>
      </c>
      <c r="D380" t="s">
        <v>3476</v>
      </c>
      <c r="E380" t="s">
        <v>16</v>
      </c>
      <c r="F380" t="s">
        <v>17</v>
      </c>
      <c r="G380" s="10">
        <v>820000</v>
      </c>
      <c r="H380" s="10">
        <v>800000</v>
      </c>
      <c r="I380" t="s">
        <v>22</v>
      </c>
      <c r="J380" t="s">
        <v>22</v>
      </c>
      <c r="K380" t="s">
        <v>3477</v>
      </c>
      <c r="L380" t="s">
        <v>3478</v>
      </c>
      <c r="M380" t="s">
        <v>3479</v>
      </c>
      <c r="N380">
        <v>1</v>
      </c>
      <c r="O380" t="s">
        <v>1956</v>
      </c>
      <c r="P380" t="s">
        <v>66</v>
      </c>
      <c r="Q380"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Mapa Oficinas</vt:lpstr>
      <vt:lpstr>Operaciones Venta</vt:lpstr>
      <vt:lpstr>DESCARTADO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Hernan Mangini</dc:creator>
  <cp:lastModifiedBy>Francisco Benegas</cp:lastModifiedBy>
  <dcterms:created xsi:type="dcterms:W3CDTF">2026-04-20T16:15:15Z</dcterms:created>
  <dcterms:modified xsi:type="dcterms:W3CDTF">2026-04-22T18:36:20Z</dcterms:modified>
</cp:coreProperties>
</file>