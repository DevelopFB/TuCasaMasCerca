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franciscobenegas/Downloads/"/>
    </mc:Choice>
  </mc:AlternateContent>
  <xr:revisionPtr revIDLastSave="0" documentId="13_ncr:1_{A829895F-8492-4E44-92F0-7B0762720E16}" xr6:coauthVersionLast="47" xr6:coauthVersionMax="47" xr10:uidLastSave="{00000000-0000-0000-0000-000000000000}"/>
  <bookViews>
    <workbookView xWindow="-34420" yWindow="-920" windowWidth="30980" windowHeight="18980" tabRatio="500" xr2:uid="{00000000-000D-0000-FFFF-FFFF00000000}"/>
  </bookViews>
  <sheets>
    <sheet name="FCIc ESTIMACIONES RESUMEN" sheetId="1" r:id="rId1"/>
    <sheet name="CUOTAS TOMADOR"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41" i="1" l="1"/>
  <c r="H41" i="1"/>
  <c r="K41" i="1"/>
  <c r="J41" i="1"/>
  <c r="I41" i="1"/>
  <c r="D4" i="3"/>
  <c r="D5" i="3" s="1"/>
  <c r="H4" i="3" s="1"/>
  <c r="H50" i="3"/>
  <c r="H49" i="3"/>
  <c r="D48" i="3"/>
  <c r="D49" i="3" s="1"/>
  <c r="H39" i="3"/>
  <c r="H38" i="3"/>
  <c r="D37" i="3"/>
  <c r="D38" i="3" s="1"/>
  <c r="H28" i="3"/>
  <c r="H27" i="3"/>
  <c r="D26" i="3"/>
  <c r="D27" i="3" s="1"/>
  <c r="H26" i="3" s="1"/>
  <c r="Q18" i="3"/>
  <c r="H17" i="3"/>
  <c r="H16" i="3"/>
  <c r="D15" i="3"/>
  <c r="D16" i="3" s="1"/>
  <c r="H6" i="3"/>
  <c r="H5" i="3"/>
  <c r="D18" i="1"/>
  <c r="D13" i="1"/>
  <c r="C13" i="1" s="1"/>
  <c r="L12" i="1"/>
  <c r="F10" i="1"/>
  <c r="C10" i="1"/>
  <c r="C9" i="1"/>
  <c r="C12" i="1" s="1"/>
  <c r="K6" i="1"/>
  <c r="J6" i="1"/>
  <c r="I6" i="1"/>
  <c r="H6" i="1"/>
  <c r="G6" i="1"/>
  <c r="F6" i="1"/>
  <c r="G5" i="1"/>
  <c r="G13" i="1" s="1"/>
  <c r="G19" i="1" s="1"/>
  <c r="C11" i="1" l="1"/>
  <c r="H29" i="3"/>
  <c r="H31" i="3" s="1"/>
  <c r="H32" i="3" s="1"/>
  <c r="H33" i="3" s="1"/>
  <c r="H7" i="3"/>
  <c r="H9" i="3" s="1"/>
  <c r="H10" i="3" s="1"/>
  <c r="H11" i="3" s="1"/>
  <c r="D6" i="3"/>
  <c r="D8" i="3" s="1"/>
  <c r="D7" i="3" s="1"/>
  <c r="D39" i="3"/>
  <c r="H37" i="3"/>
  <c r="H40" i="3" s="1"/>
  <c r="H42" i="3" s="1"/>
  <c r="H43" i="3" s="1"/>
  <c r="H44" i="3" s="1"/>
  <c r="G7" i="1"/>
  <c r="H48" i="3"/>
  <c r="H51" i="3" s="1"/>
  <c r="H53" i="3" s="1"/>
  <c r="H54" i="3" s="1"/>
  <c r="H55" i="3" s="1"/>
  <c r="D50" i="3"/>
  <c r="H15" i="3"/>
  <c r="H18" i="3" s="1"/>
  <c r="H20" i="3" s="1"/>
  <c r="H21" i="3" s="1"/>
  <c r="H22" i="3" s="1"/>
  <c r="D17" i="3"/>
  <c r="P3" i="3"/>
  <c r="D28" i="3"/>
  <c r="S5" i="3" l="1"/>
  <c r="S10" i="3"/>
  <c r="S14" i="3"/>
  <c r="S6" i="3"/>
  <c r="S7" i="3"/>
  <c r="S13" i="3"/>
  <c r="S9" i="3"/>
  <c r="S11" i="3"/>
  <c r="S4" i="3"/>
  <c r="S3" i="3"/>
  <c r="S8" i="3"/>
  <c r="S12" i="3"/>
  <c r="G12" i="1"/>
  <c r="G22" i="1"/>
  <c r="G8" i="1"/>
  <c r="G10" i="1" s="1"/>
  <c r="G21" i="1"/>
  <c r="G20" i="1"/>
  <c r="D41" i="3"/>
  <c r="D40" i="3" s="1"/>
  <c r="Q3" i="3"/>
  <c r="D19" i="3"/>
  <c r="D18" i="3" s="1"/>
  <c r="D30" i="3"/>
  <c r="D29" i="3" s="1"/>
  <c r="D52" i="3"/>
  <c r="D51" i="3" s="1"/>
  <c r="S15" i="3" l="1"/>
  <c r="G45" i="1"/>
  <c r="G16" i="1"/>
  <c r="G26" i="1"/>
  <c r="R3" i="3"/>
  <c r="G28" i="1" l="1"/>
  <c r="G31" i="1"/>
  <c r="G24" i="1"/>
  <c r="G17" i="1"/>
  <c r="G43" i="1"/>
  <c r="G29" i="1"/>
  <c r="G27" i="1"/>
  <c r="T3" i="3"/>
  <c r="P4" i="3" s="1"/>
  <c r="G30" i="1" l="1"/>
  <c r="G50" i="1"/>
  <c r="Q4" i="3"/>
  <c r="G44" i="1" l="1"/>
  <c r="G47" i="1" s="1"/>
  <c r="R4" i="3"/>
  <c r="G48" i="1" l="1"/>
  <c r="H4" i="1"/>
  <c r="H5" i="1" s="1"/>
  <c r="T4" i="3"/>
  <c r="P5" i="3" s="1"/>
  <c r="Q5" i="3" l="1"/>
  <c r="H7" i="1"/>
  <c r="H13" i="1"/>
  <c r="H19" i="1" s="1"/>
  <c r="R5" i="3" l="1"/>
  <c r="H22" i="1"/>
  <c r="H20" i="1"/>
  <c r="H8" i="1"/>
  <c r="H10" i="1" s="1"/>
  <c r="H21" i="1"/>
  <c r="H12" i="1"/>
  <c r="H45" i="1" l="1"/>
  <c r="H16" i="1"/>
  <c r="H26" i="1"/>
  <c r="H31" i="1" s="1"/>
  <c r="T5" i="3"/>
  <c r="P6" i="3" s="1"/>
  <c r="H24" i="1" l="1"/>
  <c r="H27" i="1"/>
  <c r="H28" i="1"/>
  <c r="H29" i="1"/>
  <c r="Q6" i="3"/>
  <c r="H43" i="1"/>
  <c r="H17" i="1"/>
  <c r="H30" i="1" l="1"/>
  <c r="H50" i="1"/>
  <c r="H44" i="1" s="1"/>
  <c r="H47" i="1" s="1"/>
  <c r="R6" i="3"/>
  <c r="H48" i="1" l="1"/>
  <c r="I4" i="1"/>
  <c r="I5" i="1" s="1"/>
  <c r="T6" i="3"/>
  <c r="P7" i="3" s="1"/>
  <c r="I7" i="1" l="1"/>
  <c r="I13" i="1"/>
  <c r="I19" i="1" s="1"/>
  <c r="Q7" i="3"/>
  <c r="R7" i="3" s="1"/>
  <c r="T7" i="3" s="1"/>
  <c r="P8" i="3" s="1"/>
  <c r="I20" i="1" l="1"/>
  <c r="I22" i="1"/>
  <c r="I21" i="1"/>
  <c r="I12" i="1"/>
  <c r="I8" i="1"/>
  <c r="I10" i="1" s="1"/>
  <c r="Q8" i="3"/>
  <c r="R8" i="3" s="1"/>
  <c r="T8" i="3" s="1"/>
  <c r="P9" i="3" s="1"/>
  <c r="I45" i="1" l="1"/>
  <c r="Q9" i="3"/>
  <c r="R9" i="3" s="1"/>
  <c r="T9" i="3" s="1"/>
  <c r="P10" i="3" s="1"/>
  <c r="I16" i="1"/>
  <c r="I26" i="1"/>
  <c r="I31" i="1" l="1"/>
  <c r="I24" i="1"/>
  <c r="Q10" i="3"/>
  <c r="R10" i="3" s="1"/>
  <c r="T10" i="3" s="1"/>
  <c r="P11" i="3" s="1"/>
  <c r="I43" i="1"/>
  <c r="I17" i="1"/>
  <c r="I27" i="1"/>
  <c r="I28" i="1"/>
  <c r="I29" i="1"/>
  <c r="I30" i="1" l="1"/>
  <c r="I50" i="1" s="1"/>
  <c r="Q11" i="3"/>
  <c r="R11" i="3" s="1"/>
  <c r="T11" i="3" s="1"/>
  <c r="P12" i="3" s="1"/>
  <c r="Q12" i="3" l="1"/>
  <c r="R12" i="3" s="1"/>
  <c r="T12" i="3" s="1"/>
  <c r="P13" i="3" s="1"/>
  <c r="I44" i="1" l="1"/>
  <c r="I47" i="1" s="1"/>
  <c r="Q13" i="3"/>
  <c r="R13" i="3" s="1"/>
  <c r="T13" i="3" s="1"/>
  <c r="P14" i="3" s="1"/>
  <c r="J4" i="1" l="1"/>
  <c r="J5" i="1" s="1"/>
  <c r="I48" i="1"/>
  <c r="Q14" i="3"/>
  <c r="J7" i="1" l="1"/>
  <c r="J13" i="1"/>
  <c r="J19" i="1" s="1"/>
  <c r="R14" i="3"/>
  <c r="Q15" i="3"/>
  <c r="Q17" i="3" s="1"/>
  <c r="Q19" i="3" s="1"/>
  <c r="J12" i="1" l="1"/>
  <c r="J20" i="1"/>
  <c r="J21" i="1"/>
  <c r="J8" i="1"/>
  <c r="J10" i="1" s="1"/>
  <c r="J22" i="1"/>
  <c r="R15" i="3"/>
  <c r="T14" i="3"/>
  <c r="J45" i="1" l="1"/>
  <c r="J16" i="1"/>
  <c r="J26" i="1"/>
  <c r="J31" i="1" l="1"/>
  <c r="J24" i="1"/>
  <c r="J29" i="1"/>
  <c r="J28" i="1"/>
  <c r="J27" i="1"/>
  <c r="J43" i="1"/>
  <c r="J17" i="1"/>
  <c r="J30" i="1" l="1"/>
  <c r="J50" i="1" s="1"/>
  <c r="J44" i="1" s="1"/>
  <c r="J47" i="1" s="1"/>
  <c r="K4" i="1" s="1"/>
  <c r="K5" i="1" s="1"/>
  <c r="K7" i="1" l="1"/>
  <c r="K20" i="1" s="1"/>
  <c r="K13" i="1"/>
  <c r="K19" i="1" s="1"/>
  <c r="J48" i="1"/>
  <c r="K21" i="1"/>
  <c r="K12" i="1"/>
  <c r="K8" i="1"/>
  <c r="K10" i="1" s="1"/>
  <c r="K22" i="1"/>
  <c r="K45" i="1" l="1"/>
  <c r="K16" i="1"/>
  <c r="K26" i="1"/>
  <c r="K31" i="1" s="1"/>
  <c r="K17" i="1" l="1"/>
  <c r="K43" i="1"/>
  <c r="K24" i="1"/>
  <c r="K28" i="1"/>
  <c r="K29" i="1"/>
  <c r="K27" i="1"/>
  <c r="K30" i="1" l="1"/>
  <c r="K50" i="1" s="1"/>
  <c r="K44" i="1" s="1"/>
  <c r="K47" i="1" s="1"/>
  <c r="K4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Microsoft Office User</author>
  </authors>
  <commentList>
    <comment ref="B9" authorId="0" shapeId="0" xr:uid="{00000000-0006-0000-0000-000001000000}">
      <text>
        <r>
          <rPr>
            <sz val="10"/>
            <rFont val="Arial"/>
            <family val="2"/>
          </rPr>
          <t>Duración Media Ponderada/ Weighted Average Life</t>
        </r>
      </text>
    </comment>
    <comment ref="L19" authorId="0" shapeId="0" xr:uid="{00000000-0006-0000-0000-000002000000}">
      <text>
        <r>
          <rPr>
            <sz val="10"/>
            <rFont val="Arial"/>
            <family val="2"/>
          </rPr>
          <t>El FCICC como tal no es contribuyente de IIBB porque carece de personería jurídica (art. 1, Ley 24.083: "estos fondos no constituyen sociedades y carecen de personería jurídica"). La actividad de otorgar créditos la realiza el Administrador (Sociedad Gerente) en nombre del fondo. Las cuentas de los FCI están exentas del impuesto a los débitos y créditos Argentina.gob.ar, lo cual refuerza que el fondo tiene un tratamiento especial.
En la práctica, hay un argumento fuerte para sostener que los intereses generados por los créditos hipotecarios dentro del patrimonio del FCICC no están alcanzados por IIBB, porque el fondo no es sujeto del impuesto y la actividad se desarrolla a través de un vehículo regulado por la CNV. Pero esto no es una certeza</t>
        </r>
      </text>
    </comment>
    <comment ref="L31" authorId="1" shapeId="0" xr:uid="{E560A938-7C86-1A44-B736-63646EF9EB52}">
      <text>
        <r>
          <rPr>
            <b/>
            <sz val="10"/>
            <color rgb="FF000000"/>
            <rFont val="Tahoma"/>
            <family val="2"/>
          </rPr>
          <t xml:space="preserve">Gastos ordinarios del Fondo
</t>
        </r>
        <r>
          <rPr>
            <b/>
            <sz val="10"/>
            <color rgb="FF000000"/>
            <rFont val="Tahoma"/>
            <family val="2"/>
          </rPr>
          <t xml:space="preserve">
</t>
        </r>
        <r>
          <rPr>
            <b/>
            <sz val="10"/>
            <color rgb="FF000000"/>
            <rFont val="Tahoma"/>
            <family val="2"/>
          </rPr>
          <t xml:space="preserve">Los gastos ordinarios y honorarios imputables al Fondo se encuentran sujetos a los límites máximos establecidos en el Reglamento de Gestión, calculados como porcentaje del Patrimonio Neto del Fondo.
</t>
        </r>
        <r>
          <rPr>
            <b/>
            <sz val="10"/>
            <color rgb="FF000000"/>
            <rFont val="Tahoma"/>
            <family val="2"/>
          </rPr>
          <t xml:space="preserve">
</t>
        </r>
        <r>
          <rPr>
            <b/>
            <sz val="10"/>
            <color rgb="FF000000"/>
            <rFont val="Tahoma"/>
            <family val="2"/>
          </rPr>
          <t>En el modelo se asumen topes equivalentes a los utilizados en el FCIC Lendar–Allaria. En caso de que los gastos ordinarios y honorarios superen dicho límite, el excedente no podrá ser absorbido por el Fondo y deberá ser compensado mediante la reducción de honorarios del Asesor y/o de la Sociedad Gerente, o bien asumido por el sponsor fuera del Fondo.</t>
        </r>
      </text>
    </comment>
  </commentList>
</comments>
</file>

<file path=xl/sharedStrings.xml><?xml version="1.0" encoding="utf-8"?>
<sst xmlns="http://schemas.openxmlformats.org/spreadsheetml/2006/main" count="154" uniqueCount="95">
  <si>
    <t>PREMISAS DEL MODELO</t>
  </si>
  <si>
    <t>PLAZO (meses)</t>
  </si>
  <si>
    <t>TASA ANUAL</t>
  </si>
  <si>
    <t>DISTRIBUCIÓN</t>
  </si>
  <si>
    <t>VENTA (CAPTACIÓN)</t>
  </si>
  <si>
    <t>Ingresos del año anterior</t>
  </si>
  <si>
    <t>STOCK DE CAPITAL</t>
  </si>
  <si>
    <t>Esto genera interés todo el año</t>
  </si>
  <si>
    <t>Capital Liberado por Amortización</t>
  </si>
  <si>
    <t>Esto genera Upfront fee y mantiene duration</t>
  </si>
  <si>
    <t>Nuevos CREDITOS POR AMORTIZACIÓN</t>
  </si>
  <si>
    <t>WAL</t>
  </si>
  <si>
    <t>TASA MEDIA Pond</t>
  </si>
  <si>
    <t>Total créditos otorgados</t>
  </si>
  <si>
    <t>TASA STOCK CAP</t>
  </si>
  <si>
    <t>ROTACIÓN ANUAL</t>
  </si>
  <si>
    <t>UPFRONT FEE</t>
  </si>
  <si>
    <t>UPFRONT FEE BTO</t>
  </si>
  <si>
    <t>INTERES GANADO</t>
  </si>
  <si>
    <t>UPFRONT FEE NETO</t>
  </si>
  <si>
    <t>OTROS INGRESOS (TBD)</t>
  </si>
  <si>
    <t>Rotación imperfecta:</t>
  </si>
  <si>
    <t>INGRESOS</t>
  </si>
  <si>
    <t>Ticket Prom. Est</t>
  </si>
  <si>
    <t>TTM Originación</t>
  </si>
  <si>
    <t>Ver si aplican estos impuestos en FCI cerrado</t>
  </si>
  <si>
    <t>IIBB</t>
  </si>
  <si>
    <t>https://www.argentina.gob.ar/sites/default/files/pdf_cafci.pdf</t>
  </si>
  <si>
    <t>IVA</t>
  </si>
  <si>
    <t>Le descuento el IVA del upfront y en principio para vivienda única no aplicaría y si aplica se trasladaría al tomador del crédito</t>
  </si>
  <si>
    <t>Impuesto a Sellos</t>
  </si>
  <si>
    <t>Caba 0, ver resto</t>
  </si>
  <si>
    <t>https://www.ambito.com/real-estate/comprar-vivienda-caba-costara-menos-baja-del-impuesto-los-sellos-2026-que-cambia-y-quien-beneficia-n6224787</t>
  </si>
  <si>
    <t>Imp. Ley 25413</t>
  </si>
  <si>
    <t>Hay que ver cómo eficientizar en este punto. hay opciones.</t>
  </si>
  <si>
    <t>TOPE OPER</t>
  </si>
  <si>
    <t>Este tope es el que pusieron en lendar y alaria en base a los máximos</t>
  </si>
  <si>
    <t>FCIcerrado</t>
  </si>
  <si>
    <t>TOPE: 5.4%</t>
  </si>
  <si>
    <t>PN</t>
  </si>
  <si>
    <t>PN calculado sin distribución de capital no intereses a los inversores</t>
  </si>
  <si>
    <t>Honorarios Sociedad Gerente</t>
  </si>
  <si>
    <t>Honorarios Sociedad Depositaria</t>
  </si>
  <si>
    <t>Honorarios Asesor de Inversión</t>
  </si>
  <si>
    <t>Auditoría externa</t>
  </si>
  <si>
    <t>Asesoría legal</t>
  </si>
  <si>
    <t>Asesoría contable / impositiva</t>
  </si>
  <si>
    <t>Valuadores independientes</t>
  </si>
  <si>
    <t>Gastos bancarios operativos</t>
  </si>
  <si>
    <t>Custodia documental de créditos</t>
  </si>
  <si>
    <t>MAX GASTO POR Reglamento</t>
  </si>
  <si>
    <t>Estimaciones</t>
  </si>
  <si>
    <t>Los costos son estimados.</t>
  </si>
  <si>
    <t>SET UP ABOGADOS</t>
  </si>
  <si>
    <t>TOTAL INGRESOS</t>
  </si>
  <si>
    <t>TOTAL COSTOS</t>
  </si>
  <si>
    <t>"TOTAL" IMPUESTOS</t>
  </si>
  <si>
    <t>EBITDA FONDO</t>
  </si>
  <si>
    <t>Sobre Stock de Capital</t>
  </si>
  <si>
    <t>SPONSOR</t>
  </si>
  <si>
    <t>LEYENDA:</t>
  </si>
  <si>
    <t>🔵 Azul = Inputs/Supuestos</t>
  </si>
  <si>
    <t>⚫ Negro = Fórmulas</t>
  </si>
  <si>
    <t>🟡 Fondo amarillo = Inputs clave</t>
  </si>
  <si>
    <t>TU CASA +CERCA | CUOTAS POR TOMADOR — Amortización Francesa</t>
  </si>
  <si>
    <t>12 MESES — PLAZO</t>
  </si>
  <si>
    <t>Lendar</t>
  </si>
  <si>
    <t>Lendar:</t>
  </si>
  <si>
    <t>Período</t>
  </si>
  <si>
    <t>Saldo Inicial</t>
  </si>
  <si>
    <t>Interés</t>
  </si>
  <si>
    <t>Capital</t>
  </si>
  <si>
    <t>Cuota</t>
  </si>
  <si>
    <t>Saldo Final</t>
  </si>
  <si>
    <t>Tomador</t>
  </si>
  <si>
    <t>Pide</t>
  </si>
  <si>
    <t>Estos va a pagar el depto</t>
  </si>
  <si>
    <t>Toma</t>
  </si>
  <si>
    <t>Upfront</t>
  </si>
  <si>
    <t>Plazo</t>
  </si>
  <si>
    <t>Cuota Neta</t>
  </si>
  <si>
    <t>NETO</t>
  </si>
  <si>
    <t>TOTAL</t>
  </si>
  <si>
    <t>TDirecta</t>
  </si>
  <si>
    <t>TNA</t>
  </si>
  <si>
    <t>24 MESES — PLAZO</t>
  </si>
  <si>
    <t>TOTALES</t>
  </si>
  <si>
    <t>Total Int Nom/30k</t>
  </si>
  <si>
    <t>Upfront Fee + IVA</t>
  </si>
  <si>
    <t>Tasa Directa</t>
  </si>
  <si>
    <t>36 MESES — PLAZO</t>
  </si>
  <si>
    <t>48 MESES — PLAZO</t>
  </si>
  <si>
    <t>CFT</t>
  </si>
  <si>
    <t>60 MESES — PLAZO</t>
  </si>
  <si>
    <t>Mázimo de gastos a abosrver por FCCI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</si>
</sst>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quot;($&quot;#,##0\);\-"/>
    <numFmt numFmtId="165" formatCode="0.0%"/>
    <numFmt numFmtId="166" formatCode="#,##0.0;\(#,##0.0\);\-"/>
    <numFmt numFmtId="167" formatCode="\$#,##0"/>
    <numFmt numFmtId="168" formatCode="0.0"/>
    <numFmt numFmtId="169" formatCode="\$#,##0.00;&quot;($&quot;#,##0.00\);\-"/>
    <numFmt numFmtId="170" formatCode="\$#,##0.00"/>
    <numFmt numFmtId="171" formatCode="[$U$D ]#,##0.00"/>
  </numFmts>
  <fonts count="34" x14ac:knownFonts="1">
    <font>
      <sz val="10"/>
      <color rgb="FF000000"/>
      <name val="Arial"/>
      <charset val="1"/>
    </font>
    <font>
      <sz val="10"/>
      <name val="Arial"/>
      <family val="2"/>
    </font>
    <font>
      <sz val="11"/>
      <color theme="1"/>
      <name val="Arial"/>
      <family val="2"/>
    </font>
    <font>
      <b/>
      <sz val="13"/>
      <color rgb="FFFFFFFF"/>
      <name val="Arial"/>
      <family val="2"/>
    </font>
    <font>
      <b/>
      <sz val="10"/>
      <color rgb="FFFFFFFF"/>
      <name val="Arial"/>
      <family val="2"/>
    </font>
    <font>
      <b/>
      <sz val="9"/>
      <color rgb="FFFFFFFF"/>
      <name val="Arial"/>
      <family val="2"/>
    </font>
    <font>
      <b/>
      <sz val="10"/>
      <color rgb="FF0000FF"/>
      <name val="Arial"/>
      <family val="2"/>
    </font>
    <font>
      <b/>
      <sz val="9"/>
      <color rgb="FF0000FF"/>
      <name val="Arial"/>
      <family val="2"/>
    </font>
    <font>
      <sz val="9"/>
      <color rgb="FF1A1A1A"/>
      <name val="Arial"/>
      <family val="2"/>
    </font>
    <font>
      <sz val="9"/>
      <color rgb="FF0A2D6E"/>
      <name val="Arial"/>
      <family val="2"/>
    </font>
    <font>
      <sz val="9"/>
      <name val="Arial"/>
      <family val="2"/>
    </font>
    <font>
      <b/>
      <sz val="9"/>
      <color rgb="FF333333"/>
      <name val="Arial"/>
      <family val="2"/>
    </font>
    <font>
      <sz val="9"/>
      <color rgb="FF000000"/>
      <name val="Arial"/>
      <family val="2"/>
    </font>
    <font>
      <sz val="8"/>
      <color rgb="FF999999"/>
      <name val="Arial"/>
      <family val="2"/>
    </font>
    <font>
      <b/>
      <sz val="11"/>
      <color theme="1"/>
      <name val="Arial"/>
      <family val="2"/>
    </font>
    <font>
      <b/>
      <sz val="9"/>
      <color rgb="FF1A6B6B"/>
      <name val="Arial"/>
      <family val="2"/>
    </font>
    <font>
      <b/>
      <sz val="8"/>
      <color rgb="FF0000FF"/>
      <name val="Arial"/>
      <family val="2"/>
    </font>
    <font>
      <sz val="9"/>
      <color rgb="FF8B0000"/>
      <name val="Arial"/>
      <family val="2"/>
    </font>
    <font>
      <u/>
      <sz val="11"/>
      <color rgb="FF0000FF"/>
      <name val="Cambria"/>
      <family val="1"/>
    </font>
    <font>
      <b/>
      <sz val="9"/>
      <name val="Arial"/>
      <family val="2"/>
    </font>
    <font>
      <sz val="11"/>
      <color rgb="FF999999"/>
      <name val="Arial"/>
      <family val="2"/>
    </font>
    <font>
      <sz val="9"/>
      <color rgb="FF0000FF"/>
      <name val="Arial"/>
      <family val="2"/>
    </font>
    <font>
      <b/>
      <sz val="11"/>
      <color rgb="FFFFFFFF"/>
      <name val="Arial"/>
      <family val="2"/>
    </font>
    <font>
      <b/>
      <sz val="9"/>
      <color rgb="FF0D4F4F"/>
      <name val="Arial"/>
      <family val="2"/>
    </font>
    <font>
      <b/>
      <sz val="9"/>
      <color rgb="FF0D2137"/>
      <name val="Arial"/>
      <family val="2"/>
    </font>
    <font>
      <sz val="8"/>
      <color rgb="FF0000FF"/>
      <name val="Arial"/>
      <family val="2"/>
    </font>
    <font>
      <sz val="8"/>
      <name val="Arial"/>
      <family val="2"/>
    </font>
    <font>
      <sz val="8"/>
      <color rgb="FF8B6914"/>
      <name val="Arial"/>
      <family val="2"/>
    </font>
    <font>
      <sz val="10"/>
      <color theme="1"/>
      <name val="Arial"/>
      <family val="2"/>
    </font>
    <font>
      <b/>
      <sz val="11"/>
      <color rgb="FFFF0000"/>
      <name val="Helvetica Neue"/>
      <family val="2"/>
    </font>
    <font>
      <b/>
      <sz val="10"/>
      <color rgb="FF000000"/>
      <name val="Tahoma"/>
      <family val="2"/>
    </font>
    <font>
      <i/>
      <sz val="9"/>
      <color theme="0" tint="-0.499984740745262"/>
      <name val="Arial"/>
      <family val="2"/>
    </font>
    <font>
      <sz val="11"/>
      <name val="Arial"/>
      <family val="2"/>
    </font>
    <font>
      <u/>
      <sz val="11"/>
      <name val="Cambria"/>
      <family val="1"/>
    </font>
  </fonts>
  <fills count="17">
    <fill>
      <patternFill patternType="none"/>
    </fill>
    <fill>
      <patternFill patternType="gray125"/>
    </fill>
    <fill>
      <patternFill patternType="solid">
        <fgColor rgb="FF0D2137"/>
        <bgColor rgb="FF1A1A1A"/>
      </patternFill>
    </fill>
    <fill>
      <patternFill patternType="solid">
        <fgColor rgb="FF1B4F8A"/>
        <bgColor rgb="FF0D4F4F"/>
      </patternFill>
    </fill>
    <fill>
      <patternFill patternType="solid">
        <fgColor rgb="FF2E6DB4"/>
        <bgColor rgb="FF4472C4"/>
      </patternFill>
    </fill>
    <fill>
      <patternFill patternType="solid">
        <fgColor rgb="FFFEF9E7"/>
        <bgColor rgb="FFF5F5F5"/>
      </patternFill>
    </fill>
    <fill>
      <patternFill patternType="solid">
        <fgColor rgb="FFF5F5F5"/>
        <bgColor rgb="FFFEF9E7"/>
      </patternFill>
    </fill>
    <fill>
      <patternFill patternType="solid">
        <fgColor rgb="FFDCE6F1"/>
        <bgColor rgb="FFE8E8E8"/>
      </patternFill>
    </fill>
    <fill>
      <patternFill patternType="solid">
        <fgColor rgb="FFFFFFFF"/>
        <bgColor rgb="FFFEF9E7"/>
      </patternFill>
    </fill>
    <fill>
      <patternFill patternType="solid">
        <fgColor rgb="FFE8E8E8"/>
        <bgColor rgb="FFE2F0EF"/>
      </patternFill>
    </fill>
    <fill>
      <patternFill patternType="solid">
        <fgColor rgb="FFD9D9D9"/>
        <bgColor rgb="FFCFE2F3"/>
      </patternFill>
    </fill>
    <fill>
      <patternFill patternType="solid">
        <fgColor rgb="FF1A6B6B"/>
        <bgColor rgb="FF1F5E3C"/>
      </patternFill>
    </fill>
    <fill>
      <patternFill patternType="solid">
        <fgColor rgb="FFE2F0EF"/>
        <bgColor rgb="FFE8E8E8"/>
      </patternFill>
    </fill>
    <fill>
      <patternFill patternType="solid">
        <fgColor rgb="FF1F5E3C"/>
        <bgColor rgb="FF0D4F4F"/>
      </patternFill>
    </fill>
    <fill>
      <patternFill patternType="solid">
        <fgColor rgb="FF4472C4"/>
        <bgColor rgb="FF2E6DB4"/>
      </patternFill>
    </fill>
    <fill>
      <patternFill patternType="solid">
        <fgColor theme="0" tint="-4.9989318521683403E-2"/>
        <bgColor rgb="FF1F5E3C"/>
      </patternFill>
    </fill>
    <fill>
      <patternFill patternType="solid">
        <fgColor theme="0" tint="-4.9989318521683403E-2"/>
        <bgColor rgb="FFFEF9E7"/>
      </patternFill>
    </fill>
  </fills>
  <borders count="18">
    <border>
      <left/>
      <right/>
      <top/>
      <bottom/>
      <diagonal/>
    </border>
    <border>
      <left style="medium">
        <color rgb="FF0D2137"/>
      </left>
      <right style="medium">
        <color rgb="FF0D2137"/>
      </right>
      <top style="medium">
        <color rgb="FF0D2137"/>
      </top>
      <bottom style="medium">
        <color rgb="FF0D2137"/>
      </bottom>
      <diagonal/>
    </border>
    <border>
      <left style="thin">
        <color rgb="FFCCCCCC"/>
      </left>
      <right style="thin">
        <color rgb="FFCCCCCC"/>
      </right>
      <top style="thin">
        <color rgb="FFCCCCCC"/>
      </top>
      <bottom style="thin">
        <color rgb="FFCCCCCC"/>
      </bottom>
      <diagonal/>
    </border>
    <border>
      <left/>
      <right style="thin">
        <color auto="1"/>
      </right>
      <top style="thin">
        <color auto="1"/>
      </top>
      <bottom/>
      <diagonal/>
    </border>
    <border>
      <left/>
      <right style="thin">
        <color auto="1"/>
      </right>
      <top/>
      <bottom/>
      <diagonal/>
    </border>
    <border>
      <left style="thin">
        <color auto="1"/>
      </left>
      <right/>
      <top/>
      <bottom/>
      <diagonal/>
    </border>
    <border>
      <left/>
      <right style="thin">
        <color auto="1"/>
      </right>
      <top/>
      <bottom style="thin">
        <color auto="1"/>
      </bottom>
      <diagonal/>
    </border>
    <border>
      <left style="thin">
        <color rgb="FFCC0000"/>
      </left>
      <right/>
      <top/>
      <bottom/>
      <diagonal/>
    </border>
    <border>
      <left style="thin">
        <color rgb="FFCC0000"/>
      </left>
      <right/>
      <top/>
      <bottom style="thin">
        <color rgb="FFCC0000"/>
      </bottom>
      <diagonal/>
    </border>
    <border>
      <left/>
      <right/>
      <top/>
      <bottom style="medium">
        <color auto="1"/>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rgb="FFCCCCCC"/>
      </top>
      <bottom style="thin">
        <color rgb="FFCCCCCC"/>
      </bottom>
      <diagonal/>
    </border>
  </borders>
  <cellStyleXfs count="3">
    <xf numFmtId="0" fontId="0" fillId="0" borderId="0"/>
    <xf numFmtId="43" fontId="1" fillId="0" borderId="0" applyBorder="0" applyAlignment="0" applyProtection="0"/>
    <xf numFmtId="9" fontId="1" fillId="0" borderId="0" applyBorder="0" applyAlignment="0" applyProtection="0"/>
  </cellStyleXfs>
  <cellXfs count="111">
    <xf numFmtId="0" fontId="0" fillId="0" borderId="0" xfId="0"/>
    <xf numFmtId="164" fontId="10" fillId="8" borderId="2" xfId="0" applyNumberFormat="1" applyFont="1" applyFill="1" applyBorder="1" applyAlignment="1">
      <alignment horizontal="right" vertical="center"/>
    </xf>
    <xf numFmtId="0" fontId="2" fillId="0" borderId="0" xfId="0" applyFont="1" applyAlignment="1">
      <alignment horizont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2" fillId="0" borderId="0" xfId="0" applyFont="1" applyAlignment="1">
      <alignment wrapText="1"/>
    </xf>
    <xf numFmtId="1" fontId="4" fillId="3" borderId="2" xfId="0" applyNumberFormat="1" applyFont="1" applyFill="1" applyBorder="1" applyAlignment="1">
      <alignment horizontal="center" vertical="center"/>
    </xf>
    <xf numFmtId="2" fontId="2" fillId="0" borderId="0" xfId="0" applyNumberFormat="1" applyFont="1"/>
    <xf numFmtId="0" fontId="5" fillId="4" borderId="2" xfId="0" applyFont="1" applyFill="1" applyBorder="1" applyAlignment="1">
      <alignment horizontal="center" vertical="center"/>
    </xf>
    <xf numFmtId="0" fontId="5" fillId="3" borderId="2" xfId="0" applyFont="1" applyFill="1" applyBorder="1" applyAlignment="1">
      <alignment horizontal="left" vertical="center" indent="1"/>
    </xf>
    <xf numFmtId="164" fontId="6" fillId="5" borderId="2" xfId="0" applyNumberFormat="1" applyFont="1" applyFill="1" applyBorder="1" applyAlignment="1">
      <alignment horizontal="right" vertical="center"/>
    </xf>
    <xf numFmtId="4" fontId="2" fillId="0" borderId="0" xfId="0" applyNumberFormat="1" applyFont="1"/>
    <xf numFmtId="0" fontId="7" fillId="5" borderId="2" xfId="0" applyFont="1" applyFill="1" applyBorder="1" applyAlignment="1">
      <alignment horizontal="right" vertical="center"/>
    </xf>
    <xf numFmtId="165" fontId="7" fillId="5" borderId="2" xfId="0" applyNumberFormat="1" applyFont="1" applyFill="1" applyBorder="1" applyAlignment="1">
      <alignment horizontal="right" vertical="center"/>
    </xf>
    <xf numFmtId="9" fontId="7" fillId="5" borderId="2" xfId="0" applyNumberFormat="1" applyFont="1" applyFill="1" applyBorder="1" applyAlignment="1">
      <alignment horizontal="right" vertical="center"/>
    </xf>
    <xf numFmtId="0" fontId="8" fillId="6" borderId="2" xfId="0" applyFont="1" applyFill="1" applyBorder="1" applyAlignment="1">
      <alignment horizontal="left" vertical="center" indent="1"/>
    </xf>
    <xf numFmtId="0" fontId="2" fillId="0" borderId="2" xfId="0" applyFont="1" applyBorder="1" applyAlignment="1">
      <alignment horizontal="right" vertical="center"/>
    </xf>
    <xf numFmtId="3" fontId="2" fillId="0" borderId="2" xfId="0" applyNumberFormat="1" applyFont="1" applyBorder="1" applyAlignment="1">
      <alignment horizontal="right" vertical="center"/>
    </xf>
    <xf numFmtId="164" fontId="9" fillId="7" borderId="2" xfId="0" applyNumberFormat="1" applyFont="1" applyFill="1" applyBorder="1" applyAlignment="1">
      <alignment horizontal="right" vertical="center"/>
    </xf>
    <xf numFmtId="0" fontId="2" fillId="0" borderId="0" xfId="0" applyFont="1"/>
    <xf numFmtId="166" fontId="10" fillId="8" borderId="2" xfId="0" applyNumberFormat="1" applyFont="1" applyFill="1" applyBorder="1" applyAlignment="1">
      <alignment horizontal="right" vertical="center"/>
    </xf>
    <xf numFmtId="0" fontId="4" fillId="3" borderId="2" xfId="0" applyFont="1" applyFill="1" applyBorder="1" applyAlignment="1">
      <alignment horizontal="center" vertical="center"/>
    </xf>
    <xf numFmtId="0" fontId="11" fillId="9" borderId="2" xfId="0" applyFont="1" applyFill="1" applyBorder="1" applyAlignment="1">
      <alignment horizontal="left" vertical="center" indent="1"/>
    </xf>
    <xf numFmtId="165" fontId="12" fillId="8" borderId="2" xfId="0" applyNumberFormat="1" applyFont="1" applyFill="1" applyBorder="1" applyAlignment="1">
      <alignment horizontal="right" vertical="center"/>
    </xf>
    <xf numFmtId="0" fontId="2" fillId="0" borderId="3" xfId="0" applyFont="1" applyBorder="1"/>
    <xf numFmtId="0" fontId="2" fillId="0" borderId="4" xfId="0" applyFont="1" applyBorder="1"/>
    <xf numFmtId="9" fontId="2" fillId="0" borderId="4" xfId="0" applyNumberFormat="1" applyFont="1" applyBorder="1"/>
    <xf numFmtId="10" fontId="2" fillId="0" borderId="0" xfId="0" applyNumberFormat="1" applyFont="1"/>
    <xf numFmtId="165" fontId="2" fillId="0" borderId="4" xfId="0" applyNumberFormat="1" applyFont="1" applyBorder="1"/>
    <xf numFmtId="3" fontId="13" fillId="0" borderId="0" xfId="0" applyNumberFormat="1" applyFont="1" applyAlignment="1">
      <alignment horizontal="left" vertical="center"/>
    </xf>
    <xf numFmtId="0" fontId="13" fillId="0" borderId="0" xfId="0" applyFont="1"/>
    <xf numFmtId="3" fontId="13" fillId="0" borderId="0" xfId="0" applyNumberFormat="1" applyFont="1" applyAlignment="1">
      <alignment horizontal="center" vertical="center"/>
    </xf>
    <xf numFmtId="0" fontId="14" fillId="10" borderId="5" xfId="0" applyFont="1" applyFill="1" applyBorder="1"/>
    <xf numFmtId="10" fontId="14" fillId="10" borderId="0" xfId="0" applyNumberFormat="1" applyFont="1" applyFill="1" applyAlignment="1">
      <alignment horizontal="center"/>
    </xf>
    <xf numFmtId="0" fontId="5" fillId="11" borderId="2" xfId="0" applyFont="1" applyFill="1" applyBorder="1" applyAlignment="1">
      <alignment horizontal="right" vertical="center"/>
    </xf>
    <xf numFmtId="164" fontId="15" fillId="12" borderId="2" xfId="0" applyNumberFormat="1" applyFont="1" applyFill="1" applyBorder="1" applyAlignment="1">
      <alignment horizontal="right" vertical="center"/>
    </xf>
    <xf numFmtId="167" fontId="12" fillId="8" borderId="2" xfId="0" applyNumberFormat="1" applyFont="1" applyFill="1" applyBorder="1" applyAlignment="1">
      <alignment horizontal="right" vertical="center"/>
    </xf>
    <xf numFmtId="165" fontId="10" fillId="6" borderId="2" xfId="0" applyNumberFormat="1" applyFont="1" applyFill="1" applyBorder="1" applyAlignment="1">
      <alignment horizontal="right" vertical="center"/>
    </xf>
    <xf numFmtId="168" fontId="12" fillId="8" borderId="2" xfId="0" applyNumberFormat="1" applyFont="1" applyFill="1" applyBorder="1" applyAlignment="1">
      <alignment horizontal="right" vertical="center"/>
    </xf>
    <xf numFmtId="165" fontId="2" fillId="0" borderId="6" xfId="0" applyNumberFormat="1" applyFont="1" applyBorder="1"/>
    <xf numFmtId="10" fontId="2" fillId="0" borderId="0" xfId="0" applyNumberFormat="1" applyFont="1" applyAlignment="1">
      <alignment horizontal="center" vertical="center"/>
    </xf>
    <xf numFmtId="164" fontId="17" fillId="8" borderId="2" xfId="0" applyNumberFormat="1" applyFont="1" applyFill="1" applyBorder="1" applyAlignment="1">
      <alignment horizontal="right" vertical="center"/>
    </xf>
    <xf numFmtId="0" fontId="18" fillId="0" borderId="0" xfId="0" applyFont="1"/>
    <xf numFmtId="164" fontId="19" fillId="5" borderId="2" xfId="0" applyNumberFormat="1" applyFont="1" applyFill="1" applyBorder="1" applyAlignment="1">
      <alignment horizontal="right" vertical="center"/>
    </xf>
    <xf numFmtId="10" fontId="2" fillId="0" borderId="0" xfId="0" applyNumberFormat="1" applyFont="1" applyAlignment="1">
      <alignment horizontal="center"/>
    </xf>
    <xf numFmtId="9" fontId="2" fillId="0" borderId="0" xfId="0" applyNumberFormat="1" applyFont="1"/>
    <xf numFmtId="9" fontId="20" fillId="0" borderId="2" xfId="0" applyNumberFormat="1" applyFont="1" applyBorder="1" applyAlignment="1">
      <alignment horizontal="right" vertical="center"/>
    </xf>
    <xf numFmtId="10" fontId="2" fillId="0" borderId="7" xfId="0" applyNumberFormat="1" applyFont="1" applyBorder="1"/>
    <xf numFmtId="0" fontId="16" fillId="5" borderId="2" xfId="0" applyFont="1" applyFill="1" applyBorder="1" applyAlignment="1">
      <alignment horizontal="center" vertical="center"/>
    </xf>
    <xf numFmtId="0" fontId="14" fillId="0" borderId="0" xfId="0" applyFont="1" applyAlignment="1">
      <alignment horizontal="center" vertical="center"/>
    </xf>
    <xf numFmtId="0" fontId="2" fillId="0" borderId="8" xfId="0" applyFont="1" applyBorder="1"/>
    <xf numFmtId="0" fontId="14" fillId="0" borderId="0" xfId="0" applyFont="1" applyAlignment="1">
      <alignment horizontal="center"/>
    </xf>
    <xf numFmtId="164" fontId="21" fillId="5" borderId="2" xfId="0" applyNumberFormat="1" applyFont="1" applyFill="1" applyBorder="1" applyAlignment="1">
      <alignment horizontal="right" vertical="center"/>
    </xf>
    <xf numFmtId="0" fontId="2" fillId="0" borderId="7" xfId="0" applyFont="1" applyBorder="1"/>
    <xf numFmtId="3" fontId="2" fillId="0" borderId="0" xfId="0" applyNumberFormat="1" applyFont="1" applyAlignment="1">
      <alignment horizontal="center" vertical="center"/>
    </xf>
    <xf numFmtId="164" fontId="19" fillId="7" borderId="2" xfId="0" applyNumberFormat="1" applyFont="1" applyFill="1" applyBorder="1" applyAlignment="1">
      <alignment horizontal="right" vertical="center"/>
    </xf>
    <xf numFmtId="0" fontId="4" fillId="11" borderId="2" xfId="0" applyFont="1" applyFill="1" applyBorder="1" applyAlignment="1">
      <alignment horizontal="right" vertical="center"/>
    </xf>
    <xf numFmtId="164" fontId="4" fillId="11" borderId="2" xfId="0" applyNumberFormat="1" applyFont="1" applyFill="1" applyBorder="1" applyAlignment="1">
      <alignment horizontal="right" vertical="center"/>
    </xf>
    <xf numFmtId="0" fontId="4" fillId="3" borderId="2" xfId="0" applyFont="1" applyFill="1" applyBorder="1" applyAlignment="1">
      <alignment horizontal="left" vertical="center" indent="1"/>
    </xf>
    <xf numFmtId="164" fontId="4" fillId="3" borderId="2" xfId="0" applyNumberFormat="1" applyFont="1" applyFill="1" applyBorder="1" applyAlignment="1">
      <alignment horizontal="right" vertical="center"/>
    </xf>
    <xf numFmtId="0" fontId="4" fillId="4" borderId="2" xfId="0" applyFont="1" applyFill="1" applyBorder="1" applyAlignment="1">
      <alignment horizontal="left" vertical="center" indent="1"/>
    </xf>
    <xf numFmtId="164" fontId="4" fillId="4" borderId="2" xfId="0" applyNumberFormat="1" applyFont="1" applyFill="1" applyBorder="1" applyAlignment="1">
      <alignment horizontal="right" vertical="center"/>
    </xf>
    <xf numFmtId="0" fontId="13" fillId="0" borderId="0" xfId="0" applyFont="1" applyAlignment="1">
      <alignment vertical="center"/>
    </xf>
    <xf numFmtId="0" fontId="22" fillId="13" borderId="2" xfId="0" applyFont="1" applyFill="1" applyBorder="1" applyAlignment="1">
      <alignment horizontal="right" vertical="center"/>
    </xf>
    <xf numFmtId="164" fontId="22" fillId="13" borderId="2" xfId="0" applyNumberFormat="1" applyFont="1" applyFill="1" applyBorder="1" applyAlignment="1">
      <alignment horizontal="right" vertical="center"/>
    </xf>
    <xf numFmtId="0" fontId="23" fillId="12" borderId="2" xfId="0" applyFont="1" applyFill="1" applyBorder="1" applyAlignment="1">
      <alignment horizontal="right" vertical="center"/>
    </xf>
    <xf numFmtId="165" fontId="23" fillId="12" borderId="2" xfId="0" applyNumberFormat="1" applyFont="1" applyFill="1" applyBorder="1" applyAlignment="1">
      <alignment horizontal="right" vertical="center"/>
    </xf>
    <xf numFmtId="0" fontId="24" fillId="0" borderId="0" xfId="0" applyFont="1"/>
    <xf numFmtId="0" fontId="25" fillId="0" borderId="0" xfId="0" applyFont="1" applyAlignment="1">
      <alignment horizontal="center"/>
    </xf>
    <xf numFmtId="0" fontId="26" fillId="0" borderId="0" xfId="0" applyFont="1"/>
    <xf numFmtId="0" fontId="27" fillId="0" borderId="0" xfId="0" applyFont="1"/>
    <xf numFmtId="4" fontId="2" fillId="0" borderId="0" xfId="0" applyNumberFormat="1" applyFont="1" applyAlignment="1">
      <alignment horizontal="center" vertical="center"/>
    </xf>
    <xf numFmtId="0" fontId="14" fillId="0" borderId="0" xfId="0" applyFont="1"/>
    <xf numFmtId="1" fontId="22" fillId="3" borderId="2" xfId="0" applyNumberFormat="1" applyFont="1" applyFill="1" applyBorder="1" applyAlignment="1">
      <alignment horizontal="center" vertical="center"/>
    </xf>
    <xf numFmtId="0" fontId="4" fillId="3" borderId="10" xfId="0" applyFont="1" applyFill="1" applyBorder="1" applyAlignment="1">
      <alignment horizontal="left" vertical="center"/>
    </xf>
    <xf numFmtId="4" fontId="2" fillId="0" borderId="10" xfId="0" applyNumberFormat="1" applyFont="1" applyBorder="1"/>
    <xf numFmtId="0" fontId="2" fillId="0" borderId="10" xfId="0" applyFont="1" applyBorder="1"/>
    <xf numFmtId="0" fontId="2" fillId="0" borderId="11" xfId="0" applyFont="1" applyBorder="1"/>
    <xf numFmtId="0" fontId="5" fillId="2" borderId="2" xfId="0" applyFont="1" applyFill="1" applyBorder="1" applyAlignment="1">
      <alignment horizontal="center"/>
    </xf>
    <xf numFmtId="0" fontId="5" fillId="3" borderId="2" xfId="0" applyFont="1" applyFill="1" applyBorder="1" applyAlignment="1">
      <alignment horizontal="center" vertical="center"/>
    </xf>
    <xf numFmtId="0" fontId="4" fillId="14" borderId="12" xfId="0" applyFont="1" applyFill="1" applyBorder="1" applyAlignment="1">
      <alignment horizontal="center"/>
    </xf>
    <xf numFmtId="0" fontId="2" fillId="0" borderId="13" xfId="0" applyFont="1" applyBorder="1"/>
    <xf numFmtId="0" fontId="11" fillId="6" borderId="2" xfId="0" applyFont="1" applyFill="1" applyBorder="1" applyAlignment="1">
      <alignment horizontal="left" vertical="center" indent="1"/>
    </xf>
    <xf numFmtId="0" fontId="2" fillId="0" borderId="14" xfId="0" applyFont="1" applyBorder="1"/>
    <xf numFmtId="169" fontId="10" fillId="8" borderId="2" xfId="0" applyNumberFormat="1" applyFont="1" applyFill="1" applyBorder="1" applyAlignment="1">
      <alignment horizontal="right" vertical="center"/>
    </xf>
    <xf numFmtId="170" fontId="28" fillId="0" borderId="12" xfId="0" applyNumberFormat="1" applyFont="1" applyBorder="1" applyAlignment="1">
      <alignment horizontal="center"/>
    </xf>
    <xf numFmtId="4" fontId="14" fillId="0" borderId="0" xfId="0" applyNumberFormat="1" applyFont="1" applyAlignment="1">
      <alignment horizontal="right"/>
    </xf>
    <xf numFmtId="0" fontId="5" fillId="11" borderId="2" xfId="0" applyFont="1" applyFill="1" applyBorder="1" applyAlignment="1">
      <alignment horizontal="left" vertical="center" indent="1"/>
    </xf>
    <xf numFmtId="4" fontId="2" fillId="0" borderId="0" xfId="0" applyNumberFormat="1" applyFont="1" applyAlignment="1">
      <alignment horizontal="right"/>
    </xf>
    <xf numFmtId="10" fontId="2" fillId="0" borderId="0" xfId="0" applyNumberFormat="1" applyFont="1" applyAlignment="1">
      <alignment horizontal="right"/>
    </xf>
    <xf numFmtId="1" fontId="2" fillId="0" borderId="0" xfId="0" applyNumberFormat="1" applyFont="1" applyAlignment="1">
      <alignment horizontal="right"/>
    </xf>
    <xf numFmtId="171" fontId="29" fillId="0" borderId="0" xfId="0" applyNumberFormat="1" applyFont="1" applyAlignment="1">
      <alignment horizontal="right"/>
    </xf>
    <xf numFmtId="171" fontId="14" fillId="0" borderId="0" xfId="0" applyNumberFormat="1" applyFont="1" applyAlignment="1">
      <alignment horizontal="right"/>
    </xf>
    <xf numFmtId="171" fontId="2" fillId="0" borderId="0" xfId="0" applyNumberFormat="1" applyFont="1"/>
    <xf numFmtId="0" fontId="2" fillId="0" borderId="15" xfId="0" applyFont="1" applyBorder="1"/>
    <xf numFmtId="0" fontId="2" fillId="0" borderId="9" xfId="0" applyFont="1" applyBorder="1"/>
    <xf numFmtId="0" fontId="2" fillId="0" borderId="16" xfId="0" applyFont="1" applyBorder="1"/>
    <xf numFmtId="0" fontId="28" fillId="0" borderId="0" xfId="0" applyFont="1" applyAlignment="1">
      <alignment horizontal="center"/>
    </xf>
    <xf numFmtId="3" fontId="2" fillId="0" borderId="0" xfId="0" applyNumberFormat="1" applyFont="1"/>
    <xf numFmtId="43" fontId="1" fillId="0" borderId="2" xfId="1" applyBorder="1" applyAlignment="1">
      <alignment horizontal="right" vertical="center"/>
    </xf>
    <xf numFmtId="10" fontId="1" fillId="0" borderId="2" xfId="2" applyNumberFormat="1" applyBorder="1" applyAlignment="1">
      <alignment horizontal="right" vertical="center"/>
    </xf>
    <xf numFmtId="0" fontId="2" fillId="0" borderId="0" xfId="0" applyFont="1" applyAlignment="1">
      <alignment horizontal="left" vertical="top"/>
    </xf>
    <xf numFmtId="0" fontId="3" fillId="2" borderId="0" xfId="0" applyFont="1" applyFill="1" applyAlignment="1">
      <alignment horizontal="center" vertical="center"/>
    </xf>
    <xf numFmtId="10" fontId="16" fillId="5" borderId="2" xfId="0" applyNumberFormat="1" applyFont="1" applyFill="1" applyBorder="1" applyAlignment="1">
      <alignment horizontal="center" vertical="center"/>
    </xf>
    <xf numFmtId="10" fontId="0" fillId="0" borderId="0" xfId="0" applyNumberFormat="1"/>
    <xf numFmtId="0" fontId="2" fillId="0" borderId="0" xfId="0" applyFont="1" applyBorder="1" applyAlignment="1">
      <alignment vertical="top" wrapText="1"/>
    </xf>
    <xf numFmtId="0" fontId="31" fillId="15" borderId="17" xfId="0" applyFont="1" applyFill="1" applyBorder="1" applyAlignment="1">
      <alignment horizontal="right" vertical="center"/>
    </xf>
    <xf numFmtId="164" fontId="31" fillId="16" borderId="17" xfId="0" applyNumberFormat="1" applyFont="1" applyFill="1" applyBorder="1" applyAlignment="1">
      <alignment horizontal="right" vertical="center"/>
    </xf>
    <xf numFmtId="0" fontId="32" fillId="0" borderId="0" xfId="0" applyFont="1"/>
    <xf numFmtId="0" fontId="1" fillId="0" borderId="0" xfId="0" applyFont="1"/>
    <xf numFmtId="0" fontId="33" fillId="0" borderId="0" xfId="0" applyFont="1"/>
  </cellXfs>
  <cellStyles count="3">
    <cellStyle name="Millares" xfId="1" builtinId="3"/>
    <cellStyle name="Normal" xfId="0" builtinId="0"/>
    <cellStyle name="Porcentaje"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1F5E3C"/>
      <rgbColor rgb="FF000080"/>
      <rgbColor rgb="FF8B6914"/>
      <rgbColor rgb="FF800080"/>
      <rgbColor rgb="FF1A6B6B"/>
      <rgbColor rgb="FFCCCCCC"/>
      <rgbColor rgb="FF808080"/>
      <rgbColor rgb="FF9999FF"/>
      <rgbColor rgb="FF993366"/>
      <rgbColor rgb="FFFFF2CC"/>
      <rgbColor rgb="FFE2F0EF"/>
      <rgbColor rgb="FF660066"/>
      <rgbColor rgb="FFE06666"/>
      <rgbColor rgb="FF2E6DB4"/>
      <rgbColor rgb="FFCFE2F3"/>
      <rgbColor rgb="FF000080"/>
      <rgbColor rgb="FFFF00FF"/>
      <rgbColor rgb="FFFFFF00"/>
      <rgbColor rgb="FF00FFFF"/>
      <rgbColor rgb="FF800080"/>
      <rgbColor rgb="FFCC0000"/>
      <rgbColor rgb="FF0D4F4F"/>
      <rgbColor rgb="FF0000FF"/>
      <rgbColor rgb="FF00CCFF"/>
      <rgbColor rgb="FFDCE6F1"/>
      <rgbColor rgb="FFE8E8E8"/>
      <rgbColor rgb="FFFEF9E7"/>
      <rgbColor rgb="FFF5F5F5"/>
      <rgbColor rgb="FFFF99CC"/>
      <rgbColor rgb="FFCC99FF"/>
      <rgbColor rgb="FFD9D9D9"/>
      <rgbColor rgb="FF4472C4"/>
      <rgbColor rgb="FF33CCCC"/>
      <rgbColor rgb="FF99CC00"/>
      <rgbColor rgb="FFFBBC04"/>
      <rgbColor rgb="FFFF9900"/>
      <rgbColor rgb="FFFF6600"/>
      <rgbColor rgb="FF666699"/>
      <rgbColor rgb="FF999999"/>
      <rgbColor rgb="FF0A2D6E"/>
      <rgbColor rgb="FF339966"/>
      <rgbColor rgb="FF0D2137"/>
      <rgbColor rgb="FF1A1A1A"/>
      <rgbColor rgb="FF993300"/>
      <rgbColor rgb="FF993366"/>
      <rgbColor rgb="FF1B4F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317500</xdr:colOff>
      <xdr:row>20</xdr:row>
      <xdr:rowOff>3040</xdr:rowOff>
    </xdr:from>
    <xdr:to>
      <xdr:col>23</xdr:col>
      <xdr:colOff>150140</xdr:colOff>
      <xdr:row>52</xdr:row>
      <xdr:rowOff>116080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0934700" y="4105140"/>
          <a:ext cx="9383040" cy="636144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ambito.com/real-estate/comprar-vivienda-caba-costara-menos-baja-del-impuesto-los-sellos-2026-que-cambia-y-quien-beneficia-n6224787" TargetMode="External"/><Relationship Id="rId1" Type="http://schemas.openxmlformats.org/officeDocument/2006/relationships/hyperlink" Target="https://www.argentina.gob.ar/sites/default/files/pdf_cafci.pdf"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1006"/>
  <sheetViews>
    <sheetView showGridLines="0" tabSelected="1" zoomScaleNormal="100" workbookViewId="0">
      <pane xSplit="6" ySplit="2" topLeftCell="G3" activePane="bottomRight" state="frozen"/>
      <selection pane="topRight" activeCell="G1" sqref="G1"/>
      <selection pane="bottomLeft" activeCell="A3" sqref="A3"/>
      <selection pane="bottomRight" activeCell="C14" sqref="C14"/>
    </sheetView>
  </sheetViews>
  <sheetFormatPr baseColWidth="10" defaultColWidth="12.6640625" defaultRowHeight="13" x14ac:dyDescent="0.15"/>
  <cols>
    <col min="1" max="1" width="2" customWidth="1"/>
    <col min="2" max="2" width="22" customWidth="1"/>
    <col min="3" max="3" width="12" customWidth="1"/>
    <col min="4" max="4" width="14" customWidth="1"/>
    <col min="5" max="5" width="20.6640625" bestFit="1" customWidth="1"/>
    <col min="6" max="6" width="32" customWidth="1"/>
    <col min="7" max="11" width="14" customWidth="1"/>
    <col min="12" max="12" width="45" customWidth="1"/>
    <col min="13" max="13" width="0.1640625" customWidth="1"/>
    <col min="14" max="14" width="4.1640625" customWidth="1"/>
  </cols>
  <sheetData>
    <row r="1" spans="2:15" ht="7.5" customHeight="1" x14ac:dyDescent="0.15">
      <c r="C1" s="2"/>
      <c r="G1" s="3"/>
      <c r="H1" s="3"/>
      <c r="I1" s="3"/>
      <c r="J1" s="3"/>
      <c r="K1" s="3"/>
    </row>
    <row r="2" spans="2:15" ht="30" customHeight="1" x14ac:dyDescent="0.15">
      <c r="B2" s="4" t="s">
        <v>0</v>
      </c>
      <c r="C2" s="4"/>
      <c r="D2" s="4"/>
      <c r="E2" s="4"/>
      <c r="F2" s="5"/>
      <c r="G2" s="6">
        <v>2026</v>
      </c>
      <c r="H2" s="6">
        <v>2027</v>
      </c>
      <c r="I2" s="6">
        <v>2028</v>
      </c>
      <c r="J2" s="6">
        <v>2029</v>
      </c>
      <c r="K2" s="6">
        <v>2030</v>
      </c>
      <c r="O2" s="7"/>
    </row>
    <row r="3" spans="2:15" ht="18" customHeight="1" x14ac:dyDescent="0.15">
      <c r="B3" s="8" t="s">
        <v>1</v>
      </c>
      <c r="C3" s="8" t="s">
        <v>2</v>
      </c>
      <c r="D3" s="8" t="s">
        <v>3</v>
      </c>
      <c r="F3" s="9" t="s">
        <v>4</v>
      </c>
      <c r="G3" s="10">
        <v>3000000</v>
      </c>
      <c r="H3" s="10">
        <v>5000000</v>
      </c>
      <c r="I3" s="10">
        <v>5000000</v>
      </c>
      <c r="J3" s="10">
        <v>7000000</v>
      </c>
      <c r="K3" s="10">
        <v>10000000</v>
      </c>
      <c r="N3" s="11"/>
      <c r="O3" s="11"/>
    </row>
    <row r="4" spans="2:15" ht="18" customHeight="1" x14ac:dyDescent="0.15">
      <c r="B4" s="12">
        <v>1</v>
      </c>
      <c r="C4" s="13">
        <v>0.105</v>
      </c>
      <c r="D4" s="14">
        <v>0.1</v>
      </c>
      <c r="F4" s="15" t="s">
        <v>5</v>
      </c>
      <c r="G4" s="16">
        <v>0</v>
      </c>
      <c r="H4" s="17">
        <f>G47</f>
        <v>304478.61815652018</v>
      </c>
      <c r="I4" s="17">
        <f>H47</f>
        <v>897185.64895518881</v>
      </c>
      <c r="J4" s="17">
        <f>I47</f>
        <v>1484065.1771808171</v>
      </c>
      <c r="K4" s="17">
        <f>J47</f>
        <v>2382270.6685582763</v>
      </c>
      <c r="N4" s="11"/>
      <c r="O4" s="11"/>
    </row>
    <row r="5" spans="2:15" ht="18" customHeight="1" x14ac:dyDescent="0.15">
      <c r="B5" s="12">
        <v>2</v>
      </c>
      <c r="C5" s="13">
        <v>0.115</v>
      </c>
      <c r="D5" s="14">
        <v>0.25</v>
      </c>
      <c r="F5" s="15" t="s">
        <v>6</v>
      </c>
      <c r="G5" s="18">
        <f>G3</f>
        <v>3000000</v>
      </c>
      <c r="H5" s="18">
        <f>H3+G5+H4</f>
        <v>8304478.6181565206</v>
      </c>
      <c r="I5" s="18">
        <f>I3+H5+I4</f>
        <v>14201664.267111709</v>
      </c>
      <c r="J5" s="18">
        <f>J3+I5+J4</f>
        <v>22685729.444292527</v>
      </c>
      <c r="K5" s="18">
        <f>K3+J5+K4</f>
        <v>35068000.1128508</v>
      </c>
      <c r="L5" s="19" t="s">
        <v>7</v>
      </c>
      <c r="N5" s="11"/>
      <c r="O5" s="11"/>
    </row>
    <row r="6" spans="2:15" ht="18" customHeight="1" x14ac:dyDescent="0.15">
      <c r="B6" s="12">
        <v>3</v>
      </c>
      <c r="C6" s="13">
        <v>0.125</v>
      </c>
      <c r="D6" s="14">
        <v>0.4</v>
      </c>
      <c r="F6" s="15" t="str">
        <f>CONCATENATE("CREDITOS (",C17," USD)")</f>
        <v>CREDITOS (30000 USD)</v>
      </c>
      <c r="G6" s="20">
        <f>G3/$C$17</f>
        <v>100</v>
      </c>
      <c r="H6" s="20">
        <f>H3/$C$17</f>
        <v>166.66666666666666</v>
      </c>
      <c r="I6" s="20">
        <f>I3/$C$17</f>
        <v>166.66666666666666</v>
      </c>
      <c r="J6" s="20">
        <f>J3/$C$17</f>
        <v>233.33333333333334</v>
      </c>
      <c r="K6" s="20">
        <f>K3/$C$17</f>
        <v>333.33333333333331</v>
      </c>
    </row>
    <row r="7" spans="2:15" ht="18" customHeight="1" x14ac:dyDescent="0.15">
      <c r="B7" s="12">
        <v>4</v>
      </c>
      <c r="C7" s="13">
        <v>0.13500000000000001</v>
      </c>
      <c r="D7" s="14">
        <v>0.15</v>
      </c>
      <c r="F7" s="21" t="s">
        <v>8</v>
      </c>
      <c r="G7" s="18">
        <f>G5*$C$12*$C$16</f>
        <v>931034.48275862052</v>
      </c>
      <c r="H7" s="18">
        <f>H5*$C$12*$C$16</f>
        <v>2577251.9849451268</v>
      </c>
      <c r="I7" s="18">
        <f>I5*$C$12*$C$16</f>
        <v>4407413.0484139789</v>
      </c>
      <c r="J7" s="18">
        <f>J5*$C$12*$C$16</f>
        <v>7040398.7930563008</v>
      </c>
      <c r="K7" s="18">
        <f>K5*$C$12*$C$16</f>
        <v>10883172.448815765</v>
      </c>
      <c r="L7" s="19" t="s">
        <v>9</v>
      </c>
    </row>
    <row r="8" spans="2:15" ht="18" customHeight="1" x14ac:dyDescent="0.15">
      <c r="B8" s="12">
        <v>5</v>
      </c>
      <c r="C8" s="13">
        <v>0.14499999999999999</v>
      </c>
      <c r="D8" s="14">
        <v>0.1</v>
      </c>
      <c r="F8" s="21" t="s">
        <v>10</v>
      </c>
      <c r="G8" s="20">
        <f>G7/$C$17</f>
        <v>31.034482758620683</v>
      </c>
      <c r="H8" s="20">
        <f>H7/$C$17</f>
        <v>85.908399498170894</v>
      </c>
      <c r="I8" s="20">
        <f>I7/$C$17</f>
        <v>146.91376828046597</v>
      </c>
      <c r="J8" s="20">
        <f>J7/$C$17</f>
        <v>234.67995976854337</v>
      </c>
      <c r="K8" s="20">
        <f>K7/$C$17</f>
        <v>362.77241496052551</v>
      </c>
    </row>
    <row r="9" spans="2:15" ht="18" customHeight="1" x14ac:dyDescent="0.15">
      <c r="B9" s="22" t="s">
        <v>11</v>
      </c>
      <c r="C9" s="99">
        <f>(B4*D4)+(B5*D5)+(B6*D6)+(B7*D7)+(B8*D8)</f>
        <v>2.9000000000000004</v>
      </c>
      <c r="D9" s="24"/>
      <c r="G9" s="3"/>
      <c r="H9" s="3"/>
      <c r="I9" s="3"/>
      <c r="J9" s="3"/>
      <c r="K9" s="3"/>
    </row>
    <row r="10" spans="2:15" ht="18" customHeight="1" x14ac:dyDescent="0.15">
      <c r="B10" s="22" t="s">
        <v>12</v>
      </c>
      <c r="C10" s="23">
        <f>(C4*D4)+(C5*D5)+(C6*D6)+(C7*D7)+(C8*D8)</f>
        <v>0.124</v>
      </c>
      <c r="D10" s="25"/>
      <c r="F10" s="15" t="str">
        <f>CONCATENATE("OPERACIONES (",C17," USD)")</f>
        <v>OPERACIONES (30000 USD)</v>
      </c>
      <c r="G10" s="20">
        <f>G6+G8</f>
        <v>131.0344827586207</v>
      </c>
      <c r="H10" s="20">
        <f>H6+H8</f>
        <v>252.57506616483755</v>
      </c>
      <c r="I10" s="20">
        <f>I6+I8</f>
        <v>313.58043494713263</v>
      </c>
      <c r="J10" s="20">
        <f>J6+J8</f>
        <v>468.01329310187668</v>
      </c>
      <c r="K10" s="20">
        <f>K6+K8</f>
        <v>696.10574829385882</v>
      </c>
      <c r="L10" s="19" t="s">
        <v>13</v>
      </c>
    </row>
    <row r="11" spans="2:15" ht="18" customHeight="1" x14ac:dyDescent="0.15">
      <c r="B11" s="22" t="s">
        <v>14</v>
      </c>
      <c r="C11" s="23">
        <f>C10*D18</f>
        <v>0.11624999999999999</v>
      </c>
      <c r="D11" s="25"/>
      <c r="G11" s="3"/>
      <c r="H11" s="3"/>
      <c r="I11" s="3"/>
      <c r="J11" s="3"/>
      <c r="K11" s="3"/>
    </row>
    <row r="12" spans="2:15" ht="18" customHeight="1" x14ac:dyDescent="0.15">
      <c r="B12" s="22" t="s">
        <v>15</v>
      </c>
      <c r="C12" s="23">
        <f>1/C9</f>
        <v>0.34482758620689652</v>
      </c>
      <c r="D12" s="26"/>
      <c r="F12" s="15" t="s">
        <v>16</v>
      </c>
      <c r="G12" s="1">
        <f>((G$3+G$7+G4)/(1+$C$13))*$C$13</f>
        <v>181478.50912391953</v>
      </c>
      <c r="H12" s="1">
        <f>((H$3+H$7+H4)/(1+$C$13))*$C$13</f>
        <v>363864.70926184632</v>
      </c>
      <c r="I12" s="1">
        <f>((I$3+I$7+I4)/(1+$C$13))*$C$13</f>
        <v>475717.83379689784</v>
      </c>
      <c r="J12" s="1">
        <f>((J$3+J$7+J4)/(1+$C$13))*$C$13</f>
        <v>716695.971155548</v>
      </c>
      <c r="K12" s="1">
        <f>((K$3+K$7+K4)/(1+$C$13))*$C$13</f>
        <v>1074062.8070210831</v>
      </c>
      <c r="L12" s="27" t="str">
        <f>CONCATENATE(C14*100,"% sobre el volumen total otorgado.")</f>
        <v>4% sobre el volumen total otorgado.</v>
      </c>
    </row>
    <row r="13" spans="2:15" ht="18" customHeight="1" x14ac:dyDescent="0.15">
      <c r="B13" s="22" t="s">
        <v>17</v>
      </c>
      <c r="C13" s="23">
        <f>D13+C14</f>
        <v>4.8399999999999999E-2</v>
      </c>
      <c r="D13" s="28">
        <f>C14*0.21</f>
        <v>8.3999999999999995E-3</v>
      </c>
      <c r="F13" s="15" t="s">
        <v>18</v>
      </c>
      <c r="G13" s="1">
        <f>$C$10*G5</f>
        <v>372000</v>
      </c>
      <c r="H13" s="1">
        <f>$C$10*H5</f>
        <v>1029755.3486514086</v>
      </c>
      <c r="I13" s="1">
        <f>$C$10*I5</f>
        <v>1761006.3691218519</v>
      </c>
      <c r="J13" s="1">
        <f>$C$10*J5</f>
        <v>2813030.4510922735</v>
      </c>
      <c r="K13" s="1">
        <f>$C$10*K5</f>
        <v>4348432.0139934989</v>
      </c>
      <c r="L13" s="29"/>
    </row>
    <row r="14" spans="2:15" ht="18" customHeight="1" x14ac:dyDescent="0.15">
      <c r="B14" s="22" t="s">
        <v>19</v>
      </c>
      <c r="C14" s="23">
        <v>0.04</v>
      </c>
      <c r="D14" s="25"/>
      <c r="E14" s="19"/>
      <c r="F14" s="30"/>
      <c r="G14" s="31"/>
      <c r="H14" s="31"/>
      <c r="I14" s="31"/>
      <c r="J14" s="31"/>
      <c r="K14" s="31"/>
    </row>
    <row r="15" spans="2:15" ht="18" customHeight="1" x14ac:dyDescent="0.15">
      <c r="B15" s="32"/>
      <c r="C15" s="33"/>
      <c r="D15" s="25"/>
      <c r="F15" s="21" t="s">
        <v>20</v>
      </c>
      <c r="G15" s="3"/>
      <c r="H15" s="3"/>
      <c r="I15" s="3"/>
      <c r="J15" s="3"/>
      <c r="K15" s="3"/>
    </row>
    <row r="16" spans="2:15" ht="18" customHeight="1" x14ac:dyDescent="0.15">
      <c r="B16" s="22" t="s">
        <v>21</v>
      </c>
      <c r="C16" s="23">
        <v>0.9</v>
      </c>
      <c r="D16" s="25"/>
      <c r="F16" s="34" t="s">
        <v>22</v>
      </c>
      <c r="G16" s="35">
        <f>G12+G13</f>
        <v>553478.50912391953</v>
      </c>
      <c r="H16" s="35">
        <f>H12+H13</f>
        <v>1393620.0579132549</v>
      </c>
      <c r="I16" s="35">
        <f>I12+I13</f>
        <v>2236724.2029187498</v>
      </c>
      <c r="J16" s="35">
        <f>J12+J13</f>
        <v>3529726.4222478215</v>
      </c>
      <c r="K16" s="35">
        <f>K12+K13</f>
        <v>5422494.8210145822</v>
      </c>
    </row>
    <row r="17" spans="2:14" ht="18" customHeight="1" x14ac:dyDescent="0.15">
      <c r="B17" s="22" t="s">
        <v>23</v>
      </c>
      <c r="C17" s="36">
        <v>30000</v>
      </c>
      <c r="D17" s="25"/>
      <c r="G17" s="37">
        <f>G16/G5</f>
        <v>0.18449283637463984</v>
      </c>
      <c r="H17" s="37">
        <f>H16/H5</f>
        <v>0.16781547909176497</v>
      </c>
      <c r="I17" s="37">
        <f>I16/I5</f>
        <v>0.15749732995016419</v>
      </c>
      <c r="J17" s="37">
        <f>J16/J5</f>
        <v>0.15559237056562272</v>
      </c>
      <c r="K17" s="37">
        <f>K16/K5</f>
        <v>0.15462800283918923</v>
      </c>
    </row>
    <row r="18" spans="2:14" ht="18" customHeight="1" x14ac:dyDescent="0.15">
      <c r="B18" s="22" t="s">
        <v>24</v>
      </c>
      <c r="C18" s="38">
        <v>1.5</v>
      </c>
      <c r="D18" s="39">
        <f>(12-(C18/2))/12</f>
        <v>0.9375</v>
      </c>
      <c r="G18" s="40"/>
      <c r="H18" s="40"/>
      <c r="I18" s="40"/>
      <c r="J18" s="40"/>
      <c r="K18" s="40"/>
      <c r="L18" s="19" t="s">
        <v>25</v>
      </c>
    </row>
    <row r="19" spans="2:14" ht="18" customHeight="1" x14ac:dyDescent="0.15">
      <c r="C19" s="2"/>
      <c r="E19" s="103">
        <v>0</v>
      </c>
      <c r="F19" s="15" t="s">
        <v>26</v>
      </c>
      <c r="G19" s="41">
        <f>$E19*G13</f>
        <v>0</v>
      </c>
      <c r="H19" s="41">
        <f>$E19*H13</f>
        <v>0</v>
      </c>
      <c r="I19" s="41">
        <f>$E19*I13</f>
        <v>0</v>
      </c>
      <c r="J19" s="41">
        <f>$E19*J13</f>
        <v>0</v>
      </c>
      <c r="K19" s="41">
        <f>$E19*K13</f>
        <v>0</v>
      </c>
      <c r="L19" s="42" t="s">
        <v>27</v>
      </c>
    </row>
    <row r="20" spans="2:14" ht="18" customHeight="1" x14ac:dyDescent="0.15">
      <c r="C20" s="2"/>
      <c r="E20" s="103">
        <v>0.21</v>
      </c>
      <c r="F20" s="15" t="s">
        <v>28</v>
      </c>
      <c r="G20" s="41">
        <f>((G$3+G$7)/(1+$D$13))*$D$13</f>
        <v>32745.62639346729</v>
      </c>
      <c r="H20" s="41">
        <f>((H$3+H$7)/(1+$D$13))*$D$13</f>
        <v>63118.719430324345</v>
      </c>
      <c r="I20" s="41">
        <f>((I$3+I$7)/(1+$D$13))*$D$13</f>
        <v>78364.011906661472</v>
      </c>
      <c r="J20" s="41">
        <f>((J$3+J$7)/(1+$D$13))*$D$13</f>
        <v>116956.91180253167</v>
      </c>
      <c r="K20" s="41">
        <f>((K$3+K$7)/(1+$D$13))*$D$13</f>
        <v>173957.40635665649</v>
      </c>
      <c r="L20" s="108" t="s">
        <v>29</v>
      </c>
      <c r="M20" s="109"/>
      <c r="N20" s="109"/>
    </row>
    <row r="21" spans="2:14" ht="18" customHeight="1" x14ac:dyDescent="0.15">
      <c r="C21" s="2"/>
      <c r="E21" s="103">
        <v>0.01</v>
      </c>
      <c r="F21" s="15" t="s">
        <v>30</v>
      </c>
      <c r="G21" s="41">
        <f>$E21*(G$3+G$7)</f>
        <v>39310.34482758621</v>
      </c>
      <c r="H21" s="41">
        <f>$E21*(H$3+H$7)</f>
        <v>75772.519849451273</v>
      </c>
      <c r="I21" s="41">
        <f>$E21*(I$3+I$7)</f>
        <v>94074.130484139794</v>
      </c>
      <c r="J21" s="41">
        <f>$E21*(J$3+J$7)</f>
        <v>140403.98793056302</v>
      </c>
      <c r="K21" s="41">
        <f>$E21*(K$3+K$7)</f>
        <v>208831.72448815763</v>
      </c>
      <c r="L21" s="108" t="s">
        <v>31</v>
      </c>
      <c r="M21" s="110" t="s">
        <v>32</v>
      </c>
      <c r="N21" s="109"/>
    </row>
    <row r="22" spans="2:14" ht="18" customHeight="1" x14ac:dyDescent="0.15">
      <c r="C22" s="2"/>
      <c r="E22" s="103">
        <v>0</v>
      </c>
      <c r="F22" s="15" t="s">
        <v>33</v>
      </c>
      <c r="G22" s="41">
        <f>$E22*(G$3+G$7)</f>
        <v>0</v>
      </c>
      <c r="H22" s="41">
        <f>$E$22*(H3+H7)</f>
        <v>0</v>
      </c>
      <c r="I22" s="41">
        <f>$E$22*(I3+I7)</f>
        <v>0</v>
      </c>
      <c r="J22" s="41">
        <f>$E$22*(J3+J7)</f>
        <v>0</v>
      </c>
      <c r="K22" s="41">
        <f>$E$22*(K3+K7)</f>
        <v>0</v>
      </c>
      <c r="L22" s="108" t="s">
        <v>34</v>
      </c>
      <c r="M22" s="109"/>
      <c r="N22" s="109"/>
    </row>
    <row r="23" spans="2:14" ht="18" customHeight="1" x14ac:dyDescent="0.15">
      <c r="C23" s="2"/>
      <c r="E23" s="104"/>
      <c r="G23" s="3"/>
      <c r="H23" s="3"/>
      <c r="I23" s="3"/>
      <c r="J23" s="3"/>
      <c r="K23" s="3"/>
    </row>
    <row r="24" spans="2:14" ht="18" customHeight="1" x14ac:dyDescent="0.15">
      <c r="C24" s="2"/>
      <c r="E24" s="103">
        <v>5.3999999999999999E-2</v>
      </c>
      <c r="F24" s="15" t="s">
        <v>35</v>
      </c>
      <c r="G24" s="43">
        <f>$E24*G$26</f>
        <v>176943.91974634581</v>
      </c>
      <c r="H24" s="43">
        <f>$E24*H26</f>
        <v>486069.58694410999</v>
      </c>
      <c r="I24" s="43">
        <f>$E24*I26</f>
        <v>827281.42390283849</v>
      </c>
      <c r="J24" s="43">
        <f>$E24*J26</f>
        <v>1320332.0033924875</v>
      </c>
      <c r="K24" s="43">
        <f>$E24*K26</f>
        <v>2040079.366261337</v>
      </c>
    </row>
    <row r="25" spans="2:14" ht="18" customHeight="1" x14ac:dyDescent="0.15">
      <c r="C25" s="2"/>
      <c r="E25" s="104"/>
      <c r="F25" s="21" t="s">
        <v>37</v>
      </c>
      <c r="G25" s="3"/>
      <c r="H25" s="3"/>
      <c r="I25" s="3"/>
      <c r="J25" s="3"/>
      <c r="K25" s="3"/>
    </row>
    <row r="26" spans="2:14" ht="18" customHeight="1" x14ac:dyDescent="0.15">
      <c r="C26" s="2"/>
      <c r="D26" s="19" t="s">
        <v>38</v>
      </c>
      <c r="E26" s="104"/>
      <c r="F26" s="15" t="s">
        <v>39</v>
      </c>
      <c r="G26" s="18">
        <f>G5+((G12+G13)/2)</f>
        <v>3276739.2545619598</v>
      </c>
      <c r="H26" s="18">
        <f>H5+((H12+H13)/2)</f>
        <v>9001288.6471131481</v>
      </c>
      <c r="I26" s="18">
        <f>I5+((I12+I13)/2)</f>
        <v>15320026.368571084</v>
      </c>
      <c r="J26" s="18">
        <f>J5+((J12+J13)/2)</f>
        <v>24450592.655416436</v>
      </c>
      <c r="K26" s="18">
        <f>K5+((K12+K13)/2)</f>
        <v>37779247.523358092</v>
      </c>
      <c r="L26" s="19" t="s">
        <v>40</v>
      </c>
    </row>
    <row r="27" spans="2:14" ht="18" customHeight="1" x14ac:dyDescent="0.15">
      <c r="C27" s="2"/>
      <c r="D27" s="44"/>
      <c r="E27" s="103">
        <v>1.2E-2</v>
      </c>
      <c r="F27" s="15" t="s">
        <v>41</v>
      </c>
      <c r="G27" s="1">
        <f>(G$26)*$E27</f>
        <v>39320.871054743518</v>
      </c>
      <c r="H27" s="1">
        <f>(H$26)*$E27</f>
        <v>108015.46376535778</v>
      </c>
      <c r="I27" s="1">
        <f>(I$26)*$E27</f>
        <v>183840.31642285301</v>
      </c>
      <c r="J27" s="1">
        <f>(J$26)*$E27</f>
        <v>293407.11186499725</v>
      </c>
      <c r="K27" s="1">
        <f>(K$26)*$E27</f>
        <v>453350.9702802971</v>
      </c>
    </row>
    <row r="28" spans="2:14" ht="18" customHeight="1" x14ac:dyDescent="0.15">
      <c r="C28" s="2"/>
      <c r="E28" s="103">
        <v>1.5E-3</v>
      </c>
      <c r="F28" s="15" t="s">
        <v>42</v>
      </c>
      <c r="G28" s="1">
        <f>IF((G$26)*$E28&lt;6000,6000,G$26*$E28)</f>
        <v>6000</v>
      </c>
      <c r="H28" s="1">
        <f>IF((H$26)*$E28&lt;6000,6000,(H$26)*$E28)</f>
        <v>13501.932970669723</v>
      </c>
      <c r="I28" s="1">
        <f>IF((I$26)*$E28&lt;6000,6000,(I$26)*$E28)</f>
        <v>22980.039552856626</v>
      </c>
      <c r="J28" s="1">
        <f>IF((J$26)*$E28&lt;6000,6000,(J$26)*$E28)</f>
        <v>36675.888983124656</v>
      </c>
      <c r="K28" s="1">
        <f>IF((K$26)*$E28&lt;6000,6000,(K$26)*$E28)</f>
        <v>56668.871285037138</v>
      </c>
    </row>
    <row r="29" spans="2:14" ht="18" customHeight="1" x14ac:dyDescent="0.15">
      <c r="C29" s="2"/>
      <c r="E29" s="103">
        <v>0.02</v>
      </c>
      <c r="F29" s="15" t="s">
        <v>43</v>
      </c>
      <c r="G29" s="1">
        <f>(G$26)*$E29</f>
        <v>65534.785091239195</v>
      </c>
      <c r="H29" s="1">
        <f>(H$26)*$E29</f>
        <v>180025.77294226296</v>
      </c>
      <c r="I29" s="1">
        <f>(I$26)*$E29</f>
        <v>306400.52737142169</v>
      </c>
      <c r="J29" s="1">
        <f>(J$26)*$E29</f>
        <v>489011.85310832877</v>
      </c>
      <c r="K29" s="1">
        <f>(K$26)*$E29</f>
        <v>755584.95046716183</v>
      </c>
    </row>
    <row r="30" spans="2:14" ht="18" customHeight="1" x14ac:dyDescent="0.15">
      <c r="C30" s="2"/>
      <c r="E30" s="47"/>
      <c r="F30" s="106" t="s">
        <v>94</v>
      </c>
      <c r="G30" s="107">
        <f>G24-G29-G28-G27</f>
        <v>66088.263600363091</v>
      </c>
      <c r="H30" s="107">
        <f>H24-H29-H28-H27</f>
        <v>184526.41726581956</v>
      </c>
      <c r="I30" s="107">
        <f>I24-I29-I28-I27</f>
        <v>314060.54055570718</v>
      </c>
      <c r="J30" s="107">
        <f>J24-J29-J28-J27</f>
        <v>501237.14943603688</v>
      </c>
      <c r="K30" s="107">
        <f>K24-K29-K28-K27</f>
        <v>774474.57422884088</v>
      </c>
      <c r="L30" s="105"/>
    </row>
    <row r="31" spans="2:14" ht="18" customHeight="1" x14ac:dyDescent="0.15">
      <c r="C31" s="2"/>
      <c r="E31" s="103">
        <v>5.3999999999999999E-2</v>
      </c>
      <c r="F31" s="34" t="s">
        <v>50</v>
      </c>
      <c r="G31" s="43">
        <f>$E31*G$26</f>
        <v>176943.91974634581</v>
      </c>
      <c r="H31" s="43">
        <f>$E31*H$26</f>
        <v>486069.58694410999</v>
      </c>
      <c r="I31" s="43">
        <f>$E31*I$26</f>
        <v>827281.42390283849</v>
      </c>
      <c r="J31" s="43">
        <f>$E31*J$26</f>
        <v>1320332.0033924875</v>
      </c>
      <c r="K31" s="43">
        <f>$E31*K$26</f>
        <v>2040079.366261337</v>
      </c>
      <c r="L31" s="19" t="s">
        <v>36</v>
      </c>
    </row>
    <row r="32" spans="2:14" ht="18" customHeight="1" x14ac:dyDescent="0.15">
      <c r="C32" s="2"/>
      <c r="D32" s="45"/>
      <c r="E32" s="27"/>
      <c r="F32" s="19"/>
      <c r="G32" s="46">
        <v>0</v>
      </c>
      <c r="H32" s="46">
        <v>0</v>
      </c>
      <c r="I32" s="46">
        <v>0</v>
      </c>
      <c r="J32" s="46">
        <v>0</v>
      </c>
      <c r="K32" s="46">
        <v>0</v>
      </c>
    </row>
    <row r="33" spans="3:12" ht="18" customHeight="1" x14ac:dyDescent="0.15">
      <c r="C33" s="2"/>
      <c r="F33" s="51"/>
      <c r="G33" s="49"/>
      <c r="H33" s="49"/>
      <c r="I33" s="49"/>
      <c r="J33" s="49"/>
      <c r="K33" s="49"/>
    </row>
    <row r="34" spans="3:12" ht="18" customHeight="1" x14ac:dyDescent="0.15">
      <c r="C34" s="2"/>
      <c r="E34" s="48" t="s">
        <v>51</v>
      </c>
      <c r="F34" s="15" t="s">
        <v>44</v>
      </c>
      <c r="G34" s="52">
        <v>12000</v>
      </c>
      <c r="H34" s="52">
        <v>12000</v>
      </c>
      <c r="I34" s="52">
        <v>12000</v>
      </c>
      <c r="J34" s="52">
        <v>12000</v>
      </c>
      <c r="K34" s="52">
        <v>12000</v>
      </c>
      <c r="L34" s="101" t="s">
        <v>52</v>
      </c>
    </row>
    <row r="35" spans="3:12" ht="18" customHeight="1" x14ac:dyDescent="0.15">
      <c r="C35" s="2"/>
      <c r="E35" s="53"/>
      <c r="F35" s="15" t="s">
        <v>45</v>
      </c>
      <c r="G35" s="52">
        <v>12000</v>
      </c>
      <c r="H35" s="52">
        <v>12000</v>
      </c>
      <c r="I35" s="52">
        <v>15000</v>
      </c>
      <c r="J35" s="52">
        <v>15000</v>
      </c>
      <c r="K35" s="52">
        <v>15000</v>
      </c>
      <c r="L35" s="101"/>
    </row>
    <row r="36" spans="3:12" ht="18" customHeight="1" x14ac:dyDescent="0.15">
      <c r="C36" s="2"/>
      <c r="E36" s="53"/>
      <c r="F36" s="15" t="s">
        <v>53</v>
      </c>
      <c r="G36" s="52">
        <v>20000</v>
      </c>
      <c r="H36" s="52">
        <v>0</v>
      </c>
      <c r="I36" s="52">
        <v>0</v>
      </c>
      <c r="J36" s="52">
        <v>0</v>
      </c>
      <c r="K36" s="52">
        <v>0</v>
      </c>
      <c r="L36" s="101"/>
    </row>
    <row r="37" spans="3:12" ht="18" customHeight="1" x14ac:dyDescent="0.15">
      <c r="C37" s="2"/>
      <c r="E37" s="53"/>
      <c r="F37" s="15" t="s">
        <v>46</v>
      </c>
      <c r="G37" s="52">
        <v>12000</v>
      </c>
      <c r="H37" s="52">
        <v>12000</v>
      </c>
      <c r="I37" s="52">
        <v>12000</v>
      </c>
      <c r="J37" s="52">
        <v>12000</v>
      </c>
      <c r="K37" s="52">
        <v>12000</v>
      </c>
      <c r="L37" s="101"/>
    </row>
    <row r="38" spans="3:12" ht="18" customHeight="1" x14ac:dyDescent="0.15">
      <c r="C38" s="2"/>
      <c r="E38" s="53"/>
      <c r="F38" s="15" t="s">
        <v>47</v>
      </c>
      <c r="G38" s="52">
        <v>6000</v>
      </c>
      <c r="H38" s="52">
        <v>6000</v>
      </c>
      <c r="I38" s="52">
        <v>8000</v>
      </c>
      <c r="J38" s="52">
        <v>12000</v>
      </c>
      <c r="K38" s="52">
        <v>12000</v>
      </c>
      <c r="L38" s="101"/>
    </row>
    <row r="39" spans="3:12" ht="18" customHeight="1" x14ac:dyDescent="0.15">
      <c r="C39" s="2"/>
      <c r="E39" s="53"/>
      <c r="F39" s="15" t="s">
        <v>48</v>
      </c>
      <c r="G39" s="52">
        <v>6000</v>
      </c>
      <c r="H39" s="52">
        <v>8000</v>
      </c>
      <c r="I39" s="52">
        <v>12000</v>
      </c>
      <c r="J39" s="52">
        <v>12000</v>
      </c>
      <c r="K39" s="52">
        <v>12000</v>
      </c>
      <c r="L39" s="101"/>
    </row>
    <row r="40" spans="3:12" ht="18" customHeight="1" x14ac:dyDescent="0.15">
      <c r="C40" s="2"/>
      <c r="E40" s="50"/>
      <c r="F40" s="15" t="s">
        <v>49</v>
      </c>
      <c r="G40" s="52">
        <v>6000</v>
      </c>
      <c r="H40" s="52">
        <v>6000</v>
      </c>
      <c r="I40" s="52">
        <v>8000</v>
      </c>
      <c r="J40" s="52">
        <v>8000</v>
      </c>
      <c r="K40" s="52">
        <v>8000</v>
      </c>
      <c r="L40" s="101"/>
    </row>
    <row r="41" spans="3:12" ht="18" customHeight="1" x14ac:dyDescent="0.15">
      <c r="C41" s="2"/>
      <c r="G41" s="55">
        <f>SUM(G34:G40)</f>
        <v>74000</v>
      </c>
      <c r="H41" s="55">
        <f>SUM(H34:H40)</f>
        <v>56000</v>
      </c>
      <c r="I41" s="55">
        <f>SUM(I34:I40)</f>
        <v>67000</v>
      </c>
      <c r="J41" s="55">
        <f>SUM(J34:J40)</f>
        <v>71000</v>
      </c>
      <c r="K41" s="55">
        <f>SUM(K34:K40)</f>
        <v>71000</v>
      </c>
    </row>
    <row r="42" spans="3:12" ht="18" customHeight="1" x14ac:dyDescent="0.15">
      <c r="C42" s="2"/>
      <c r="G42" s="3"/>
      <c r="H42" s="3"/>
      <c r="I42" s="3"/>
      <c r="J42" s="3"/>
      <c r="K42" s="3"/>
    </row>
    <row r="43" spans="3:12" ht="19.5" customHeight="1" x14ac:dyDescent="0.15">
      <c r="C43" s="2"/>
      <c r="F43" s="56" t="s">
        <v>54</v>
      </c>
      <c r="G43" s="57">
        <f>G16</f>
        <v>553478.50912391953</v>
      </c>
      <c r="H43" s="57">
        <f>H16</f>
        <v>1393620.0579132549</v>
      </c>
      <c r="I43" s="57">
        <f>I16</f>
        <v>2236724.2029187498</v>
      </c>
      <c r="J43" s="57">
        <f>J16</f>
        <v>3529726.4222478215</v>
      </c>
      <c r="K43" s="57">
        <f>K16</f>
        <v>5422494.8210145822</v>
      </c>
    </row>
    <row r="44" spans="3:12" ht="19.5" customHeight="1" x14ac:dyDescent="0.15">
      <c r="C44" s="2"/>
      <c r="F44" s="58" t="s">
        <v>55</v>
      </c>
      <c r="G44" s="59">
        <f>IF(G50&lt;0,G31,G41+G27+G28+G29)</f>
        <v>176943.91974634581</v>
      </c>
      <c r="H44" s="59">
        <f>IF(H50&lt;0,H31,H41+H27+H28+H29)</f>
        <v>357543.16967829049</v>
      </c>
      <c r="I44" s="59">
        <f>IF(I50&lt;0,I31,I41+I27+I28+I29)</f>
        <v>580220.88334713131</v>
      </c>
      <c r="J44" s="59">
        <f>IF(J50&lt;0,J31,J41+J27+J28+J29)</f>
        <v>890094.85395645071</v>
      </c>
      <c r="K44" s="59">
        <f>IF(K50&lt;0,K31,K41+K27+K28+K29)</f>
        <v>1336604.7920324961</v>
      </c>
    </row>
    <row r="45" spans="3:12" ht="19.5" customHeight="1" x14ac:dyDescent="0.15">
      <c r="C45" s="2"/>
      <c r="F45" s="60" t="s">
        <v>56</v>
      </c>
      <c r="G45" s="61">
        <f>SUM(G19:G22)</f>
        <v>72055.971221053507</v>
      </c>
      <c r="H45" s="61">
        <f>SUM(H19:H22)</f>
        <v>138891.23927977562</v>
      </c>
      <c r="I45" s="61">
        <f>SUM(I19:I22)</f>
        <v>172438.14239080128</v>
      </c>
      <c r="J45" s="61">
        <f>SUM(J19:J22)</f>
        <v>257360.89973309467</v>
      </c>
      <c r="K45" s="61">
        <f>SUM(K19:K22)</f>
        <v>382789.13084481412</v>
      </c>
    </row>
    <row r="46" spans="3:12" ht="18" customHeight="1" x14ac:dyDescent="0.15">
      <c r="C46" s="2"/>
      <c r="G46" s="3"/>
      <c r="H46" s="3"/>
      <c r="I46" s="3"/>
      <c r="J46" s="3"/>
      <c r="K46" s="3"/>
      <c r="L46" s="62"/>
    </row>
    <row r="47" spans="3:12" ht="24" customHeight="1" x14ac:dyDescent="0.15">
      <c r="C47" s="2"/>
      <c r="F47" s="63" t="s">
        <v>57</v>
      </c>
      <c r="G47" s="64">
        <f>G43-G44-G45</f>
        <v>304478.61815652018</v>
      </c>
      <c r="H47" s="64">
        <f>H43-H44-H45</f>
        <v>897185.64895518881</v>
      </c>
      <c r="I47" s="64">
        <f>I43-I44-I45</f>
        <v>1484065.1771808171</v>
      </c>
      <c r="J47" s="64">
        <f>J43-J44-J45</f>
        <v>2382270.6685582763</v>
      </c>
      <c r="K47" s="64">
        <f>K43-K44-K45</f>
        <v>3703100.8981372719</v>
      </c>
    </row>
    <row r="48" spans="3:12" ht="21.75" customHeight="1" x14ac:dyDescent="0.15">
      <c r="C48" s="2"/>
      <c r="E48" s="27"/>
      <c r="F48" s="65" t="s">
        <v>58</v>
      </c>
      <c r="G48" s="66">
        <f>G47/G5</f>
        <v>0.10149287271884005</v>
      </c>
      <c r="H48" s="66">
        <f>H47/H5</f>
        <v>0.10803636088527273</v>
      </c>
      <c r="I48" s="66">
        <f>I47/I5</f>
        <v>0.10449938466843095</v>
      </c>
      <c r="J48" s="66">
        <f>J47/J5</f>
        <v>0.10501186106482588</v>
      </c>
      <c r="K48" s="66">
        <f>K47/K5</f>
        <v>0.10559772117658504</v>
      </c>
    </row>
    <row r="49" spans="2:11" ht="18" customHeight="1" x14ac:dyDescent="0.15">
      <c r="C49" s="2"/>
    </row>
    <row r="50" spans="2:11" ht="18" customHeight="1" x14ac:dyDescent="0.15">
      <c r="C50" s="2"/>
      <c r="E50" s="19"/>
      <c r="F50" s="15" t="s">
        <v>59</v>
      </c>
      <c r="G50" s="41">
        <f>IF(G30-G41&lt;0,G30-G41,0)</f>
        <v>-7911.7363996369095</v>
      </c>
      <c r="H50" s="41">
        <f>IF(H30-H41&lt;0,H30-H41,0)</f>
        <v>0</v>
      </c>
      <c r="I50" s="41">
        <f>IF(I30-I41&lt;0,I30-I41,0)</f>
        <v>0</v>
      </c>
      <c r="J50" s="41">
        <f>IF(J30-J41&lt;0,J30-J41,0)</f>
        <v>0</v>
      </c>
      <c r="K50" s="41">
        <f>IF(K30-K41&lt;0,K30-K41,0)</f>
        <v>0</v>
      </c>
    </row>
    <row r="51" spans="2:11" ht="15.75" customHeight="1" x14ac:dyDescent="0.15">
      <c r="C51" s="2"/>
    </row>
    <row r="52" spans="2:11" ht="15.75" customHeight="1" x14ac:dyDescent="0.15">
      <c r="C52" s="2"/>
      <c r="F52" s="19"/>
      <c r="G52" s="49"/>
      <c r="H52" s="49"/>
      <c r="I52" s="49"/>
      <c r="J52" s="49"/>
      <c r="K52" s="49"/>
    </row>
    <row r="53" spans="2:11" ht="15.75" customHeight="1" x14ac:dyDescent="0.15">
      <c r="B53" s="67" t="s">
        <v>60</v>
      </c>
      <c r="C53" s="68" t="s">
        <v>61</v>
      </c>
      <c r="D53" s="69" t="s">
        <v>62</v>
      </c>
      <c r="E53" s="70" t="s">
        <v>63</v>
      </c>
      <c r="G53" s="3"/>
      <c r="H53" s="3"/>
      <c r="I53" s="3"/>
      <c r="J53" s="3"/>
      <c r="K53" s="3"/>
    </row>
    <row r="54" spans="2:11" ht="15.75" customHeight="1" x14ac:dyDescent="0.15">
      <c r="C54" s="2"/>
      <c r="G54" s="54"/>
      <c r="H54" s="54"/>
      <c r="I54" s="54"/>
      <c r="J54" s="54"/>
      <c r="K54" s="54"/>
    </row>
    <row r="55" spans="2:11" ht="15.75" customHeight="1" x14ac:dyDescent="0.15">
      <c r="C55" s="2"/>
      <c r="G55" s="71"/>
      <c r="H55" s="71"/>
      <c r="I55" s="71"/>
      <c r="J55" s="71"/>
      <c r="K55" s="71"/>
    </row>
    <row r="56" spans="2:11" ht="15.75" customHeight="1" x14ac:dyDescent="0.15">
      <c r="C56" s="2"/>
      <c r="G56" s="3"/>
      <c r="H56" s="3"/>
      <c r="I56" s="3"/>
      <c r="J56" s="3"/>
      <c r="K56" s="3"/>
    </row>
    <row r="57" spans="2:11" ht="15.75" customHeight="1" x14ac:dyDescent="0.15">
      <c r="C57" s="2"/>
      <c r="G57" s="3"/>
      <c r="H57" s="3"/>
      <c r="I57" s="3"/>
      <c r="J57" s="3"/>
      <c r="K57" s="3"/>
    </row>
    <row r="58" spans="2:11" ht="15.75" customHeight="1" x14ac:dyDescent="0.15">
      <c r="C58" s="2"/>
      <c r="G58" s="3"/>
      <c r="H58" s="3"/>
      <c r="I58" s="3"/>
      <c r="J58" s="3"/>
      <c r="K58" s="3"/>
    </row>
    <row r="59" spans="2:11" ht="15.75" customHeight="1" x14ac:dyDescent="0.15">
      <c r="C59" s="2"/>
      <c r="G59" s="3"/>
      <c r="H59" s="3"/>
      <c r="I59" s="3"/>
      <c r="J59" s="3"/>
      <c r="K59" s="3"/>
    </row>
    <row r="60" spans="2:11" ht="15.75" customHeight="1" x14ac:dyDescent="0.15">
      <c r="C60" s="2"/>
      <c r="G60" s="3"/>
      <c r="H60" s="3"/>
      <c r="I60" s="3"/>
      <c r="J60" s="3"/>
      <c r="K60" s="3"/>
    </row>
    <row r="61" spans="2:11" ht="15.75" customHeight="1" x14ac:dyDescent="0.15">
      <c r="C61" s="2"/>
      <c r="G61" s="3"/>
      <c r="H61" s="3"/>
      <c r="I61" s="3"/>
      <c r="J61" s="3"/>
      <c r="K61" s="3"/>
    </row>
    <row r="62" spans="2:11" ht="15.75" customHeight="1" x14ac:dyDescent="0.15">
      <c r="C62" s="2"/>
      <c r="G62" s="3"/>
      <c r="H62" s="3"/>
      <c r="I62" s="3"/>
      <c r="J62" s="3"/>
      <c r="K62" s="3"/>
    </row>
    <row r="63" spans="2:11" ht="15.75" customHeight="1" x14ac:dyDescent="0.15">
      <c r="C63" s="2"/>
      <c r="G63" s="3"/>
      <c r="H63" s="3"/>
      <c r="I63" s="3"/>
      <c r="J63" s="3"/>
      <c r="K63" s="3"/>
    </row>
    <row r="64" spans="2:11" ht="15.75" customHeight="1" x14ac:dyDescent="0.15">
      <c r="C64" s="2"/>
      <c r="G64" s="3"/>
      <c r="H64" s="3"/>
      <c r="I64" s="3"/>
      <c r="J64" s="3"/>
      <c r="K64" s="3"/>
    </row>
    <row r="65" spans="3:11" ht="15.75" customHeight="1" x14ac:dyDescent="0.15">
      <c r="C65" s="2"/>
      <c r="G65" s="3"/>
      <c r="H65" s="3"/>
      <c r="I65" s="3"/>
      <c r="J65" s="3"/>
      <c r="K65" s="3"/>
    </row>
    <row r="66" spans="3:11" ht="15.75" customHeight="1" x14ac:dyDescent="0.15">
      <c r="C66" s="2"/>
      <c r="G66" s="3"/>
      <c r="H66" s="3"/>
      <c r="I66" s="3"/>
      <c r="J66" s="3"/>
      <c r="K66" s="3"/>
    </row>
    <row r="67" spans="3:11" ht="15.75" customHeight="1" x14ac:dyDescent="0.15">
      <c r="C67" s="2"/>
      <c r="G67" s="3"/>
      <c r="H67" s="3"/>
      <c r="I67" s="3"/>
      <c r="J67" s="3"/>
      <c r="K67" s="3"/>
    </row>
    <row r="68" spans="3:11" ht="15.75" customHeight="1" x14ac:dyDescent="0.15">
      <c r="C68" s="2"/>
      <c r="G68" s="3"/>
      <c r="H68" s="3"/>
      <c r="I68" s="3"/>
      <c r="J68" s="3"/>
      <c r="K68" s="3"/>
    </row>
    <row r="69" spans="3:11" ht="15.75" customHeight="1" x14ac:dyDescent="0.15">
      <c r="C69" s="2"/>
      <c r="G69" s="3"/>
      <c r="H69" s="3"/>
      <c r="I69" s="3"/>
      <c r="J69" s="3"/>
      <c r="K69" s="3"/>
    </row>
    <row r="70" spans="3:11" ht="15.75" customHeight="1" x14ac:dyDescent="0.15">
      <c r="C70" s="2"/>
      <c r="G70" s="3"/>
      <c r="H70" s="3"/>
      <c r="I70" s="3"/>
      <c r="J70" s="3"/>
      <c r="K70" s="3"/>
    </row>
    <row r="71" spans="3:11" ht="15.75" customHeight="1" x14ac:dyDescent="0.15">
      <c r="C71" s="2"/>
      <c r="G71" s="3"/>
      <c r="H71" s="3"/>
      <c r="I71" s="3"/>
      <c r="J71" s="3"/>
      <c r="K71" s="3"/>
    </row>
    <row r="72" spans="3:11" ht="15.75" customHeight="1" x14ac:dyDescent="0.15">
      <c r="C72" s="2"/>
      <c r="G72" s="3"/>
      <c r="H72" s="3"/>
      <c r="I72" s="3"/>
      <c r="J72" s="3"/>
      <c r="K72" s="3"/>
    </row>
    <row r="73" spans="3:11" ht="15.75" customHeight="1" x14ac:dyDescent="0.15">
      <c r="C73" s="2"/>
      <c r="G73" s="3"/>
      <c r="H73" s="3"/>
      <c r="I73" s="3"/>
      <c r="J73" s="3"/>
      <c r="K73" s="3"/>
    </row>
    <row r="74" spans="3:11" ht="15.75" customHeight="1" x14ac:dyDescent="0.15">
      <c r="C74" s="2"/>
      <c r="G74" s="3"/>
      <c r="H74" s="3"/>
      <c r="I74" s="3"/>
      <c r="J74" s="3"/>
      <c r="K74" s="3"/>
    </row>
    <row r="75" spans="3:11" ht="15.75" customHeight="1" x14ac:dyDescent="0.15">
      <c r="C75" s="2"/>
      <c r="G75" s="3"/>
      <c r="H75" s="3"/>
      <c r="I75" s="3"/>
      <c r="J75" s="3"/>
      <c r="K75" s="3"/>
    </row>
    <row r="76" spans="3:11" ht="15.75" customHeight="1" x14ac:dyDescent="0.15">
      <c r="C76" s="2"/>
      <c r="G76" s="3"/>
      <c r="H76" s="3"/>
      <c r="I76" s="3"/>
      <c r="J76" s="3"/>
      <c r="K76" s="3"/>
    </row>
    <row r="77" spans="3:11" ht="15.75" customHeight="1" x14ac:dyDescent="0.15">
      <c r="C77" s="2"/>
      <c r="G77" s="3"/>
      <c r="H77" s="3"/>
      <c r="I77" s="3"/>
      <c r="J77" s="3"/>
      <c r="K77" s="3"/>
    </row>
    <row r="78" spans="3:11" ht="15.75" customHeight="1" x14ac:dyDescent="0.15">
      <c r="C78" s="2"/>
      <c r="G78" s="3"/>
      <c r="H78" s="3"/>
      <c r="I78" s="3"/>
      <c r="J78" s="3"/>
      <c r="K78" s="3"/>
    </row>
    <row r="79" spans="3:11" ht="15.75" customHeight="1" x14ac:dyDescent="0.15">
      <c r="C79" s="2"/>
      <c r="G79" s="3"/>
      <c r="H79" s="3"/>
      <c r="I79" s="3"/>
      <c r="J79" s="3"/>
      <c r="K79" s="3"/>
    </row>
    <row r="80" spans="3:11" ht="15.75" customHeight="1" x14ac:dyDescent="0.15">
      <c r="C80" s="2"/>
      <c r="G80" s="3"/>
      <c r="H80" s="3"/>
      <c r="I80" s="3"/>
      <c r="J80" s="3"/>
      <c r="K80" s="3"/>
    </row>
    <row r="81" spans="3:11" ht="15.75" customHeight="1" x14ac:dyDescent="0.15">
      <c r="C81" s="2"/>
      <c r="G81" s="3"/>
      <c r="H81" s="3"/>
      <c r="I81" s="3"/>
      <c r="J81" s="3"/>
      <c r="K81" s="3"/>
    </row>
    <row r="82" spans="3:11" ht="15.75" customHeight="1" x14ac:dyDescent="0.15">
      <c r="C82" s="2"/>
      <c r="G82" s="3"/>
      <c r="H82" s="3"/>
      <c r="I82" s="3"/>
      <c r="J82" s="3"/>
      <c r="K82" s="3"/>
    </row>
    <row r="83" spans="3:11" ht="15.75" customHeight="1" x14ac:dyDescent="0.15">
      <c r="C83" s="2"/>
      <c r="G83" s="3"/>
      <c r="H83" s="3"/>
      <c r="I83" s="3"/>
      <c r="J83" s="3"/>
      <c r="K83" s="3"/>
    </row>
    <row r="84" spans="3:11" ht="15.75" customHeight="1" x14ac:dyDescent="0.15">
      <c r="C84" s="2"/>
      <c r="G84" s="3"/>
      <c r="H84" s="3"/>
      <c r="I84" s="3"/>
      <c r="J84" s="3"/>
      <c r="K84" s="3"/>
    </row>
    <row r="85" spans="3:11" ht="15.75" customHeight="1" x14ac:dyDescent="0.15">
      <c r="C85" s="2"/>
      <c r="G85" s="3"/>
      <c r="H85" s="3"/>
      <c r="I85" s="3"/>
      <c r="J85" s="3"/>
      <c r="K85" s="3"/>
    </row>
    <row r="86" spans="3:11" ht="15.75" customHeight="1" x14ac:dyDescent="0.15">
      <c r="C86" s="2"/>
      <c r="G86" s="3"/>
      <c r="H86" s="3"/>
      <c r="I86" s="3"/>
      <c r="J86" s="3"/>
      <c r="K86" s="3"/>
    </row>
    <row r="87" spans="3:11" ht="15.75" customHeight="1" x14ac:dyDescent="0.15">
      <c r="C87" s="2"/>
      <c r="G87" s="3"/>
      <c r="H87" s="3"/>
      <c r="I87" s="3"/>
      <c r="J87" s="3"/>
      <c r="K87" s="3"/>
    </row>
    <row r="88" spans="3:11" ht="15.75" customHeight="1" x14ac:dyDescent="0.15">
      <c r="C88" s="2"/>
      <c r="G88" s="3"/>
      <c r="H88" s="3"/>
      <c r="I88" s="3"/>
      <c r="J88" s="3"/>
      <c r="K88" s="3"/>
    </row>
    <row r="89" spans="3:11" ht="15.75" customHeight="1" x14ac:dyDescent="0.15">
      <c r="C89" s="2"/>
      <c r="G89" s="3"/>
      <c r="H89" s="3"/>
      <c r="I89" s="3"/>
      <c r="J89" s="3"/>
      <c r="K89" s="3"/>
    </row>
    <row r="90" spans="3:11" ht="15.75" customHeight="1" x14ac:dyDescent="0.15">
      <c r="C90" s="2"/>
      <c r="G90" s="3"/>
      <c r="H90" s="3"/>
      <c r="I90" s="3"/>
      <c r="J90" s="3"/>
      <c r="K90" s="3"/>
    </row>
    <row r="91" spans="3:11" ht="15.75" customHeight="1" x14ac:dyDescent="0.15">
      <c r="C91" s="2"/>
      <c r="G91" s="3"/>
      <c r="H91" s="3"/>
      <c r="I91" s="3"/>
      <c r="J91" s="3"/>
      <c r="K91" s="3"/>
    </row>
    <row r="92" spans="3:11" ht="15.75" customHeight="1" x14ac:dyDescent="0.15">
      <c r="C92" s="2"/>
      <c r="G92" s="3"/>
      <c r="H92" s="3"/>
      <c r="I92" s="3"/>
      <c r="J92" s="3"/>
      <c r="K92" s="3"/>
    </row>
    <row r="93" spans="3:11" ht="15.75" customHeight="1" x14ac:dyDescent="0.15">
      <c r="C93" s="2"/>
      <c r="G93" s="3"/>
      <c r="H93" s="3"/>
      <c r="I93" s="3"/>
      <c r="J93" s="3"/>
      <c r="K93" s="3"/>
    </row>
    <row r="94" spans="3:11" ht="15.75" customHeight="1" x14ac:dyDescent="0.15">
      <c r="C94" s="2"/>
      <c r="G94" s="3"/>
      <c r="H94" s="3"/>
      <c r="I94" s="3"/>
      <c r="J94" s="3"/>
      <c r="K94" s="3"/>
    </row>
    <row r="95" spans="3:11" ht="15.75" customHeight="1" x14ac:dyDescent="0.15">
      <c r="C95" s="2"/>
      <c r="G95" s="3"/>
      <c r="H95" s="3"/>
      <c r="I95" s="3"/>
      <c r="J95" s="3"/>
      <c r="K95" s="3"/>
    </row>
    <row r="96" spans="3:11" ht="15.75" customHeight="1" x14ac:dyDescent="0.15">
      <c r="C96" s="2"/>
      <c r="G96" s="3"/>
      <c r="H96" s="3"/>
      <c r="I96" s="3"/>
      <c r="J96" s="3"/>
      <c r="K96" s="3"/>
    </row>
    <row r="97" spans="3:11" ht="15.75" customHeight="1" x14ac:dyDescent="0.15">
      <c r="C97" s="2"/>
      <c r="G97" s="3"/>
      <c r="H97" s="3"/>
      <c r="I97" s="3"/>
      <c r="J97" s="3"/>
      <c r="K97" s="3"/>
    </row>
    <row r="98" spans="3:11" ht="15.75" customHeight="1" x14ac:dyDescent="0.15">
      <c r="C98" s="2"/>
      <c r="G98" s="3"/>
      <c r="H98" s="3"/>
      <c r="I98" s="3"/>
      <c r="J98" s="3"/>
      <c r="K98" s="3"/>
    </row>
    <row r="99" spans="3:11" ht="15.75" customHeight="1" x14ac:dyDescent="0.15">
      <c r="C99" s="2"/>
      <c r="G99" s="3"/>
      <c r="H99" s="3"/>
      <c r="I99" s="3"/>
      <c r="J99" s="3"/>
      <c r="K99" s="3"/>
    </row>
    <row r="100" spans="3:11" ht="15.75" customHeight="1" x14ac:dyDescent="0.15">
      <c r="C100" s="2"/>
      <c r="G100" s="3"/>
      <c r="H100" s="3"/>
      <c r="I100" s="3"/>
      <c r="J100" s="3"/>
      <c r="K100" s="3"/>
    </row>
    <row r="101" spans="3:11" ht="15.75" customHeight="1" x14ac:dyDescent="0.15">
      <c r="C101" s="2"/>
      <c r="G101" s="3"/>
      <c r="H101" s="3"/>
      <c r="I101" s="3"/>
      <c r="J101" s="3"/>
      <c r="K101" s="3"/>
    </row>
    <row r="102" spans="3:11" ht="15.75" customHeight="1" x14ac:dyDescent="0.15">
      <c r="C102" s="2"/>
      <c r="G102" s="3"/>
      <c r="H102" s="3"/>
      <c r="I102" s="3"/>
      <c r="J102" s="3"/>
      <c r="K102" s="3"/>
    </row>
    <row r="103" spans="3:11" ht="15.75" customHeight="1" x14ac:dyDescent="0.15">
      <c r="C103" s="2"/>
      <c r="G103" s="3"/>
      <c r="H103" s="3"/>
      <c r="I103" s="3"/>
      <c r="J103" s="3"/>
      <c r="K103" s="3"/>
    </row>
    <row r="104" spans="3:11" ht="15.75" customHeight="1" x14ac:dyDescent="0.15">
      <c r="C104" s="2"/>
      <c r="G104" s="3"/>
      <c r="H104" s="3"/>
      <c r="I104" s="3"/>
      <c r="J104" s="3"/>
      <c r="K104" s="3"/>
    </row>
    <row r="105" spans="3:11" ht="15.75" customHeight="1" x14ac:dyDescent="0.15">
      <c r="C105" s="2"/>
      <c r="G105" s="3"/>
      <c r="H105" s="3"/>
      <c r="I105" s="3"/>
      <c r="J105" s="3"/>
      <c r="K105" s="3"/>
    </row>
    <row r="106" spans="3:11" ht="15.75" customHeight="1" x14ac:dyDescent="0.15">
      <c r="C106" s="2"/>
      <c r="G106" s="3"/>
      <c r="H106" s="3"/>
      <c r="I106" s="3"/>
      <c r="J106" s="3"/>
      <c r="K106" s="3"/>
    </row>
    <row r="107" spans="3:11" ht="15.75" customHeight="1" x14ac:dyDescent="0.15">
      <c r="C107" s="2"/>
      <c r="G107" s="3"/>
      <c r="H107" s="3"/>
      <c r="I107" s="3"/>
      <c r="J107" s="3"/>
      <c r="K107" s="3"/>
    </row>
    <row r="108" spans="3:11" ht="15.75" customHeight="1" x14ac:dyDescent="0.15">
      <c r="C108" s="2"/>
      <c r="G108" s="3"/>
      <c r="H108" s="3"/>
      <c r="I108" s="3"/>
      <c r="J108" s="3"/>
      <c r="K108" s="3"/>
    </row>
    <row r="109" spans="3:11" ht="15.75" customHeight="1" x14ac:dyDescent="0.15">
      <c r="C109" s="2"/>
      <c r="G109" s="3"/>
      <c r="H109" s="3"/>
      <c r="I109" s="3"/>
      <c r="J109" s="3"/>
      <c r="K109" s="3"/>
    </row>
    <row r="110" spans="3:11" ht="15.75" customHeight="1" x14ac:dyDescent="0.15">
      <c r="C110" s="2"/>
      <c r="G110" s="3"/>
      <c r="H110" s="3"/>
      <c r="I110" s="3"/>
      <c r="J110" s="3"/>
      <c r="K110" s="3"/>
    </row>
    <row r="111" spans="3:11" ht="15.75" customHeight="1" x14ac:dyDescent="0.15">
      <c r="C111" s="2"/>
      <c r="G111" s="3"/>
      <c r="H111" s="3"/>
      <c r="I111" s="3"/>
      <c r="J111" s="3"/>
      <c r="K111" s="3"/>
    </row>
    <row r="112" spans="3:11" ht="15.75" customHeight="1" x14ac:dyDescent="0.15">
      <c r="C112" s="2"/>
      <c r="G112" s="3"/>
      <c r="H112" s="3"/>
      <c r="I112" s="3"/>
      <c r="J112" s="3"/>
      <c r="K112" s="3"/>
    </row>
    <row r="113" spans="3:11" ht="15.75" customHeight="1" x14ac:dyDescent="0.15">
      <c r="C113" s="2"/>
      <c r="G113" s="3"/>
      <c r="H113" s="3"/>
      <c r="I113" s="3"/>
      <c r="J113" s="3"/>
      <c r="K113" s="3"/>
    </row>
    <row r="114" spans="3:11" ht="15.75" customHeight="1" x14ac:dyDescent="0.15">
      <c r="C114" s="2"/>
      <c r="G114" s="3"/>
      <c r="H114" s="3"/>
      <c r="I114" s="3"/>
      <c r="J114" s="3"/>
      <c r="K114" s="3"/>
    </row>
    <row r="115" spans="3:11" ht="15.75" customHeight="1" x14ac:dyDescent="0.15">
      <c r="C115" s="2"/>
      <c r="G115" s="3"/>
      <c r="H115" s="3"/>
      <c r="I115" s="3"/>
      <c r="J115" s="3"/>
      <c r="K115" s="3"/>
    </row>
    <row r="116" spans="3:11" ht="15.75" customHeight="1" x14ac:dyDescent="0.15">
      <c r="C116" s="2"/>
      <c r="G116" s="3"/>
      <c r="H116" s="3"/>
      <c r="I116" s="3"/>
      <c r="J116" s="3"/>
      <c r="K116" s="3"/>
    </row>
    <row r="117" spans="3:11" ht="15.75" customHeight="1" x14ac:dyDescent="0.15">
      <c r="C117" s="2"/>
      <c r="G117" s="3"/>
      <c r="H117" s="3"/>
      <c r="I117" s="3"/>
      <c r="J117" s="3"/>
      <c r="K117" s="3"/>
    </row>
    <row r="118" spans="3:11" ht="15.75" customHeight="1" x14ac:dyDescent="0.15">
      <c r="C118" s="2"/>
      <c r="G118" s="3"/>
      <c r="H118" s="3"/>
      <c r="I118" s="3"/>
      <c r="J118" s="3"/>
      <c r="K118" s="3"/>
    </row>
    <row r="119" spans="3:11" ht="15.75" customHeight="1" x14ac:dyDescent="0.15">
      <c r="C119" s="2"/>
      <c r="G119" s="3"/>
      <c r="H119" s="3"/>
      <c r="I119" s="3"/>
      <c r="J119" s="3"/>
      <c r="K119" s="3"/>
    </row>
    <row r="120" spans="3:11" ht="15.75" customHeight="1" x14ac:dyDescent="0.15">
      <c r="C120" s="2"/>
      <c r="G120" s="3"/>
      <c r="H120" s="3"/>
      <c r="I120" s="3"/>
      <c r="J120" s="3"/>
      <c r="K120" s="3"/>
    </row>
    <row r="121" spans="3:11" ht="15.75" customHeight="1" x14ac:dyDescent="0.15">
      <c r="C121" s="2"/>
      <c r="G121" s="3"/>
      <c r="H121" s="3"/>
      <c r="I121" s="3"/>
      <c r="J121" s="3"/>
      <c r="K121" s="3"/>
    </row>
    <row r="122" spans="3:11" ht="15.75" customHeight="1" x14ac:dyDescent="0.15">
      <c r="C122" s="2"/>
      <c r="G122" s="3"/>
      <c r="H122" s="3"/>
      <c r="I122" s="3"/>
      <c r="J122" s="3"/>
      <c r="K122" s="3"/>
    </row>
    <row r="123" spans="3:11" ht="15.75" customHeight="1" x14ac:dyDescent="0.15">
      <c r="C123" s="2"/>
      <c r="G123" s="3"/>
      <c r="H123" s="3"/>
      <c r="I123" s="3"/>
      <c r="J123" s="3"/>
      <c r="K123" s="3"/>
    </row>
    <row r="124" spans="3:11" ht="15.75" customHeight="1" x14ac:dyDescent="0.15">
      <c r="C124" s="2"/>
      <c r="G124" s="3"/>
      <c r="H124" s="3"/>
      <c r="I124" s="3"/>
      <c r="J124" s="3"/>
      <c r="K124" s="3"/>
    </row>
    <row r="125" spans="3:11" ht="15.75" customHeight="1" x14ac:dyDescent="0.15">
      <c r="C125" s="2"/>
      <c r="G125" s="3"/>
      <c r="H125" s="3"/>
      <c r="I125" s="3"/>
      <c r="J125" s="3"/>
      <c r="K125" s="3"/>
    </row>
    <row r="126" spans="3:11" ht="15.75" customHeight="1" x14ac:dyDescent="0.15">
      <c r="C126" s="2"/>
      <c r="G126" s="3"/>
      <c r="H126" s="3"/>
      <c r="I126" s="3"/>
      <c r="J126" s="3"/>
      <c r="K126" s="3"/>
    </row>
    <row r="127" spans="3:11" ht="15.75" customHeight="1" x14ac:dyDescent="0.15">
      <c r="C127" s="2"/>
      <c r="G127" s="3"/>
      <c r="H127" s="3"/>
      <c r="I127" s="3"/>
      <c r="J127" s="3"/>
      <c r="K127" s="3"/>
    </row>
    <row r="128" spans="3:11" ht="15.75" customHeight="1" x14ac:dyDescent="0.15">
      <c r="C128" s="2"/>
      <c r="G128" s="3"/>
      <c r="H128" s="3"/>
      <c r="I128" s="3"/>
      <c r="J128" s="3"/>
      <c r="K128" s="3"/>
    </row>
    <row r="129" spans="3:11" ht="15.75" customHeight="1" x14ac:dyDescent="0.15">
      <c r="C129" s="2"/>
      <c r="G129" s="3"/>
      <c r="H129" s="3"/>
      <c r="I129" s="3"/>
      <c r="J129" s="3"/>
      <c r="K129" s="3"/>
    </row>
    <row r="130" spans="3:11" ht="15.75" customHeight="1" x14ac:dyDescent="0.15">
      <c r="C130" s="2"/>
      <c r="G130" s="3"/>
      <c r="H130" s="3"/>
      <c r="I130" s="3"/>
      <c r="J130" s="3"/>
      <c r="K130" s="3"/>
    </row>
    <row r="131" spans="3:11" ht="15.75" customHeight="1" x14ac:dyDescent="0.15">
      <c r="C131" s="2"/>
      <c r="G131" s="3"/>
      <c r="H131" s="3"/>
      <c r="I131" s="3"/>
      <c r="J131" s="3"/>
      <c r="K131" s="3"/>
    </row>
    <row r="132" spans="3:11" ht="15.75" customHeight="1" x14ac:dyDescent="0.15">
      <c r="C132" s="2"/>
      <c r="G132" s="3"/>
      <c r="H132" s="3"/>
      <c r="I132" s="3"/>
      <c r="J132" s="3"/>
      <c r="K132" s="3"/>
    </row>
    <row r="133" spans="3:11" ht="15.75" customHeight="1" x14ac:dyDescent="0.15">
      <c r="C133" s="2"/>
      <c r="G133" s="3"/>
      <c r="H133" s="3"/>
      <c r="I133" s="3"/>
      <c r="J133" s="3"/>
      <c r="K133" s="3"/>
    </row>
    <row r="134" spans="3:11" ht="15.75" customHeight="1" x14ac:dyDescent="0.15">
      <c r="C134" s="2"/>
      <c r="G134" s="3"/>
      <c r="H134" s="3"/>
      <c r="I134" s="3"/>
      <c r="J134" s="3"/>
      <c r="K134" s="3"/>
    </row>
    <row r="135" spans="3:11" ht="15.75" customHeight="1" x14ac:dyDescent="0.15">
      <c r="C135" s="2"/>
      <c r="G135" s="3"/>
      <c r="H135" s="3"/>
      <c r="I135" s="3"/>
      <c r="J135" s="3"/>
      <c r="K135" s="3"/>
    </row>
    <row r="136" spans="3:11" ht="15.75" customHeight="1" x14ac:dyDescent="0.15">
      <c r="C136" s="2"/>
      <c r="G136" s="3"/>
      <c r="H136" s="3"/>
      <c r="I136" s="3"/>
      <c r="J136" s="3"/>
      <c r="K136" s="3"/>
    </row>
    <row r="137" spans="3:11" ht="15.75" customHeight="1" x14ac:dyDescent="0.15">
      <c r="C137" s="2"/>
      <c r="G137" s="3"/>
      <c r="H137" s="3"/>
      <c r="I137" s="3"/>
      <c r="J137" s="3"/>
      <c r="K137" s="3"/>
    </row>
    <row r="138" spans="3:11" ht="15.75" customHeight="1" x14ac:dyDescent="0.15">
      <c r="C138" s="2"/>
      <c r="G138" s="3"/>
      <c r="H138" s="3"/>
      <c r="I138" s="3"/>
      <c r="J138" s="3"/>
      <c r="K138" s="3"/>
    </row>
    <row r="139" spans="3:11" ht="15.75" customHeight="1" x14ac:dyDescent="0.15">
      <c r="C139" s="2"/>
      <c r="G139" s="3"/>
      <c r="H139" s="3"/>
      <c r="I139" s="3"/>
      <c r="J139" s="3"/>
      <c r="K139" s="3"/>
    </row>
    <row r="140" spans="3:11" ht="15.75" customHeight="1" x14ac:dyDescent="0.15">
      <c r="C140" s="2"/>
      <c r="G140" s="3"/>
      <c r="H140" s="3"/>
      <c r="I140" s="3"/>
      <c r="J140" s="3"/>
      <c r="K140" s="3"/>
    </row>
    <row r="141" spans="3:11" ht="15.75" customHeight="1" x14ac:dyDescent="0.15">
      <c r="C141" s="2"/>
      <c r="G141" s="3"/>
      <c r="H141" s="3"/>
      <c r="I141" s="3"/>
      <c r="J141" s="3"/>
      <c r="K141" s="3"/>
    </row>
    <row r="142" spans="3:11" ht="15.75" customHeight="1" x14ac:dyDescent="0.15">
      <c r="C142" s="2"/>
      <c r="G142" s="3"/>
      <c r="H142" s="3"/>
      <c r="I142" s="3"/>
      <c r="J142" s="3"/>
      <c r="K142" s="3"/>
    </row>
    <row r="143" spans="3:11" ht="15.75" customHeight="1" x14ac:dyDescent="0.15">
      <c r="C143" s="2"/>
      <c r="G143" s="3"/>
      <c r="H143" s="3"/>
      <c r="I143" s="3"/>
      <c r="J143" s="3"/>
      <c r="K143" s="3"/>
    </row>
    <row r="144" spans="3:11" ht="15.75" customHeight="1" x14ac:dyDescent="0.15">
      <c r="C144" s="2"/>
      <c r="G144" s="3"/>
      <c r="H144" s="3"/>
      <c r="I144" s="3"/>
      <c r="J144" s="3"/>
      <c r="K144" s="3"/>
    </row>
    <row r="145" spans="3:11" ht="15.75" customHeight="1" x14ac:dyDescent="0.15">
      <c r="C145" s="2"/>
      <c r="G145" s="3"/>
      <c r="H145" s="3"/>
      <c r="I145" s="3"/>
      <c r="J145" s="3"/>
      <c r="K145" s="3"/>
    </row>
    <row r="146" spans="3:11" ht="15.75" customHeight="1" x14ac:dyDescent="0.15">
      <c r="C146" s="2"/>
      <c r="G146" s="3"/>
      <c r="H146" s="3"/>
      <c r="I146" s="3"/>
      <c r="J146" s="3"/>
      <c r="K146" s="3"/>
    </row>
    <row r="147" spans="3:11" ht="15.75" customHeight="1" x14ac:dyDescent="0.15">
      <c r="C147" s="2"/>
      <c r="G147" s="3"/>
      <c r="H147" s="3"/>
      <c r="I147" s="3"/>
      <c r="J147" s="3"/>
      <c r="K147" s="3"/>
    </row>
    <row r="148" spans="3:11" ht="15.75" customHeight="1" x14ac:dyDescent="0.15">
      <c r="C148" s="2"/>
      <c r="G148" s="3"/>
      <c r="H148" s="3"/>
      <c r="I148" s="3"/>
      <c r="J148" s="3"/>
      <c r="K148" s="3"/>
    </row>
    <row r="149" spans="3:11" ht="15.75" customHeight="1" x14ac:dyDescent="0.15">
      <c r="C149" s="2"/>
      <c r="G149" s="3"/>
      <c r="H149" s="3"/>
      <c r="I149" s="3"/>
      <c r="J149" s="3"/>
      <c r="K149" s="3"/>
    </row>
    <row r="150" spans="3:11" ht="15.75" customHeight="1" x14ac:dyDescent="0.15">
      <c r="C150" s="2"/>
      <c r="G150" s="3"/>
      <c r="H150" s="3"/>
      <c r="I150" s="3"/>
      <c r="J150" s="3"/>
      <c r="K150" s="3"/>
    </row>
    <row r="151" spans="3:11" ht="15.75" customHeight="1" x14ac:dyDescent="0.15">
      <c r="C151" s="2"/>
      <c r="G151" s="3"/>
      <c r="H151" s="3"/>
      <c r="I151" s="3"/>
      <c r="J151" s="3"/>
      <c r="K151" s="3"/>
    </row>
    <row r="152" spans="3:11" ht="15.75" customHeight="1" x14ac:dyDescent="0.15">
      <c r="C152" s="2"/>
      <c r="G152" s="3"/>
      <c r="H152" s="3"/>
      <c r="I152" s="3"/>
      <c r="J152" s="3"/>
      <c r="K152" s="3"/>
    </row>
    <row r="153" spans="3:11" ht="15.75" customHeight="1" x14ac:dyDescent="0.15">
      <c r="C153" s="2"/>
      <c r="G153" s="3"/>
      <c r="H153" s="3"/>
      <c r="I153" s="3"/>
      <c r="J153" s="3"/>
      <c r="K153" s="3"/>
    </row>
    <row r="154" spans="3:11" ht="15.75" customHeight="1" x14ac:dyDescent="0.15">
      <c r="C154" s="2"/>
      <c r="G154" s="3"/>
      <c r="H154" s="3"/>
      <c r="I154" s="3"/>
      <c r="J154" s="3"/>
      <c r="K154" s="3"/>
    </row>
    <row r="155" spans="3:11" ht="15.75" customHeight="1" x14ac:dyDescent="0.15">
      <c r="C155" s="2"/>
      <c r="G155" s="3"/>
      <c r="H155" s="3"/>
      <c r="I155" s="3"/>
      <c r="J155" s="3"/>
      <c r="K155" s="3"/>
    </row>
    <row r="156" spans="3:11" ht="15.75" customHeight="1" x14ac:dyDescent="0.15">
      <c r="C156" s="2"/>
      <c r="G156" s="3"/>
      <c r="H156" s="3"/>
      <c r="I156" s="3"/>
      <c r="J156" s="3"/>
      <c r="K156" s="3"/>
    </row>
    <row r="157" spans="3:11" ht="15.75" customHeight="1" x14ac:dyDescent="0.15">
      <c r="C157" s="2"/>
      <c r="G157" s="3"/>
      <c r="H157" s="3"/>
      <c r="I157" s="3"/>
      <c r="J157" s="3"/>
      <c r="K157" s="3"/>
    </row>
    <row r="158" spans="3:11" ht="15.75" customHeight="1" x14ac:dyDescent="0.15">
      <c r="C158" s="2"/>
      <c r="G158" s="3"/>
      <c r="H158" s="3"/>
      <c r="I158" s="3"/>
      <c r="J158" s="3"/>
      <c r="K158" s="3"/>
    </row>
    <row r="159" spans="3:11" ht="15.75" customHeight="1" x14ac:dyDescent="0.15">
      <c r="C159" s="2"/>
      <c r="G159" s="3"/>
      <c r="H159" s="3"/>
      <c r="I159" s="3"/>
      <c r="J159" s="3"/>
      <c r="K159" s="3"/>
    </row>
    <row r="160" spans="3:11" ht="15.75" customHeight="1" x14ac:dyDescent="0.15">
      <c r="C160" s="2"/>
      <c r="G160" s="3"/>
      <c r="H160" s="3"/>
      <c r="I160" s="3"/>
      <c r="J160" s="3"/>
      <c r="K160" s="3"/>
    </row>
    <row r="161" spans="3:11" ht="15.75" customHeight="1" x14ac:dyDescent="0.15">
      <c r="C161" s="2"/>
      <c r="G161" s="3"/>
      <c r="H161" s="3"/>
      <c r="I161" s="3"/>
      <c r="J161" s="3"/>
      <c r="K161" s="3"/>
    </row>
    <row r="162" spans="3:11" ht="15.75" customHeight="1" x14ac:dyDescent="0.15">
      <c r="C162" s="2"/>
      <c r="G162" s="3"/>
      <c r="H162" s="3"/>
      <c r="I162" s="3"/>
      <c r="J162" s="3"/>
      <c r="K162" s="3"/>
    </row>
    <row r="163" spans="3:11" ht="15.75" customHeight="1" x14ac:dyDescent="0.15">
      <c r="C163" s="2"/>
      <c r="G163" s="3"/>
      <c r="H163" s="3"/>
      <c r="I163" s="3"/>
      <c r="J163" s="3"/>
      <c r="K163" s="3"/>
    </row>
    <row r="164" spans="3:11" ht="15.75" customHeight="1" x14ac:dyDescent="0.15">
      <c r="C164" s="2"/>
      <c r="G164" s="3"/>
      <c r="H164" s="3"/>
      <c r="I164" s="3"/>
      <c r="J164" s="3"/>
      <c r="K164" s="3"/>
    </row>
    <row r="165" spans="3:11" ht="15.75" customHeight="1" x14ac:dyDescent="0.15">
      <c r="C165" s="2"/>
      <c r="G165" s="3"/>
      <c r="H165" s="3"/>
      <c r="I165" s="3"/>
      <c r="J165" s="3"/>
      <c r="K165" s="3"/>
    </row>
    <row r="166" spans="3:11" ht="15.75" customHeight="1" x14ac:dyDescent="0.15">
      <c r="C166" s="2"/>
      <c r="G166" s="3"/>
      <c r="H166" s="3"/>
      <c r="I166" s="3"/>
      <c r="J166" s="3"/>
      <c r="K166" s="3"/>
    </row>
    <row r="167" spans="3:11" ht="15.75" customHeight="1" x14ac:dyDescent="0.15">
      <c r="C167" s="2"/>
      <c r="G167" s="3"/>
      <c r="H167" s="3"/>
      <c r="I167" s="3"/>
      <c r="J167" s="3"/>
      <c r="K167" s="3"/>
    </row>
    <row r="168" spans="3:11" ht="15.75" customHeight="1" x14ac:dyDescent="0.15">
      <c r="C168" s="2"/>
      <c r="G168" s="3"/>
      <c r="H168" s="3"/>
      <c r="I168" s="3"/>
      <c r="J168" s="3"/>
      <c r="K168" s="3"/>
    </row>
    <row r="169" spans="3:11" ht="15.75" customHeight="1" x14ac:dyDescent="0.15">
      <c r="C169" s="2"/>
      <c r="G169" s="3"/>
      <c r="H169" s="3"/>
      <c r="I169" s="3"/>
      <c r="J169" s="3"/>
      <c r="K169" s="3"/>
    </row>
    <row r="170" spans="3:11" ht="15.75" customHeight="1" x14ac:dyDescent="0.15">
      <c r="C170" s="2"/>
      <c r="G170" s="3"/>
      <c r="H170" s="3"/>
      <c r="I170" s="3"/>
      <c r="J170" s="3"/>
      <c r="K170" s="3"/>
    </row>
    <row r="171" spans="3:11" ht="15.75" customHeight="1" x14ac:dyDescent="0.15">
      <c r="C171" s="2"/>
      <c r="G171" s="3"/>
      <c r="H171" s="3"/>
      <c r="I171" s="3"/>
      <c r="J171" s="3"/>
      <c r="K171" s="3"/>
    </row>
    <row r="172" spans="3:11" ht="15.75" customHeight="1" x14ac:dyDescent="0.15">
      <c r="C172" s="2"/>
      <c r="G172" s="3"/>
      <c r="H172" s="3"/>
      <c r="I172" s="3"/>
      <c r="J172" s="3"/>
      <c r="K172" s="3"/>
    </row>
    <row r="173" spans="3:11" ht="15.75" customHeight="1" x14ac:dyDescent="0.15">
      <c r="C173" s="2"/>
      <c r="G173" s="3"/>
      <c r="H173" s="3"/>
      <c r="I173" s="3"/>
      <c r="J173" s="3"/>
      <c r="K173" s="3"/>
    </row>
    <row r="174" spans="3:11" ht="15.75" customHeight="1" x14ac:dyDescent="0.15">
      <c r="C174" s="2"/>
      <c r="G174" s="3"/>
      <c r="H174" s="3"/>
      <c r="I174" s="3"/>
      <c r="J174" s="3"/>
      <c r="K174" s="3"/>
    </row>
    <row r="175" spans="3:11" ht="15.75" customHeight="1" x14ac:dyDescent="0.15">
      <c r="C175" s="2"/>
      <c r="G175" s="3"/>
      <c r="H175" s="3"/>
      <c r="I175" s="3"/>
      <c r="J175" s="3"/>
      <c r="K175" s="3"/>
    </row>
    <row r="176" spans="3:11" ht="15.75" customHeight="1" x14ac:dyDescent="0.15">
      <c r="C176" s="2"/>
      <c r="G176" s="3"/>
      <c r="H176" s="3"/>
      <c r="I176" s="3"/>
      <c r="J176" s="3"/>
      <c r="K176" s="3"/>
    </row>
    <row r="177" spans="3:11" ht="15.75" customHeight="1" x14ac:dyDescent="0.15">
      <c r="C177" s="2"/>
      <c r="G177" s="3"/>
      <c r="H177" s="3"/>
      <c r="I177" s="3"/>
      <c r="J177" s="3"/>
      <c r="K177" s="3"/>
    </row>
    <row r="178" spans="3:11" ht="15.75" customHeight="1" x14ac:dyDescent="0.15">
      <c r="C178" s="2"/>
      <c r="G178" s="3"/>
      <c r="H178" s="3"/>
      <c r="I178" s="3"/>
      <c r="J178" s="3"/>
      <c r="K178" s="3"/>
    </row>
    <row r="179" spans="3:11" ht="15.75" customHeight="1" x14ac:dyDescent="0.15">
      <c r="C179" s="2"/>
      <c r="G179" s="3"/>
      <c r="H179" s="3"/>
      <c r="I179" s="3"/>
      <c r="J179" s="3"/>
      <c r="K179" s="3"/>
    </row>
    <row r="180" spans="3:11" ht="15.75" customHeight="1" x14ac:dyDescent="0.15">
      <c r="C180" s="2"/>
      <c r="G180" s="3"/>
      <c r="H180" s="3"/>
      <c r="I180" s="3"/>
      <c r="J180" s="3"/>
      <c r="K180" s="3"/>
    </row>
    <row r="181" spans="3:11" ht="15.75" customHeight="1" x14ac:dyDescent="0.15">
      <c r="C181" s="2"/>
      <c r="G181" s="3"/>
      <c r="H181" s="3"/>
      <c r="I181" s="3"/>
      <c r="J181" s="3"/>
      <c r="K181" s="3"/>
    </row>
    <row r="182" spans="3:11" ht="15.75" customHeight="1" x14ac:dyDescent="0.15">
      <c r="C182" s="2"/>
      <c r="G182" s="3"/>
      <c r="H182" s="3"/>
      <c r="I182" s="3"/>
      <c r="J182" s="3"/>
      <c r="K182" s="3"/>
    </row>
    <row r="183" spans="3:11" ht="15.75" customHeight="1" x14ac:dyDescent="0.15">
      <c r="C183" s="2"/>
      <c r="G183" s="3"/>
      <c r="H183" s="3"/>
      <c r="I183" s="3"/>
      <c r="J183" s="3"/>
      <c r="K183" s="3"/>
    </row>
    <row r="184" spans="3:11" ht="15.75" customHeight="1" x14ac:dyDescent="0.15">
      <c r="C184" s="2"/>
      <c r="G184" s="3"/>
      <c r="H184" s="3"/>
      <c r="I184" s="3"/>
      <c r="J184" s="3"/>
      <c r="K184" s="3"/>
    </row>
    <row r="185" spans="3:11" ht="15.75" customHeight="1" x14ac:dyDescent="0.15">
      <c r="C185" s="2"/>
      <c r="G185" s="3"/>
      <c r="H185" s="3"/>
      <c r="I185" s="3"/>
      <c r="J185" s="3"/>
      <c r="K185" s="3"/>
    </row>
    <row r="186" spans="3:11" ht="15.75" customHeight="1" x14ac:dyDescent="0.15">
      <c r="C186" s="2"/>
      <c r="G186" s="3"/>
      <c r="H186" s="3"/>
      <c r="I186" s="3"/>
      <c r="J186" s="3"/>
      <c r="K186" s="3"/>
    </row>
    <row r="187" spans="3:11" ht="15.75" customHeight="1" x14ac:dyDescent="0.15">
      <c r="C187" s="2"/>
      <c r="G187" s="3"/>
      <c r="H187" s="3"/>
      <c r="I187" s="3"/>
      <c r="J187" s="3"/>
      <c r="K187" s="3"/>
    </row>
    <row r="188" spans="3:11" ht="15.75" customHeight="1" x14ac:dyDescent="0.15">
      <c r="C188" s="2"/>
      <c r="G188" s="3"/>
      <c r="H188" s="3"/>
      <c r="I188" s="3"/>
      <c r="J188" s="3"/>
      <c r="K188" s="3"/>
    </row>
    <row r="189" spans="3:11" ht="15.75" customHeight="1" x14ac:dyDescent="0.15">
      <c r="C189" s="2"/>
      <c r="G189" s="3"/>
      <c r="H189" s="3"/>
      <c r="I189" s="3"/>
      <c r="J189" s="3"/>
      <c r="K189" s="3"/>
    </row>
    <row r="190" spans="3:11" ht="15.75" customHeight="1" x14ac:dyDescent="0.15">
      <c r="C190" s="2"/>
      <c r="G190" s="3"/>
      <c r="H190" s="3"/>
      <c r="I190" s="3"/>
      <c r="J190" s="3"/>
      <c r="K190" s="3"/>
    </row>
    <row r="191" spans="3:11" ht="15.75" customHeight="1" x14ac:dyDescent="0.15">
      <c r="C191" s="2"/>
      <c r="G191" s="3"/>
      <c r="H191" s="3"/>
      <c r="I191" s="3"/>
      <c r="J191" s="3"/>
      <c r="K191" s="3"/>
    </row>
    <row r="192" spans="3:11" ht="15.75" customHeight="1" x14ac:dyDescent="0.15">
      <c r="C192" s="2"/>
      <c r="G192" s="3"/>
      <c r="H192" s="3"/>
      <c r="I192" s="3"/>
      <c r="J192" s="3"/>
      <c r="K192" s="3"/>
    </row>
    <row r="193" spans="3:11" ht="15.75" customHeight="1" x14ac:dyDescent="0.15">
      <c r="C193" s="2"/>
      <c r="G193" s="3"/>
      <c r="H193" s="3"/>
      <c r="I193" s="3"/>
      <c r="J193" s="3"/>
      <c r="K193" s="3"/>
    </row>
    <row r="194" spans="3:11" ht="15.75" customHeight="1" x14ac:dyDescent="0.15">
      <c r="C194" s="2"/>
      <c r="G194" s="3"/>
      <c r="H194" s="3"/>
      <c r="I194" s="3"/>
      <c r="J194" s="3"/>
      <c r="K194" s="3"/>
    </row>
    <row r="195" spans="3:11" ht="15.75" customHeight="1" x14ac:dyDescent="0.15">
      <c r="C195" s="2"/>
      <c r="G195" s="3"/>
      <c r="H195" s="3"/>
      <c r="I195" s="3"/>
      <c r="J195" s="3"/>
      <c r="K195" s="3"/>
    </row>
    <row r="196" spans="3:11" ht="15.75" customHeight="1" x14ac:dyDescent="0.15">
      <c r="C196" s="2"/>
      <c r="G196" s="3"/>
      <c r="H196" s="3"/>
      <c r="I196" s="3"/>
      <c r="J196" s="3"/>
      <c r="K196" s="3"/>
    </row>
    <row r="197" spans="3:11" ht="15.75" customHeight="1" x14ac:dyDescent="0.15">
      <c r="C197" s="2"/>
      <c r="G197" s="3"/>
      <c r="H197" s="3"/>
      <c r="I197" s="3"/>
      <c r="J197" s="3"/>
      <c r="K197" s="3"/>
    </row>
    <row r="198" spans="3:11" ht="15.75" customHeight="1" x14ac:dyDescent="0.15">
      <c r="C198" s="2"/>
      <c r="G198" s="3"/>
      <c r="H198" s="3"/>
      <c r="I198" s="3"/>
      <c r="J198" s="3"/>
      <c r="K198" s="3"/>
    </row>
    <row r="199" spans="3:11" ht="15.75" customHeight="1" x14ac:dyDescent="0.15">
      <c r="C199" s="2"/>
      <c r="G199" s="3"/>
      <c r="H199" s="3"/>
      <c r="I199" s="3"/>
      <c r="J199" s="3"/>
      <c r="K199" s="3"/>
    </row>
    <row r="200" spans="3:11" ht="15.75" customHeight="1" x14ac:dyDescent="0.15">
      <c r="C200" s="2"/>
      <c r="G200" s="3"/>
      <c r="H200" s="3"/>
      <c r="I200" s="3"/>
      <c r="J200" s="3"/>
      <c r="K200" s="3"/>
    </row>
    <row r="201" spans="3:11" ht="15.75" customHeight="1" x14ac:dyDescent="0.15">
      <c r="C201" s="2"/>
      <c r="G201" s="3"/>
      <c r="H201" s="3"/>
      <c r="I201" s="3"/>
      <c r="J201" s="3"/>
      <c r="K201" s="3"/>
    </row>
    <row r="202" spans="3:11" ht="15.75" customHeight="1" x14ac:dyDescent="0.15">
      <c r="C202" s="2"/>
      <c r="G202" s="3"/>
      <c r="H202" s="3"/>
      <c r="I202" s="3"/>
      <c r="J202" s="3"/>
      <c r="K202" s="3"/>
    </row>
    <row r="203" spans="3:11" ht="15.75" customHeight="1" x14ac:dyDescent="0.15">
      <c r="C203" s="2"/>
      <c r="G203" s="3"/>
      <c r="H203" s="3"/>
      <c r="I203" s="3"/>
      <c r="J203" s="3"/>
      <c r="K203" s="3"/>
    </row>
    <row r="204" spans="3:11" ht="15.75" customHeight="1" x14ac:dyDescent="0.15">
      <c r="C204" s="2"/>
      <c r="G204" s="3"/>
      <c r="H204" s="3"/>
      <c r="I204" s="3"/>
      <c r="J204" s="3"/>
      <c r="K204" s="3"/>
    </row>
    <row r="205" spans="3:11" ht="15.75" customHeight="1" x14ac:dyDescent="0.15">
      <c r="C205" s="2"/>
      <c r="G205" s="3"/>
      <c r="H205" s="3"/>
      <c r="I205" s="3"/>
      <c r="J205" s="3"/>
      <c r="K205" s="3"/>
    </row>
    <row r="206" spans="3:11" ht="15.75" customHeight="1" x14ac:dyDescent="0.15">
      <c r="C206" s="2"/>
      <c r="G206" s="3"/>
      <c r="H206" s="3"/>
      <c r="I206" s="3"/>
      <c r="J206" s="3"/>
      <c r="K206" s="3"/>
    </row>
    <row r="207" spans="3:11" ht="15.75" customHeight="1" x14ac:dyDescent="0.15">
      <c r="C207" s="2"/>
      <c r="G207" s="3"/>
      <c r="H207" s="3"/>
      <c r="I207" s="3"/>
      <c r="J207" s="3"/>
      <c r="K207" s="3"/>
    </row>
    <row r="208" spans="3:11" ht="15.75" customHeight="1" x14ac:dyDescent="0.15">
      <c r="C208" s="2"/>
      <c r="G208" s="3"/>
      <c r="H208" s="3"/>
      <c r="I208" s="3"/>
      <c r="J208" s="3"/>
      <c r="K208" s="3"/>
    </row>
    <row r="209" spans="3:11" ht="15.75" customHeight="1" x14ac:dyDescent="0.15">
      <c r="C209" s="2"/>
      <c r="G209" s="3"/>
      <c r="H209" s="3"/>
      <c r="I209" s="3"/>
      <c r="J209" s="3"/>
      <c r="K209" s="3"/>
    </row>
    <row r="210" spans="3:11" ht="15.75" customHeight="1" x14ac:dyDescent="0.15">
      <c r="C210" s="2"/>
      <c r="G210" s="3"/>
      <c r="H210" s="3"/>
      <c r="I210" s="3"/>
      <c r="J210" s="3"/>
      <c r="K210" s="3"/>
    </row>
    <row r="211" spans="3:11" ht="15.75" customHeight="1" x14ac:dyDescent="0.15">
      <c r="C211" s="2"/>
      <c r="G211" s="3"/>
      <c r="H211" s="3"/>
      <c r="I211" s="3"/>
      <c r="J211" s="3"/>
      <c r="K211" s="3"/>
    </row>
    <row r="212" spans="3:11" ht="15.75" customHeight="1" x14ac:dyDescent="0.15">
      <c r="C212" s="2"/>
      <c r="G212" s="3"/>
      <c r="H212" s="3"/>
      <c r="I212" s="3"/>
      <c r="J212" s="3"/>
      <c r="K212" s="3"/>
    </row>
    <row r="213" spans="3:11" ht="15.75" customHeight="1" x14ac:dyDescent="0.15">
      <c r="C213" s="2"/>
      <c r="G213" s="3"/>
      <c r="H213" s="3"/>
      <c r="I213" s="3"/>
      <c r="J213" s="3"/>
      <c r="K213" s="3"/>
    </row>
    <row r="214" spans="3:11" ht="15.75" customHeight="1" x14ac:dyDescent="0.15">
      <c r="C214" s="2"/>
      <c r="G214" s="3"/>
      <c r="H214" s="3"/>
      <c r="I214" s="3"/>
      <c r="J214" s="3"/>
      <c r="K214" s="3"/>
    </row>
    <row r="215" spans="3:11" ht="15.75" customHeight="1" x14ac:dyDescent="0.15">
      <c r="C215" s="2"/>
      <c r="G215" s="3"/>
      <c r="H215" s="3"/>
      <c r="I215" s="3"/>
      <c r="J215" s="3"/>
      <c r="K215" s="3"/>
    </row>
    <row r="216" spans="3:11" ht="15.75" customHeight="1" x14ac:dyDescent="0.15">
      <c r="C216" s="2"/>
      <c r="G216" s="3"/>
      <c r="H216" s="3"/>
      <c r="I216" s="3"/>
      <c r="J216" s="3"/>
      <c r="K216" s="3"/>
    </row>
    <row r="217" spans="3:11" ht="15.75" customHeight="1" x14ac:dyDescent="0.15">
      <c r="C217" s="2"/>
      <c r="G217" s="3"/>
      <c r="H217" s="3"/>
      <c r="I217" s="3"/>
      <c r="J217" s="3"/>
      <c r="K217" s="3"/>
    </row>
    <row r="218" spans="3:11" ht="15.75" customHeight="1" x14ac:dyDescent="0.15">
      <c r="C218" s="2"/>
      <c r="G218" s="3"/>
      <c r="H218" s="3"/>
      <c r="I218" s="3"/>
      <c r="J218" s="3"/>
      <c r="K218" s="3"/>
    </row>
    <row r="219" spans="3:11" ht="15.75" customHeight="1" x14ac:dyDescent="0.15">
      <c r="C219" s="2"/>
      <c r="G219" s="3"/>
      <c r="H219" s="3"/>
      <c r="I219" s="3"/>
      <c r="J219" s="3"/>
      <c r="K219" s="3"/>
    </row>
    <row r="220" spans="3:11" ht="15.75" customHeight="1" x14ac:dyDescent="0.15">
      <c r="C220" s="2"/>
      <c r="G220" s="3"/>
      <c r="H220" s="3"/>
      <c r="I220" s="3"/>
      <c r="J220" s="3"/>
      <c r="K220" s="3"/>
    </row>
    <row r="221" spans="3:11" ht="15.75" customHeight="1" x14ac:dyDescent="0.15">
      <c r="C221" s="2"/>
      <c r="G221" s="3"/>
      <c r="H221" s="3"/>
      <c r="I221" s="3"/>
      <c r="J221" s="3"/>
      <c r="K221" s="3"/>
    </row>
    <row r="222" spans="3:11" ht="15.75" customHeight="1" x14ac:dyDescent="0.15">
      <c r="C222" s="2"/>
      <c r="G222" s="3"/>
      <c r="H222" s="3"/>
      <c r="I222" s="3"/>
      <c r="J222" s="3"/>
      <c r="K222" s="3"/>
    </row>
    <row r="223" spans="3:11" ht="15.75" customHeight="1" x14ac:dyDescent="0.15">
      <c r="C223" s="2"/>
      <c r="G223" s="3"/>
      <c r="H223" s="3"/>
      <c r="I223" s="3"/>
      <c r="J223" s="3"/>
      <c r="K223" s="3"/>
    </row>
    <row r="224" spans="3:11" ht="15.75" customHeight="1" x14ac:dyDescent="0.15">
      <c r="C224" s="2"/>
      <c r="G224" s="3"/>
      <c r="H224" s="3"/>
      <c r="I224" s="3"/>
      <c r="J224" s="3"/>
      <c r="K224" s="3"/>
    </row>
    <row r="225" spans="3:11" ht="15.75" customHeight="1" x14ac:dyDescent="0.15">
      <c r="C225" s="2"/>
      <c r="G225" s="3"/>
      <c r="H225" s="3"/>
      <c r="I225" s="3"/>
      <c r="J225" s="3"/>
      <c r="K225" s="3"/>
    </row>
    <row r="226" spans="3:11" ht="15.75" customHeight="1" x14ac:dyDescent="0.15">
      <c r="C226" s="2"/>
      <c r="G226" s="3"/>
      <c r="H226" s="3"/>
      <c r="I226" s="3"/>
      <c r="J226" s="3"/>
      <c r="K226" s="3"/>
    </row>
    <row r="227" spans="3:11" ht="15.75" customHeight="1" x14ac:dyDescent="0.15">
      <c r="C227" s="2"/>
      <c r="G227" s="3"/>
      <c r="H227" s="3"/>
      <c r="I227" s="3"/>
      <c r="J227" s="3"/>
      <c r="K227" s="3"/>
    </row>
    <row r="228" spans="3:11" ht="15.75" customHeight="1" x14ac:dyDescent="0.15">
      <c r="C228" s="2"/>
      <c r="G228" s="3"/>
      <c r="H228" s="3"/>
      <c r="I228" s="3"/>
      <c r="J228" s="3"/>
      <c r="K228" s="3"/>
    </row>
    <row r="229" spans="3:11" ht="15.75" customHeight="1" x14ac:dyDescent="0.15">
      <c r="C229" s="2"/>
      <c r="G229" s="3"/>
      <c r="H229" s="3"/>
      <c r="I229" s="3"/>
      <c r="J229" s="3"/>
      <c r="K229" s="3"/>
    </row>
    <row r="230" spans="3:11" ht="15.75" customHeight="1" x14ac:dyDescent="0.15">
      <c r="C230" s="2"/>
      <c r="G230" s="3"/>
      <c r="H230" s="3"/>
      <c r="I230" s="3"/>
      <c r="J230" s="3"/>
      <c r="K230" s="3"/>
    </row>
    <row r="231" spans="3:11" ht="15.75" customHeight="1" x14ac:dyDescent="0.15">
      <c r="C231" s="2"/>
      <c r="G231" s="3"/>
      <c r="H231" s="3"/>
      <c r="I231" s="3"/>
      <c r="J231" s="3"/>
      <c r="K231" s="3"/>
    </row>
    <row r="232" spans="3:11" ht="15.75" customHeight="1" x14ac:dyDescent="0.15">
      <c r="C232" s="2"/>
      <c r="G232" s="3"/>
      <c r="H232" s="3"/>
      <c r="I232" s="3"/>
      <c r="J232" s="3"/>
      <c r="K232" s="3"/>
    </row>
    <row r="233" spans="3:11" ht="15.75" customHeight="1" x14ac:dyDescent="0.15">
      <c r="C233" s="2"/>
      <c r="G233" s="3"/>
      <c r="H233" s="3"/>
      <c r="I233" s="3"/>
      <c r="J233" s="3"/>
      <c r="K233" s="3"/>
    </row>
    <row r="234" spans="3:11" ht="15.75" customHeight="1" x14ac:dyDescent="0.15">
      <c r="C234" s="2"/>
      <c r="G234" s="3"/>
      <c r="H234" s="3"/>
      <c r="I234" s="3"/>
      <c r="J234" s="3"/>
      <c r="K234" s="3"/>
    </row>
    <row r="235" spans="3:11" ht="15.75" customHeight="1" x14ac:dyDescent="0.15">
      <c r="C235" s="2"/>
      <c r="G235" s="3"/>
      <c r="H235" s="3"/>
      <c r="I235" s="3"/>
      <c r="J235" s="3"/>
      <c r="K235" s="3"/>
    </row>
    <row r="236" spans="3:11" ht="15.75" customHeight="1" x14ac:dyDescent="0.15">
      <c r="C236" s="2"/>
      <c r="G236" s="3"/>
      <c r="H236" s="3"/>
      <c r="I236" s="3"/>
      <c r="J236" s="3"/>
      <c r="K236" s="3"/>
    </row>
    <row r="237" spans="3:11" ht="15.75" customHeight="1" x14ac:dyDescent="0.15">
      <c r="C237" s="2"/>
      <c r="G237" s="3"/>
      <c r="H237" s="3"/>
      <c r="I237" s="3"/>
      <c r="J237" s="3"/>
      <c r="K237" s="3"/>
    </row>
    <row r="238" spans="3:11" ht="15.75" customHeight="1" x14ac:dyDescent="0.15">
      <c r="C238" s="2"/>
      <c r="G238" s="3"/>
      <c r="H238" s="3"/>
      <c r="I238" s="3"/>
      <c r="J238" s="3"/>
      <c r="K238" s="3"/>
    </row>
    <row r="239" spans="3:11" ht="15.75" customHeight="1" x14ac:dyDescent="0.15">
      <c r="C239" s="2"/>
      <c r="G239" s="3"/>
      <c r="H239" s="3"/>
      <c r="I239" s="3"/>
      <c r="J239" s="3"/>
      <c r="K239" s="3"/>
    </row>
    <row r="240" spans="3:11" ht="15.75" customHeight="1" x14ac:dyDescent="0.15">
      <c r="C240" s="2"/>
      <c r="G240" s="3"/>
      <c r="H240" s="3"/>
      <c r="I240" s="3"/>
      <c r="J240" s="3"/>
      <c r="K240" s="3"/>
    </row>
    <row r="241" spans="3:11" ht="15.75" customHeight="1" x14ac:dyDescent="0.15">
      <c r="C241" s="2"/>
      <c r="G241" s="3"/>
      <c r="H241" s="3"/>
      <c r="I241" s="3"/>
      <c r="J241" s="3"/>
      <c r="K241" s="3"/>
    </row>
    <row r="242" spans="3:11" ht="15.75" customHeight="1" x14ac:dyDescent="0.15">
      <c r="C242" s="2"/>
      <c r="G242" s="3"/>
      <c r="H242" s="3"/>
      <c r="I242" s="3"/>
      <c r="J242" s="3"/>
      <c r="K242" s="3"/>
    </row>
    <row r="243" spans="3:11" ht="15.75" customHeight="1" x14ac:dyDescent="0.15">
      <c r="C243" s="2"/>
      <c r="G243" s="3"/>
      <c r="H243" s="3"/>
      <c r="I243" s="3"/>
      <c r="J243" s="3"/>
      <c r="K243" s="3"/>
    </row>
    <row r="244" spans="3:11" ht="15.75" customHeight="1" x14ac:dyDescent="0.15">
      <c r="C244" s="2"/>
      <c r="G244" s="3"/>
      <c r="H244" s="3"/>
      <c r="I244" s="3"/>
      <c r="J244" s="3"/>
      <c r="K244" s="3"/>
    </row>
    <row r="245" spans="3:11" ht="15.75" customHeight="1" x14ac:dyDescent="0.15">
      <c r="C245" s="2"/>
      <c r="G245" s="3"/>
      <c r="H245" s="3"/>
      <c r="I245" s="3"/>
      <c r="J245" s="3"/>
      <c r="K245" s="3"/>
    </row>
    <row r="246" spans="3:11" ht="15.75" customHeight="1" x14ac:dyDescent="0.15">
      <c r="C246" s="2"/>
      <c r="G246" s="3"/>
      <c r="H246" s="3"/>
      <c r="I246" s="3"/>
      <c r="J246" s="3"/>
      <c r="K246" s="3"/>
    </row>
    <row r="247" spans="3:11" ht="15.75" customHeight="1" x14ac:dyDescent="0.15">
      <c r="C247" s="2"/>
      <c r="G247" s="3"/>
      <c r="H247" s="3"/>
      <c r="I247" s="3"/>
      <c r="J247" s="3"/>
      <c r="K247" s="3"/>
    </row>
    <row r="248" spans="3:11" ht="15.75" customHeight="1" x14ac:dyDescent="0.15">
      <c r="C248" s="2"/>
      <c r="G248" s="3"/>
      <c r="H248" s="3"/>
      <c r="I248" s="3"/>
      <c r="J248" s="3"/>
      <c r="K248" s="3"/>
    </row>
    <row r="249" spans="3:11" ht="15.75" customHeight="1" x14ac:dyDescent="0.15">
      <c r="C249" s="2"/>
      <c r="G249" s="3"/>
      <c r="H249" s="3"/>
      <c r="I249" s="3"/>
      <c r="J249" s="3"/>
      <c r="K249" s="3"/>
    </row>
    <row r="250" spans="3:11" ht="15.75" customHeight="1" x14ac:dyDescent="0.15">
      <c r="C250" s="2"/>
      <c r="G250" s="3"/>
      <c r="H250" s="3"/>
      <c r="I250" s="3"/>
      <c r="J250" s="3"/>
      <c r="K250" s="3"/>
    </row>
    <row r="251" spans="3:11" ht="15.75" customHeight="1" x14ac:dyDescent="0.15">
      <c r="C251" s="2"/>
      <c r="G251" s="3"/>
      <c r="H251" s="3"/>
      <c r="I251" s="3"/>
      <c r="J251" s="3"/>
      <c r="K251" s="3"/>
    </row>
    <row r="252" spans="3:11" ht="15.75" customHeight="1" x14ac:dyDescent="0.15">
      <c r="C252" s="2"/>
      <c r="G252" s="3"/>
      <c r="H252" s="3"/>
      <c r="I252" s="3"/>
      <c r="J252" s="3"/>
      <c r="K252" s="3"/>
    </row>
    <row r="253" spans="3:11" ht="15.75" customHeight="1" x14ac:dyDescent="0.15">
      <c r="C253" s="2"/>
      <c r="G253" s="3"/>
      <c r="H253" s="3"/>
      <c r="I253" s="3"/>
      <c r="J253" s="3"/>
      <c r="K253" s="3"/>
    </row>
    <row r="254" spans="3:11" ht="15.75" customHeight="1" x14ac:dyDescent="0.15">
      <c r="C254" s="2"/>
      <c r="G254" s="3"/>
      <c r="H254" s="3"/>
      <c r="I254" s="3"/>
      <c r="J254" s="3"/>
      <c r="K254" s="3"/>
    </row>
    <row r="255" spans="3:11" ht="15.75" customHeight="1" x14ac:dyDescent="0.15">
      <c r="C255" s="2"/>
      <c r="G255" s="3"/>
      <c r="H255" s="3"/>
      <c r="I255" s="3"/>
      <c r="J255" s="3"/>
      <c r="K255" s="3"/>
    </row>
    <row r="256" spans="3:11" ht="15.75" customHeight="1" x14ac:dyDescent="0.15">
      <c r="C256" s="2"/>
      <c r="G256" s="3"/>
      <c r="H256" s="3"/>
      <c r="I256" s="3"/>
      <c r="J256" s="3"/>
      <c r="K256" s="3"/>
    </row>
    <row r="257" spans="3:11" ht="15.75" customHeight="1" x14ac:dyDescent="0.15">
      <c r="C257" s="2"/>
      <c r="G257" s="3"/>
      <c r="H257" s="3"/>
      <c r="I257" s="3"/>
      <c r="J257" s="3"/>
      <c r="K257" s="3"/>
    </row>
    <row r="258" spans="3:11" ht="15.75" customHeight="1" x14ac:dyDescent="0.15">
      <c r="C258" s="2"/>
      <c r="G258" s="3"/>
      <c r="H258" s="3"/>
      <c r="I258" s="3"/>
      <c r="J258" s="3"/>
      <c r="K258" s="3"/>
    </row>
    <row r="259" spans="3:11" ht="15.75" customHeight="1" x14ac:dyDescent="0.15">
      <c r="C259" s="2"/>
      <c r="G259" s="3"/>
      <c r="H259" s="3"/>
      <c r="I259" s="3"/>
      <c r="J259" s="3"/>
      <c r="K259" s="3"/>
    </row>
    <row r="260" spans="3:11" ht="15.75" customHeight="1" x14ac:dyDescent="0.15">
      <c r="C260" s="2"/>
      <c r="G260" s="3"/>
      <c r="H260" s="3"/>
      <c r="I260" s="3"/>
      <c r="J260" s="3"/>
      <c r="K260" s="3"/>
    </row>
    <row r="261" spans="3:11" ht="15.75" customHeight="1" x14ac:dyDescent="0.15">
      <c r="C261" s="2"/>
      <c r="G261" s="3"/>
      <c r="H261" s="3"/>
      <c r="I261" s="3"/>
      <c r="J261" s="3"/>
      <c r="K261" s="3"/>
    </row>
    <row r="262" spans="3:11" ht="15.75" customHeight="1" x14ac:dyDescent="0.15">
      <c r="C262" s="2"/>
      <c r="G262" s="3"/>
      <c r="H262" s="3"/>
      <c r="I262" s="3"/>
      <c r="J262" s="3"/>
      <c r="K262" s="3"/>
    </row>
    <row r="263" spans="3:11" ht="15.75" customHeight="1" x14ac:dyDescent="0.15">
      <c r="C263" s="2"/>
      <c r="G263" s="3"/>
      <c r="H263" s="3"/>
      <c r="I263" s="3"/>
      <c r="J263" s="3"/>
      <c r="K263" s="3"/>
    </row>
    <row r="264" spans="3:11" ht="15.75" customHeight="1" x14ac:dyDescent="0.15">
      <c r="C264" s="2"/>
      <c r="G264" s="3"/>
      <c r="H264" s="3"/>
      <c r="I264" s="3"/>
      <c r="J264" s="3"/>
      <c r="K264" s="3"/>
    </row>
    <row r="265" spans="3:11" ht="15.75" customHeight="1" x14ac:dyDescent="0.15">
      <c r="C265" s="2"/>
      <c r="G265" s="3"/>
      <c r="H265" s="3"/>
      <c r="I265" s="3"/>
      <c r="J265" s="3"/>
      <c r="K265" s="3"/>
    </row>
    <row r="266" spans="3:11" ht="15.75" customHeight="1" x14ac:dyDescent="0.15">
      <c r="C266" s="2"/>
      <c r="G266" s="3"/>
      <c r="H266" s="3"/>
      <c r="I266" s="3"/>
      <c r="J266" s="3"/>
      <c r="K266" s="3"/>
    </row>
    <row r="267" spans="3:11" ht="15.75" customHeight="1" x14ac:dyDescent="0.15">
      <c r="C267" s="2"/>
      <c r="G267" s="3"/>
      <c r="H267" s="3"/>
      <c r="I267" s="3"/>
      <c r="J267" s="3"/>
      <c r="K267" s="3"/>
    </row>
    <row r="268" spans="3:11" ht="15.75" customHeight="1" x14ac:dyDescent="0.15">
      <c r="C268" s="2"/>
      <c r="G268" s="3"/>
      <c r="H268" s="3"/>
      <c r="I268" s="3"/>
      <c r="J268" s="3"/>
      <c r="K268" s="3"/>
    </row>
    <row r="269" spans="3:11" ht="15.75" customHeight="1" x14ac:dyDescent="0.15">
      <c r="C269" s="2"/>
      <c r="G269" s="3"/>
      <c r="H269" s="3"/>
      <c r="I269" s="3"/>
      <c r="J269" s="3"/>
      <c r="K269" s="3"/>
    </row>
    <row r="270" spans="3:11" ht="15.75" customHeight="1" x14ac:dyDescent="0.15">
      <c r="C270" s="2"/>
      <c r="G270" s="3"/>
      <c r="H270" s="3"/>
      <c r="I270" s="3"/>
      <c r="J270" s="3"/>
      <c r="K270" s="3"/>
    </row>
    <row r="271" spans="3:11" ht="15.75" customHeight="1" x14ac:dyDescent="0.15">
      <c r="C271" s="2"/>
      <c r="G271" s="3"/>
      <c r="H271" s="3"/>
      <c r="I271" s="3"/>
      <c r="J271" s="3"/>
      <c r="K271" s="3"/>
    </row>
    <row r="272" spans="3:11" ht="15.75" customHeight="1" x14ac:dyDescent="0.15">
      <c r="C272" s="2"/>
      <c r="G272" s="3"/>
      <c r="H272" s="3"/>
      <c r="I272" s="3"/>
      <c r="J272" s="3"/>
      <c r="K272" s="3"/>
    </row>
    <row r="273" spans="3:11" ht="15.75" customHeight="1" x14ac:dyDescent="0.15">
      <c r="C273" s="2"/>
      <c r="G273" s="3"/>
      <c r="H273" s="3"/>
      <c r="I273" s="3"/>
      <c r="J273" s="3"/>
      <c r="K273" s="3"/>
    </row>
    <row r="274" spans="3:11" ht="15.75" customHeight="1" x14ac:dyDescent="0.15">
      <c r="C274" s="2"/>
      <c r="G274" s="3"/>
      <c r="H274" s="3"/>
      <c r="I274" s="3"/>
      <c r="J274" s="3"/>
      <c r="K274" s="3"/>
    </row>
    <row r="275" spans="3:11" ht="15.75" customHeight="1" x14ac:dyDescent="0.15">
      <c r="C275" s="2"/>
      <c r="G275" s="3"/>
      <c r="H275" s="3"/>
      <c r="I275" s="3"/>
      <c r="J275" s="3"/>
      <c r="K275" s="3"/>
    </row>
    <row r="276" spans="3:11" ht="15.75" customHeight="1" x14ac:dyDescent="0.15">
      <c r="C276" s="2"/>
      <c r="G276" s="3"/>
      <c r="H276" s="3"/>
      <c r="I276" s="3"/>
      <c r="J276" s="3"/>
      <c r="K276" s="3"/>
    </row>
    <row r="277" spans="3:11" ht="15.75" customHeight="1" x14ac:dyDescent="0.15">
      <c r="C277" s="2"/>
      <c r="G277" s="3"/>
      <c r="H277" s="3"/>
      <c r="I277" s="3"/>
      <c r="J277" s="3"/>
      <c r="K277" s="3"/>
    </row>
    <row r="278" spans="3:11" ht="15.75" customHeight="1" x14ac:dyDescent="0.15">
      <c r="C278" s="2"/>
      <c r="G278" s="3"/>
      <c r="H278" s="3"/>
      <c r="I278" s="3"/>
      <c r="J278" s="3"/>
      <c r="K278" s="3"/>
    </row>
    <row r="279" spans="3:11" ht="15.75" customHeight="1" x14ac:dyDescent="0.15">
      <c r="C279" s="2"/>
      <c r="G279" s="3"/>
      <c r="H279" s="3"/>
      <c r="I279" s="3"/>
      <c r="J279" s="3"/>
      <c r="K279" s="3"/>
    </row>
    <row r="280" spans="3:11" ht="15.75" customHeight="1" x14ac:dyDescent="0.15">
      <c r="C280" s="2"/>
      <c r="G280" s="3"/>
      <c r="H280" s="3"/>
      <c r="I280" s="3"/>
      <c r="J280" s="3"/>
      <c r="K280" s="3"/>
    </row>
    <row r="281" spans="3:11" ht="15.75" customHeight="1" x14ac:dyDescent="0.15">
      <c r="C281" s="2"/>
      <c r="G281" s="3"/>
      <c r="H281" s="3"/>
      <c r="I281" s="3"/>
      <c r="J281" s="3"/>
      <c r="K281" s="3"/>
    </row>
    <row r="282" spans="3:11" ht="15.75" customHeight="1" x14ac:dyDescent="0.15">
      <c r="C282" s="2"/>
      <c r="G282" s="3"/>
      <c r="H282" s="3"/>
      <c r="I282" s="3"/>
      <c r="J282" s="3"/>
      <c r="K282" s="3"/>
    </row>
    <row r="283" spans="3:11" ht="15.75" customHeight="1" x14ac:dyDescent="0.15">
      <c r="C283" s="2"/>
      <c r="G283" s="3"/>
      <c r="H283" s="3"/>
      <c r="I283" s="3"/>
      <c r="J283" s="3"/>
      <c r="K283" s="3"/>
    </row>
    <row r="284" spans="3:11" ht="15.75" customHeight="1" x14ac:dyDescent="0.15">
      <c r="C284" s="2"/>
      <c r="G284" s="3"/>
      <c r="H284" s="3"/>
      <c r="I284" s="3"/>
      <c r="J284" s="3"/>
      <c r="K284" s="3"/>
    </row>
    <row r="285" spans="3:11" ht="15.75" customHeight="1" x14ac:dyDescent="0.15">
      <c r="C285" s="2"/>
      <c r="G285" s="3"/>
      <c r="H285" s="3"/>
      <c r="I285" s="3"/>
      <c r="J285" s="3"/>
      <c r="K285" s="3"/>
    </row>
    <row r="286" spans="3:11" ht="15.75" customHeight="1" x14ac:dyDescent="0.15">
      <c r="C286" s="2"/>
      <c r="G286" s="3"/>
      <c r="H286" s="3"/>
      <c r="I286" s="3"/>
      <c r="J286" s="3"/>
      <c r="K286" s="3"/>
    </row>
    <row r="287" spans="3:11" ht="15.75" customHeight="1" x14ac:dyDescent="0.15">
      <c r="C287" s="2"/>
      <c r="G287" s="3"/>
      <c r="H287" s="3"/>
      <c r="I287" s="3"/>
      <c r="J287" s="3"/>
      <c r="K287" s="3"/>
    </row>
    <row r="288" spans="3:11" ht="15.75" customHeight="1" x14ac:dyDescent="0.15">
      <c r="C288" s="2"/>
      <c r="G288" s="3"/>
      <c r="H288" s="3"/>
      <c r="I288" s="3"/>
      <c r="J288" s="3"/>
      <c r="K288" s="3"/>
    </row>
    <row r="289" spans="3:11" ht="15.75" customHeight="1" x14ac:dyDescent="0.15">
      <c r="C289" s="2"/>
      <c r="G289" s="3"/>
      <c r="H289" s="3"/>
      <c r="I289" s="3"/>
      <c r="J289" s="3"/>
      <c r="K289" s="3"/>
    </row>
    <row r="290" spans="3:11" ht="15.75" customHeight="1" x14ac:dyDescent="0.15">
      <c r="C290" s="2"/>
      <c r="G290" s="3"/>
      <c r="H290" s="3"/>
      <c r="I290" s="3"/>
      <c r="J290" s="3"/>
      <c r="K290" s="3"/>
    </row>
    <row r="291" spans="3:11" ht="15.75" customHeight="1" x14ac:dyDescent="0.15">
      <c r="C291" s="2"/>
      <c r="G291" s="3"/>
      <c r="H291" s="3"/>
      <c r="I291" s="3"/>
      <c r="J291" s="3"/>
      <c r="K291" s="3"/>
    </row>
    <row r="292" spans="3:11" ht="15.75" customHeight="1" x14ac:dyDescent="0.15">
      <c r="C292" s="2"/>
      <c r="G292" s="3"/>
      <c r="H292" s="3"/>
      <c r="I292" s="3"/>
      <c r="J292" s="3"/>
      <c r="K292" s="3"/>
    </row>
    <row r="293" spans="3:11" ht="15.75" customHeight="1" x14ac:dyDescent="0.15">
      <c r="C293" s="2"/>
      <c r="G293" s="3"/>
      <c r="H293" s="3"/>
      <c r="I293" s="3"/>
      <c r="J293" s="3"/>
      <c r="K293" s="3"/>
    </row>
    <row r="294" spans="3:11" ht="15.75" customHeight="1" x14ac:dyDescent="0.15">
      <c r="C294" s="2"/>
      <c r="G294" s="3"/>
      <c r="H294" s="3"/>
      <c r="I294" s="3"/>
      <c r="J294" s="3"/>
      <c r="K294" s="3"/>
    </row>
    <row r="295" spans="3:11" ht="15.75" customHeight="1" x14ac:dyDescent="0.15">
      <c r="C295" s="2"/>
      <c r="G295" s="3"/>
      <c r="H295" s="3"/>
      <c r="I295" s="3"/>
      <c r="J295" s="3"/>
      <c r="K295" s="3"/>
    </row>
    <row r="296" spans="3:11" ht="15.75" customHeight="1" x14ac:dyDescent="0.15">
      <c r="C296" s="2"/>
      <c r="G296" s="3"/>
      <c r="H296" s="3"/>
      <c r="I296" s="3"/>
      <c r="J296" s="3"/>
      <c r="K296" s="3"/>
    </row>
    <row r="297" spans="3:11" ht="15.75" customHeight="1" x14ac:dyDescent="0.15">
      <c r="C297" s="2"/>
      <c r="G297" s="3"/>
      <c r="H297" s="3"/>
      <c r="I297" s="3"/>
      <c r="J297" s="3"/>
      <c r="K297" s="3"/>
    </row>
    <row r="298" spans="3:11" ht="15.75" customHeight="1" x14ac:dyDescent="0.15">
      <c r="C298" s="2"/>
      <c r="G298" s="3"/>
      <c r="H298" s="3"/>
      <c r="I298" s="3"/>
      <c r="J298" s="3"/>
      <c r="K298" s="3"/>
    </row>
    <row r="299" spans="3:11" ht="15.75" customHeight="1" x14ac:dyDescent="0.15">
      <c r="C299" s="2"/>
      <c r="G299" s="3"/>
      <c r="H299" s="3"/>
      <c r="I299" s="3"/>
      <c r="J299" s="3"/>
      <c r="K299" s="3"/>
    </row>
    <row r="300" spans="3:11" ht="15.75" customHeight="1" x14ac:dyDescent="0.15">
      <c r="C300" s="2"/>
      <c r="G300" s="3"/>
      <c r="H300" s="3"/>
      <c r="I300" s="3"/>
      <c r="J300" s="3"/>
      <c r="K300" s="3"/>
    </row>
    <row r="301" spans="3:11" ht="15.75" customHeight="1" x14ac:dyDescent="0.15">
      <c r="C301" s="2"/>
      <c r="G301" s="3"/>
      <c r="H301" s="3"/>
      <c r="I301" s="3"/>
      <c r="J301" s="3"/>
      <c r="K301" s="3"/>
    </row>
    <row r="302" spans="3:11" ht="15.75" customHeight="1" x14ac:dyDescent="0.15">
      <c r="C302" s="2"/>
      <c r="G302" s="3"/>
      <c r="H302" s="3"/>
      <c r="I302" s="3"/>
      <c r="J302" s="3"/>
      <c r="K302" s="3"/>
    </row>
    <row r="303" spans="3:11" ht="15.75" customHeight="1" x14ac:dyDescent="0.15">
      <c r="C303" s="2"/>
      <c r="G303" s="3"/>
      <c r="H303" s="3"/>
      <c r="I303" s="3"/>
      <c r="J303" s="3"/>
      <c r="K303" s="3"/>
    </row>
    <row r="304" spans="3:11" ht="15.75" customHeight="1" x14ac:dyDescent="0.15">
      <c r="C304" s="2"/>
      <c r="G304" s="3"/>
      <c r="H304" s="3"/>
      <c r="I304" s="3"/>
      <c r="J304" s="3"/>
      <c r="K304" s="3"/>
    </row>
    <row r="305" spans="3:11" ht="15.75" customHeight="1" x14ac:dyDescent="0.15">
      <c r="C305" s="2"/>
      <c r="G305" s="3"/>
      <c r="H305" s="3"/>
      <c r="I305" s="3"/>
      <c r="J305" s="3"/>
      <c r="K305" s="3"/>
    </row>
    <row r="306" spans="3:11" ht="15.75" customHeight="1" x14ac:dyDescent="0.15">
      <c r="C306" s="2"/>
      <c r="G306" s="3"/>
      <c r="H306" s="3"/>
      <c r="I306" s="3"/>
      <c r="J306" s="3"/>
      <c r="K306" s="3"/>
    </row>
    <row r="307" spans="3:11" ht="15.75" customHeight="1" x14ac:dyDescent="0.15">
      <c r="C307" s="2"/>
      <c r="G307" s="3"/>
      <c r="H307" s="3"/>
      <c r="I307" s="3"/>
      <c r="J307" s="3"/>
      <c r="K307" s="3"/>
    </row>
    <row r="308" spans="3:11" ht="15.75" customHeight="1" x14ac:dyDescent="0.15">
      <c r="C308" s="2"/>
      <c r="G308" s="3"/>
      <c r="H308" s="3"/>
      <c r="I308" s="3"/>
      <c r="J308" s="3"/>
      <c r="K308" s="3"/>
    </row>
    <row r="309" spans="3:11" ht="15.75" customHeight="1" x14ac:dyDescent="0.15">
      <c r="C309" s="2"/>
      <c r="G309" s="3"/>
      <c r="H309" s="3"/>
      <c r="I309" s="3"/>
      <c r="J309" s="3"/>
      <c r="K309" s="3"/>
    </row>
    <row r="310" spans="3:11" ht="15.75" customHeight="1" x14ac:dyDescent="0.15">
      <c r="C310" s="2"/>
      <c r="G310" s="3"/>
      <c r="H310" s="3"/>
      <c r="I310" s="3"/>
      <c r="J310" s="3"/>
      <c r="K310" s="3"/>
    </row>
    <row r="311" spans="3:11" ht="15.75" customHeight="1" x14ac:dyDescent="0.15">
      <c r="C311" s="2"/>
      <c r="G311" s="3"/>
      <c r="H311" s="3"/>
      <c r="I311" s="3"/>
      <c r="J311" s="3"/>
      <c r="K311" s="3"/>
    </row>
    <row r="312" spans="3:11" ht="15.75" customHeight="1" x14ac:dyDescent="0.15">
      <c r="C312" s="2"/>
      <c r="G312" s="3"/>
      <c r="H312" s="3"/>
      <c r="I312" s="3"/>
      <c r="J312" s="3"/>
      <c r="K312" s="3"/>
    </row>
    <row r="313" spans="3:11" ht="15.75" customHeight="1" x14ac:dyDescent="0.15">
      <c r="C313" s="2"/>
      <c r="G313" s="3"/>
      <c r="H313" s="3"/>
      <c r="I313" s="3"/>
      <c r="J313" s="3"/>
      <c r="K313" s="3"/>
    </row>
    <row r="314" spans="3:11" ht="15.75" customHeight="1" x14ac:dyDescent="0.15">
      <c r="C314" s="2"/>
      <c r="G314" s="3"/>
      <c r="H314" s="3"/>
      <c r="I314" s="3"/>
      <c r="J314" s="3"/>
      <c r="K314" s="3"/>
    </row>
    <row r="315" spans="3:11" ht="15.75" customHeight="1" x14ac:dyDescent="0.15">
      <c r="C315" s="2"/>
      <c r="G315" s="3"/>
      <c r="H315" s="3"/>
      <c r="I315" s="3"/>
      <c r="J315" s="3"/>
      <c r="K315" s="3"/>
    </row>
    <row r="316" spans="3:11" ht="15.75" customHeight="1" x14ac:dyDescent="0.15">
      <c r="C316" s="2"/>
      <c r="G316" s="3"/>
      <c r="H316" s="3"/>
      <c r="I316" s="3"/>
      <c r="J316" s="3"/>
      <c r="K316" s="3"/>
    </row>
    <row r="317" spans="3:11" ht="15.75" customHeight="1" x14ac:dyDescent="0.15">
      <c r="C317" s="2"/>
      <c r="G317" s="3"/>
      <c r="H317" s="3"/>
      <c r="I317" s="3"/>
      <c r="J317" s="3"/>
      <c r="K317" s="3"/>
    </row>
    <row r="318" spans="3:11" ht="15.75" customHeight="1" x14ac:dyDescent="0.15">
      <c r="C318" s="2"/>
      <c r="G318" s="3"/>
      <c r="H318" s="3"/>
      <c r="I318" s="3"/>
      <c r="J318" s="3"/>
      <c r="K318" s="3"/>
    </row>
    <row r="319" spans="3:11" ht="15.75" customHeight="1" x14ac:dyDescent="0.15">
      <c r="C319" s="2"/>
      <c r="G319" s="3"/>
      <c r="H319" s="3"/>
      <c r="I319" s="3"/>
      <c r="J319" s="3"/>
      <c r="K319" s="3"/>
    </row>
    <row r="320" spans="3:11" ht="15.75" customHeight="1" x14ac:dyDescent="0.15">
      <c r="C320" s="2"/>
      <c r="G320" s="3"/>
      <c r="H320" s="3"/>
      <c r="I320" s="3"/>
      <c r="J320" s="3"/>
      <c r="K320" s="3"/>
    </row>
    <row r="321" spans="3:11" ht="15.75" customHeight="1" x14ac:dyDescent="0.15">
      <c r="C321" s="2"/>
      <c r="G321" s="3"/>
      <c r="H321" s="3"/>
      <c r="I321" s="3"/>
      <c r="J321" s="3"/>
      <c r="K321" s="3"/>
    </row>
    <row r="322" spans="3:11" ht="15.75" customHeight="1" x14ac:dyDescent="0.15">
      <c r="C322" s="2"/>
      <c r="G322" s="3"/>
      <c r="H322" s="3"/>
      <c r="I322" s="3"/>
      <c r="J322" s="3"/>
      <c r="K322" s="3"/>
    </row>
    <row r="323" spans="3:11" ht="15.75" customHeight="1" x14ac:dyDescent="0.15">
      <c r="C323" s="2"/>
      <c r="G323" s="3"/>
      <c r="H323" s="3"/>
      <c r="I323" s="3"/>
      <c r="J323" s="3"/>
      <c r="K323" s="3"/>
    </row>
    <row r="324" spans="3:11" ht="15.75" customHeight="1" x14ac:dyDescent="0.15">
      <c r="C324" s="2"/>
      <c r="G324" s="3"/>
      <c r="H324" s="3"/>
      <c r="I324" s="3"/>
      <c r="J324" s="3"/>
      <c r="K324" s="3"/>
    </row>
    <row r="325" spans="3:11" ht="15.75" customHeight="1" x14ac:dyDescent="0.15">
      <c r="C325" s="2"/>
      <c r="G325" s="3"/>
      <c r="H325" s="3"/>
      <c r="I325" s="3"/>
      <c r="J325" s="3"/>
      <c r="K325" s="3"/>
    </row>
    <row r="326" spans="3:11" ht="15.75" customHeight="1" x14ac:dyDescent="0.15">
      <c r="C326" s="2"/>
      <c r="G326" s="3"/>
      <c r="H326" s="3"/>
      <c r="I326" s="3"/>
      <c r="J326" s="3"/>
      <c r="K326" s="3"/>
    </row>
    <row r="327" spans="3:11" ht="15.75" customHeight="1" x14ac:dyDescent="0.15">
      <c r="C327" s="2"/>
      <c r="G327" s="3"/>
      <c r="H327" s="3"/>
      <c r="I327" s="3"/>
      <c r="J327" s="3"/>
      <c r="K327" s="3"/>
    </row>
    <row r="328" spans="3:11" ht="15.75" customHeight="1" x14ac:dyDescent="0.15">
      <c r="C328" s="2"/>
      <c r="G328" s="3"/>
      <c r="H328" s="3"/>
      <c r="I328" s="3"/>
      <c r="J328" s="3"/>
      <c r="K328" s="3"/>
    </row>
    <row r="329" spans="3:11" ht="15.75" customHeight="1" x14ac:dyDescent="0.15">
      <c r="C329" s="2"/>
      <c r="G329" s="3"/>
      <c r="H329" s="3"/>
      <c r="I329" s="3"/>
      <c r="J329" s="3"/>
      <c r="K329" s="3"/>
    </row>
    <row r="330" spans="3:11" ht="15.75" customHeight="1" x14ac:dyDescent="0.15">
      <c r="C330" s="2"/>
      <c r="G330" s="3"/>
      <c r="H330" s="3"/>
      <c r="I330" s="3"/>
      <c r="J330" s="3"/>
      <c r="K330" s="3"/>
    </row>
    <row r="331" spans="3:11" ht="15.75" customHeight="1" x14ac:dyDescent="0.15">
      <c r="C331" s="2"/>
      <c r="G331" s="3"/>
      <c r="H331" s="3"/>
      <c r="I331" s="3"/>
      <c r="J331" s="3"/>
      <c r="K331" s="3"/>
    </row>
    <row r="332" spans="3:11" ht="15.75" customHeight="1" x14ac:dyDescent="0.15">
      <c r="C332" s="2"/>
      <c r="G332" s="3"/>
      <c r="H332" s="3"/>
      <c r="I332" s="3"/>
      <c r="J332" s="3"/>
      <c r="K332" s="3"/>
    </row>
    <row r="333" spans="3:11" ht="15.75" customHeight="1" x14ac:dyDescent="0.15">
      <c r="C333" s="2"/>
      <c r="G333" s="3"/>
      <c r="H333" s="3"/>
      <c r="I333" s="3"/>
      <c r="J333" s="3"/>
      <c r="K333" s="3"/>
    </row>
    <row r="334" spans="3:11" ht="15.75" customHeight="1" x14ac:dyDescent="0.15">
      <c r="C334" s="2"/>
      <c r="G334" s="3"/>
      <c r="H334" s="3"/>
      <c r="I334" s="3"/>
      <c r="J334" s="3"/>
      <c r="K334" s="3"/>
    </row>
    <row r="335" spans="3:11" ht="15.75" customHeight="1" x14ac:dyDescent="0.15">
      <c r="C335" s="2"/>
      <c r="G335" s="3"/>
      <c r="H335" s="3"/>
      <c r="I335" s="3"/>
      <c r="J335" s="3"/>
      <c r="K335" s="3"/>
    </row>
    <row r="336" spans="3:11" ht="15.75" customHeight="1" x14ac:dyDescent="0.15">
      <c r="C336" s="2"/>
      <c r="G336" s="3"/>
      <c r="H336" s="3"/>
      <c r="I336" s="3"/>
      <c r="J336" s="3"/>
      <c r="K336" s="3"/>
    </row>
    <row r="337" spans="3:11" ht="15.75" customHeight="1" x14ac:dyDescent="0.15">
      <c r="C337" s="2"/>
      <c r="G337" s="3"/>
      <c r="H337" s="3"/>
      <c r="I337" s="3"/>
      <c r="J337" s="3"/>
      <c r="K337" s="3"/>
    </row>
    <row r="338" spans="3:11" ht="15.75" customHeight="1" x14ac:dyDescent="0.15">
      <c r="C338" s="2"/>
      <c r="G338" s="3"/>
      <c r="H338" s="3"/>
      <c r="I338" s="3"/>
      <c r="J338" s="3"/>
      <c r="K338" s="3"/>
    </row>
    <row r="339" spans="3:11" ht="15.75" customHeight="1" x14ac:dyDescent="0.15">
      <c r="C339" s="2"/>
      <c r="G339" s="3"/>
      <c r="H339" s="3"/>
      <c r="I339" s="3"/>
      <c r="J339" s="3"/>
      <c r="K339" s="3"/>
    </row>
    <row r="340" spans="3:11" ht="15.75" customHeight="1" x14ac:dyDescent="0.15">
      <c r="C340" s="2"/>
      <c r="G340" s="3"/>
      <c r="H340" s="3"/>
      <c r="I340" s="3"/>
      <c r="J340" s="3"/>
      <c r="K340" s="3"/>
    </row>
    <row r="341" spans="3:11" ht="15.75" customHeight="1" x14ac:dyDescent="0.15">
      <c r="C341" s="2"/>
      <c r="G341" s="3"/>
      <c r="H341" s="3"/>
      <c r="I341" s="3"/>
      <c r="J341" s="3"/>
      <c r="K341" s="3"/>
    </row>
    <row r="342" spans="3:11" ht="15.75" customHeight="1" x14ac:dyDescent="0.15">
      <c r="C342" s="2"/>
      <c r="G342" s="3"/>
      <c r="H342" s="3"/>
      <c r="I342" s="3"/>
      <c r="J342" s="3"/>
      <c r="K342" s="3"/>
    </row>
    <row r="343" spans="3:11" ht="15.75" customHeight="1" x14ac:dyDescent="0.15">
      <c r="C343" s="2"/>
      <c r="G343" s="3"/>
      <c r="H343" s="3"/>
      <c r="I343" s="3"/>
      <c r="J343" s="3"/>
      <c r="K343" s="3"/>
    </row>
    <row r="344" spans="3:11" ht="15.75" customHeight="1" x14ac:dyDescent="0.15">
      <c r="C344" s="2"/>
      <c r="G344" s="3"/>
      <c r="H344" s="3"/>
      <c r="I344" s="3"/>
      <c r="J344" s="3"/>
      <c r="K344" s="3"/>
    </row>
    <row r="345" spans="3:11" ht="15.75" customHeight="1" x14ac:dyDescent="0.15">
      <c r="C345" s="2"/>
      <c r="G345" s="3"/>
      <c r="H345" s="3"/>
      <c r="I345" s="3"/>
      <c r="J345" s="3"/>
      <c r="K345" s="3"/>
    </row>
    <row r="346" spans="3:11" ht="15.75" customHeight="1" x14ac:dyDescent="0.15">
      <c r="C346" s="2"/>
      <c r="G346" s="3"/>
      <c r="H346" s="3"/>
      <c r="I346" s="3"/>
      <c r="J346" s="3"/>
      <c r="K346" s="3"/>
    </row>
    <row r="347" spans="3:11" ht="15.75" customHeight="1" x14ac:dyDescent="0.15">
      <c r="C347" s="2"/>
      <c r="G347" s="3"/>
      <c r="H347" s="3"/>
      <c r="I347" s="3"/>
      <c r="J347" s="3"/>
      <c r="K347" s="3"/>
    </row>
    <row r="348" spans="3:11" ht="15.75" customHeight="1" x14ac:dyDescent="0.15">
      <c r="C348" s="2"/>
      <c r="G348" s="3"/>
      <c r="H348" s="3"/>
      <c r="I348" s="3"/>
      <c r="J348" s="3"/>
      <c r="K348" s="3"/>
    </row>
    <row r="349" spans="3:11" ht="15.75" customHeight="1" x14ac:dyDescent="0.15">
      <c r="C349" s="2"/>
      <c r="G349" s="3"/>
      <c r="H349" s="3"/>
      <c r="I349" s="3"/>
      <c r="J349" s="3"/>
      <c r="K349" s="3"/>
    </row>
    <row r="350" spans="3:11" ht="15.75" customHeight="1" x14ac:dyDescent="0.15">
      <c r="C350" s="2"/>
      <c r="G350" s="3"/>
      <c r="H350" s="3"/>
      <c r="I350" s="3"/>
      <c r="J350" s="3"/>
      <c r="K350" s="3"/>
    </row>
    <row r="351" spans="3:11" ht="15.75" customHeight="1" x14ac:dyDescent="0.15">
      <c r="C351" s="2"/>
      <c r="G351" s="3"/>
      <c r="H351" s="3"/>
      <c r="I351" s="3"/>
      <c r="J351" s="3"/>
      <c r="K351" s="3"/>
    </row>
    <row r="352" spans="3:11" ht="15.75" customHeight="1" x14ac:dyDescent="0.15">
      <c r="C352" s="2"/>
      <c r="G352" s="3"/>
      <c r="H352" s="3"/>
      <c r="I352" s="3"/>
      <c r="J352" s="3"/>
      <c r="K352" s="3"/>
    </row>
    <row r="353" spans="3:11" ht="15.75" customHeight="1" x14ac:dyDescent="0.15">
      <c r="C353" s="2"/>
      <c r="G353" s="3"/>
      <c r="H353" s="3"/>
      <c r="I353" s="3"/>
      <c r="J353" s="3"/>
      <c r="K353" s="3"/>
    </row>
    <row r="354" spans="3:11" ht="15.75" customHeight="1" x14ac:dyDescent="0.15">
      <c r="C354" s="2"/>
      <c r="G354" s="3"/>
      <c r="H354" s="3"/>
      <c r="I354" s="3"/>
      <c r="J354" s="3"/>
      <c r="K354" s="3"/>
    </row>
    <row r="355" spans="3:11" ht="15.75" customHeight="1" x14ac:dyDescent="0.15">
      <c r="C355" s="2"/>
      <c r="G355" s="3"/>
      <c r="H355" s="3"/>
      <c r="I355" s="3"/>
      <c r="J355" s="3"/>
      <c r="K355" s="3"/>
    </row>
    <row r="356" spans="3:11" ht="15.75" customHeight="1" x14ac:dyDescent="0.15">
      <c r="C356" s="2"/>
      <c r="G356" s="3"/>
      <c r="H356" s="3"/>
      <c r="I356" s="3"/>
      <c r="J356" s="3"/>
      <c r="K356" s="3"/>
    </row>
    <row r="357" spans="3:11" ht="15.75" customHeight="1" x14ac:dyDescent="0.15">
      <c r="C357" s="2"/>
      <c r="G357" s="3"/>
      <c r="H357" s="3"/>
      <c r="I357" s="3"/>
      <c r="J357" s="3"/>
      <c r="K357" s="3"/>
    </row>
    <row r="358" spans="3:11" ht="15.75" customHeight="1" x14ac:dyDescent="0.15">
      <c r="C358" s="2"/>
      <c r="G358" s="3"/>
      <c r="H358" s="3"/>
      <c r="I358" s="3"/>
      <c r="J358" s="3"/>
      <c r="K358" s="3"/>
    </row>
    <row r="359" spans="3:11" ht="15.75" customHeight="1" x14ac:dyDescent="0.15">
      <c r="C359" s="2"/>
      <c r="G359" s="3"/>
      <c r="H359" s="3"/>
      <c r="I359" s="3"/>
      <c r="J359" s="3"/>
      <c r="K359" s="3"/>
    </row>
    <row r="360" spans="3:11" ht="15.75" customHeight="1" x14ac:dyDescent="0.15">
      <c r="C360" s="2"/>
      <c r="G360" s="3"/>
      <c r="H360" s="3"/>
      <c r="I360" s="3"/>
      <c r="J360" s="3"/>
      <c r="K360" s="3"/>
    </row>
    <row r="361" spans="3:11" ht="15.75" customHeight="1" x14ac:dyDescent="0.15">
      <c r="C361" s="2"/>
      <c r="G361" s="3"/>
      <c r="H361" s="3"/>
      <c r="I361" s="3"/>
      <c r="J361" s="3"/>
      <c r="K361" s="3"/>
    </row>
    <row r="362" spans="3:11" ht="15.75" customHeight="1" x14ac:dyDescent="0.15">
      <c r="C362" s="2"/>
      <c r="G362" s="3"/>
      <c r="H362" s="3"/>
      <c r="I362" s="3"/>
      <c r="J362" s="3"/>
      <c r="K362" s="3"/>
    </row>
    <row r="363" spans="3:11" ht="15.75" customHeight="1" x14ac:dyDescent="0.15">
      <c r="C363" s="2"/>
      <c r="G363" s="3"/>
      <c r="H363" s="3"/>
      <c r="I363" s="3"/>
      <c r="J363" s="3"/>
      <c r="K363" s="3"/>
    </row>
    <row r="364" spans="3:11" ht="15.75" customHeight="1" x14ac:dyDescent="0.15">
      <c r="C364" s="2"/>
      <c r="G364" s="3"/>
      <c r="H364" s="3"/>
      <c r="I364" s="3"/>
      <c r="J364" s="3"/>
      <c r="K364" s="3"/>
    </row>
    <row r="365" spans="3:11" ht="15.75" customHeight="1" x14ac:dyDescent="0.15">
      <c r="C365" s="2"/>
      <c r="G365" s="3"/>
      <c r="H365" s="3"/>
      <c r="I365" s="3"/>
      <c r="J365" s="3"/>
      <c r="K365" s="3"/>
    </row>
    <row r="366" spans="3:11" ht="15.75" customHeight="1" x14ac:dyDescent="0.15">
      <c r="C366" s="2"/>
      <c r="G366" s="3"/>
      <c r="H366" s="3"/>
      <c r="I366" s="3"/>
      <c r="J366" s="3"/>
      <c r="K366" s="3"/>
    </row>
    <row r="367" spans="3:11" ht="15.75" customHeight="1" x14ac:dyDescent="0.15">
      <c r="C367" s="2"/>
      <c r="G367" s="3"/>
      <c r="H367" s="3"/>
      <c r="I367" s="3"/>
      <c r="J367" s="3"/>
      <c r="K367" s="3"/>
    </row>
    <row r="368" spans="3:11" ht="15.75" customHeight="1" x14ac:dyDescent="0.15">
      <c r="C368" s="2"/>
      <c r="G368" s="3"/>
      <c r="H368" s="3"/>
      <c r="I368" s="3"/>
      <c r="J368" s="3"/>
      <c r="K368" s="3"/>
    </row>
    <row r="369" spans="3:11" ht="15.75" customHeight="1" x14ac:dyDescent="0.15">
      <c r="C369" s="2"/>
      <c r="G369" s="3"/>
      <c r="H369" s="3"/>
      <c r="I369" s="3"/>
      <c r="J369" s="3"/>
      <c r="K369" s="3"/>
    </row>
    <row r="370" spans="3:11" ht="15.75" customHeight="1" x14ac:dyDescent="0.15">
      <c r="C370" s="2"/>
      <c r="G370" s="3"/>
      <c r="H370" s="3"/>
      <c r="I370" s="3"/>
      <c r="J370" s="3"/>
      <c r="K370" s="3"/>
    </row>
    <row r="371" spans="3:11" ht="15.75" customHeight="1" x14ac:dyDescent="0.15">
      <c r="C371" s="2"/>
      <c r="G371" s="3"/>
      <c r="H371" s="3"/>
      <c r="I371" s="3"/>
      <c r="J371" s="3"/>
      <c r="K371" s="3"/>
    </row>
    <row r="372" spans="3:11" ht="15.75" customHeight="1" x14ac:dyDescent="0.15">
      <c r="C372" s="2"/>
      <c r="G372" s="3"/>
      <c r="H372" s="3"/>
      <c r="I372" s="3"/>
      <c r="J372" s="3"/>
      <c r="K372" s="3"/>
    </row>
    <row r="373" spans="3:11" ht="15.75" customHeight="1" x14ac:dyDescent="0.15">
      <c r="C373" s="2"/>
      <c r="G373" s="3"/>
      <c r="H373" s="3"/>
      <c r="I373" s="3"/>
      <c r="J373" s="3"/>
      <c r="K373" s="3"/>
    </row>
    <row r="374" spans="3:11" ht="15.75" customHeight="1" x14ac:dyDescent="0.15">
      <c r="C374" s="2"/>
      <c r="G374" s="3"/>
      <c r="H374" s="3"/>
      <c r="I374" s="3"/>
      <c r="J374" s="3"/>
      <c r="K374" s="3"/>
    </row>
    <row r="375" spans="3:11" ht="15.75" customHeight="1" x14ac:dyDescent="0.15">
      <c r="C375" s="2"/>
      <c r="G375" s="3"/>
      <c r="H375" s="3"/>
      <c r="I375" s="3"/>
      <c r="J375" s="3"/>
      <c r="K375" s="3"/>
    </row>
    <row r="376" spans="3:11" ht="15.75" customHeight="1" x14ac:dyDescent="0.15">
      <c r="C376" s="2"/>
      <c r="G376" s="3"/>
      <c r="H376" s="3"/>
      <c r="I376" s="3"/>
      <c r="J376" s="3"/>
      <c r="K376" s="3"/>
    </row>
    <row r="377" spans="3:11" ht="15.75" customHeight="1" x14ac:dyDescent="0.15">
      <c r="C377" s="2"/>
      <c r="G377" s="3"/>
      <c r="H377" s="3"/>
      <c r="I377" s="3"/>
      <c r="J377" s="3"/>
      <c r="K377" s="3"/>
    </row>
    <row r="378" spans="3:11" ht="15.75" customHeight="1" x14ac:dyDescent="0.15">
      <c r="C378" s="2"/>
      <c r="G378" s="3"/>
      <c r="H378" s="3"/>
      <c r="I378" s="3"/>
      <c r="J378" s="3"/>
      <c r="K378" s="3"/>
    </row>
    <row r="379" spans="3:11" ht="15.75" customHeight="1" x14ac:dyDescent="0.15">
      <c r="C379" s="2"/>
      <c r="G379" s="3"/>
      <c r="H379" s="3"/>
      <c r="I379" s="3"/>
      <c r="J379" s="3"/>
      <c r="K379" s="3"/>
    </row>
    <row r="380" spans="3:11" ht="15.75" customHeight="1" x14ac:dyDescent="0.15">
      <c r="C380" s="2"/>
      <c r="G380" s="3"/>
      <c r="H380" s="3"/>
      <c r="I380" s="3"/>
      <c r="J380" s="3"/>
      <c r="K380" s="3"/>
    </row>
    <row r="381" spans="3:11" ht="15.75" customHeight="1" x14ac:dyDescent="0.15">
      <c r="C381" s="2"/>
      <c r="G381" s="3"/>
      <c r="H381" s="3"/>
      <c r="I381" s="3"/>
      <c r="J381" s="3"/>
      <c r="K381" s="3"/>
    </row>
    <row r="382" spans="3:11" ht="15.75" customHeight="1" x14ac:dyDescent="0.15">
      <c r="C382" s="2"/>
      <c r="G382" s="3"/>
      <c r="H382" s="3"/>
      <c r="I382" s="3"/>
      <c r="J382" s="3"/>
      <c r="K382" s="3"/>
    </row>
    <row r="383" spans="3:11" ht="15.75" customHeight="1" x14ac:dyDescent="0.15">
      <c r="C383" s="2"/>
      <c r="G383" s="3"/>
      <c r="H383" s="3"/>
      <c r="I383" s="3"/>
      <c r="J383" s="3"/>
      <c r="K383" s="3"/>
    </row>
    <row r="384" spans="3:11" ht="15.75" customHeight="1" x14ac:dyDescent="0.15">
      <c r="C384" s="2"/>
      <c r="G384" s="3"/>
      <c r="H384" s="3"/>
      <c r="I384" s="3"/>
      <c r="J384" s="3"/>
      <c r="K384" s="3"/>
    </row>
    <row r="385" spans="3:11" ht="15.75" customHeight="1" x14ac:dyDescent="0.15">
      <c r="C385" s="2"/>
      <c r="G385" s="3"/>
      <c r="H385" s="3"/>
      <c r="I385" s="3"/>
      <c r="J385" s="3"/>
      <c r="K385" s="3"/>
    </row>
    <row r="386" spans="3:11" ht="15.75" customHeight="1" x14ac:dyDescent="0.15">
      <c r="C386" s="2"/>
      <c r="G386" s="3"/>
      <c r="H386" s="3"/>
      <c r="I386" s="3"/>
      <c r="J386" s="3"/>
      <c r="K386" s="3"/>
    </row>
    <row r="387" spans="3:11" ht="15.75" customHeight="1" x14ac:dyDescent="0.15">
      <c r="C387" s="2"/>
      <c r="G387" s="3"/>
      <c r="H387" s="3"/>
      <c r="I387" s="3"/>
      <c r="J387" s="3"/>
      <c r="K387" s="3"/>
    </row>
    <row r="388" spans="3:11" ht="15.75" customHeight="1" x14ac:dyDescent="0.15">
      <c r="C388" s="2"/>
      <c r="G388" s="3"/>
      <c r="H388" s="3"/>
      <c r="I388" s="3"/>
      <c r="J388" s="3"/>
      <c r="K388" s="3"/>
    </row>
    <row r="389" spans="3:11" ht="15.75" customHeight="1" x14ac:dyDescent="0.15">
      <c r="C389" s="2"/>
      <c r="G389" s="3"/>
      <c r="H389" s="3"/>
      <c r="I389" s="3"/>
      <c r="J389" s="3"/>
      <c r="K389" s="3"/>
    </row>
    <row r="390" spans="3:11" ht="15.75" customHeight="1" x14ac:dyDescent="0.15">
      <c r="C390" s="2"/>
      <c r="G390" s="3"/>
      <c r="H390" s="3"/>
      <c r="I390" s="3"/>
      <c r="J390" s="3"/>
      <c r="K390" s="3"/>
    </row>
    <row r="391" spans="3:11" ht="15.75" customHeight="1" x14ac:dyDescent="0.15">
      <c r="C391" s="2"/>
      <c r="G391" s="3"/>
      <c r="H391" s="3"/>
      <c r="I391" s="3"/>
      <c r="J391" s="3"/>
      <c r="K391" s="3"/>
    </row>
    <row r="392" spans="3:11" ht="15.75" customHeight="1" x14ac:dyDescent="0.15">
      <c r="C392" s="2"/>
      <c r="G392" s="3"/>
      <c r="H392" s="3"/>
      <c r="I392" s="3"/>
      <c r="J392" s="3"/>
      <c r="K392" s="3"/>
    </row>
    <row r="393" spans="3:11" ht="15.75" customHeight="1" x14ac:dyDescent="0.15">
      <c r="C393" s="2"/>
      <c r="G393" s="3"/>
      <c r="H393" s="3"/>
      <c r="I393" s="3"/>
      <c r="J393" s="3"/>
      <c r="K393" s="3"/>
    </row>
    <row r="394" spans="3:11" ht="15.75" customHeight="1" x14ac:dyDescent="0.15">
      <c r="C394" s="2"/>
      <c r="G394" s="3"/>
      <c r="H394" s="3"/>
      <c r="I394" s="3"/>
      <c r="J394" s="3"/>
      <c r="K394" s="3"/>
    </row>
    <row r="395" spans="3:11" ht="15.75" customHeight="1" x14ac:dyDescent="0.15">
      <c r="C395" s="2"/>
      <c r="G395" s="3"/>
      <c r="H395" s="3"/>
      <c r="I395" s="3"/>
      <c r="J395" s="3"/>
      <c r="K395" s="3"/>
    </row>
    <row r="396" spans="3:11" ht="15.75" customHeight="1" x14ac:dyDescent="0.15">
      <c r="C396" s="2"/>
      <c r="G396" s="3"/>
      <c r="H396" s="3"/>
      <c r="I396" s="3"/>
      <c r="J396" s="3"/>
      <c r="K396" s="3"/>
    </row>
    <row r="397" spans="3:11" ht="15.75" customHeight="1" x14ac:dyDescent="0.15">
      <c r="C397" s="2"/>
      <c r="G397" s="3"/>
      <c r="H397" s="3"/>
      <c r="I397" s="3"/>
      <c r="J397" s="3"/>
      <c r="K397" s="3"/>
    </row>
    <row r="398" spans="3:11" ht="15.75" customHeight="1" x14ac:dyDescent="0.15">
      <c r="C398" s="2"/>
      <c r="G398" s="3"/>
      <c r="H398" s="3"/>
      <c r="I398" s="3"/>
      <c r="J398" s="3"/>
      <c r="K398" s="3"/>
    </row>
    <row r="399" spans="3:11" ht="15.75" customHeight="1" x14ac:dyDescent="0.15">
      <c r="C399" s="2"/>
      <c r="G399" s="3"/>
      <c r="H399" s="3"/>
      <c r="I399" s="3"/>
      <c r="J399" s="3"/>
      <c r="K399" s="3"/>
    </row>
    <row r="400" spans="3:11" ht="15.75" customHeight="1" x14ac:dyDescent="0.15">
      <c r="C400" s="2"/>
      <c r="G400" s="3"/>
      <c r="H400" s="3"/>
      <c r="I400" s="3"/>
      <c r="J400" s="3"/>
      <c r="K400" s="3"/>
    </row>
    <row r="401" spans="3:11" ht="15.75" customHeight="1" x14ac:dyDescent="0.15">
      <c r="C401" s="2"/>
      <c r="G401" s="3"/>
      <c r="H401" s="3"/>
      <c r="I401" s="3"/>
      <c r="J401" s="3"/>
      <c r="K401" s="3"/>
    </row>
    <row r="402" spans="3:11" ht="15.75" customHeight="1" x14ac:dyDescent="0.15">
      <c r="C402" s="2"/>
      <c r="G402" s="3"/>
      <c r="H402" s="3"/>
      <c r="I402" s="3"/>
      <c r="J402" s="3"/>
      <c r="K402" s="3"/>
    </row>
    <row r="403" spans="3:11" ht="15.75" customHeight="1" x14ac:dyDescent="0.15">
      <c r="C403" s="2"/>
      <c r="G403" s="3"/>
      <c r="H403" s="3"/>
      <c r="I403" s="3"/>
      <c r="J403" s="3"/>
      <c r="K403" s="3"/>
    </row>
    <row r="404" spans="3:11" ht="15.75" customHeight="1" x14ac:dyDescent="0.15">
      <c r="C404" s="2"/>
      <c r="G404" s="3"/>
      <c r="H404" s="3"/>
      <c r="I404" s="3"/>
      <c r="J404" s="3"/>
      <c r="K404" s="3"/>
    </row>
    <row r="405" spans="3:11" ht="15.75" customHeight="1" x14ac:dyDescent="0.15">
      <c r="C405" s="2"/>
      <c r="G405" s="3"/>
      <c r="H405" s="3"/>
      <c r="I405" s="3"/>
      <c r="J405" s="3"/>
      <c r="K405" s="3"/>
    </row>
    <row r="406" spans="3:11" ht="15.75" customHeight="1" x14ac:dyDescent="0.15">
      <c r="C406" s="2"/>
      <c r="G406" s="3"/>
      <c r="H406" s="3"/>
      <c r="I406" s="3"/>
      <c r="J406" s="3"/>
      <c r="K406" s="3"/>
    </row>
    <row r="407" spans="3:11" ht="15.75" customHeight="1" x14ac:dyDescent="0.15">
      <c r="C407" s="2"/>
      <c r="G407" s="3"/>
      <c r="H407" s="3"/>
      <c r="I407" s="3"/>
      <c r="J407" s="3"/>
      <c r="K407" s="3"/>
    </row>
    <row r="408" spans="3:11" ht="15.75" customHeight="1" x14ac:dyDescent="0.15">
      <c r="C408" s="2"/>
      <c r="G408" s="3"/>
      <c r="H408" s="3"/>
      <c r="I408" s="3"/>
      <c r="J408" s="3"/>
      <c r="K408" s="3"/>
    </row>
    <row r="409" spans="3:11" ht="15.75" customHeight="1" x14ac:dyDescent="0.15">
      <c r="C409" s="2"/>
      <c r="G409" s="3"/>
      <c r="H409" s="3"/>
      <c r="I409" s="3"/>
      <c r="J409" s="3"/>
      <c r="K409" s="3"/>
    </row>
    <row r="410" spans="3:11" ht="15.75" customHeight="1" x14ac:dyDescent="0.15">
      <c r="C410" s="2"/>
      <c r="G410" s="3"/>
      <c r="H410" s="3"/>
      <c r="I410" s="3"/>
      <c r="J410" s="3"/>
      <c r="K410" s="3"/>
    </row>
    <row r="411" spans="3:11" ht="15.75" customHeight="1" x14ac:dyDescent="0.15">
      <c r="C411" s="2"/>
      <c r="G411" s="3"/>
      <c r="H411" s="3"/>
      <c r="I411" s="3"/>
      <c r="J411" s="3"/>
      <c r="K411" s="3"/>
    </row>
    <row r="412" spans="3:11" ht="15.75" customHeight="1" x14ac:dyDescent="0.15">
      <c r="C412" s="2"/>
      <c r="G412" s="3"/>
      <c r="H412" s="3"/>
      <c r="I412" s="3"/>
      <c r="J412" s="3"/>
      <c r="K412" s="3"/>
    </row>
    <row r="413" spans="3:11" ht="15.75" customHeight="1" x14ac:dyDescent="0.15">
      <c r="C413" s="2"/>
      <c r="G413" s="3"/>
      <c r="H413" s="3"/>
      <c r="I413" s="3"/>
      <c r="J413" s="3"/>
      <c r="K413" s="3"/>
    </row>
    <row r="414" spans="3:11" ht="15.75" customHeight="1" x14ac:dyDescent="0.15">
      <c r="C414" s="2"/>
      <c r="G414" s="3"/>
      <c r="H414" s="3"/>
      <c r="I414" s="3"/>
      <c r="J414" s="3"/>
      <c r="K414" s="3"/>
    </row>
    <row r="415" spans="3:11" ht="15.75" customHeight="1" x14ac:dyDescent="0.15">
      <c r="C415" s="2"/>
      <c r="G415" s="3"/>
      <c r="H415" s="3"/>
      <c r="I415" s="3"/>
      <c r="J415" s="3"/>
      <c r="K415" s="3"/>
    </row>
    <row r="416" spans="3:11" ht="15.75" customHeight="1" x14ac:dyDescent="0.15">
      <c r="C416" s="2"/>
      <c r="G416" s="3"/>
      <c r="H416" s="3"/>
      <c r="I416" s="3"/>
      <c r="J416" s="3"/>
      <c r="K416" s="3"/>
    </row>
    <row r="417" spans="3:11" ht="15.75" customHeight="1" x14ac:dyDescent="0.15">
      <c r="C417" s="2"/>
      <c r="G417" s="3"/>
      <c r="H417" s="3"/>
      <c r="I417" s="3"/>
      <c r="J417" s="3"/>
      <c r="K417" s="3"/>
    </row>
    <row r="418" spans="3:11" ht="15.75" customHeight="1" x14ac:dyDescent="0.15">
      <c r="C418" s="2"/>
      <c r="G418" s="3"/>
      <c r="H418" s="3"/>
      <c r="I418" s="3"/>
      <c r="J418" s="3"/>
      <c r="K418" s="3"/>
    </row>
    <row r="419" spans="3:11" ht="15.75" customHeight="1" x14ac:dyDescent="0.15">
      <c r="C419" s="2"/>
      <c r="G419" s="3"/>
      <c r="H419" s="3"/>
      <c r="I419" s="3"/>
      <c r="J419" s="3"/>
      <c r="K419" s="3"/>
    </row>
    <row r="420" spans="3:11" ht="15.75" customHeight="1" x14ac:dyDescent="0.15">
      <c r="C420" s="2"/>
      <c r="G420" s="3"/>
      <c r="H420" s="3"/>
      <c r="I420" s="3"/>
      <c r="J420" s="3"/>
      <c r="K420" s="3"/>
    </row>
    <row r="421" spans="3:11" ht="15.75" customHeight="1" x14ac:dyDescent="0.15">
      <c r="C421" s="2"/>
      <c r="G421" s="3"/>
      <c r="H421" s="3"/>
      <c r="I421" s="3"/>
      <c r="J421" s="3"/>
      <c r="K421" s="3"/>
    </row>
    <row r="422" spans="3:11" ht="15.75" customHeight="1" x14ac:dyDescent="0.15">
      <c r="C422" s="2"/>
      <c r="G422" s="3"/>
      <c r="H422" s="3"/>
      <c r="I422" s="3"/>
      <c r="J422" s="3"/>
      <c r="K422" s="3"/>
    </row>
    <row r="423" spans="3:11" ht="15.75" customHeight="1" x14ac:dyDescent="0.15">
      <c r="C423" s="2"/>
      <c r="G423" s="3"/>
      <c r="H423" s="3"/>
      <c r="I423" s="3"/>
      <c r="J423" s="3"/>
      <c r="K423" s="3"/>
    </row>
    <row r="424" spans="3:11" ht="15.75" customHeight="1" x14ac:dyDescent="0.15">
      <c r="C424" s="2"/>
      <c r="G424" s="3"/>
      <c r="H424" s="3"/>
      <c r="I424" s="3"/>
      <c r="J424" s="3"/>
      <c r="K424" s="3"/>
    </row>
    <row r="425" spans="3:11" ht="15.75" customHeight="1" x14ac:dyDescent="0.15">
      <c r="C425" s="2"/>
      <c r="G425" s="3"/>
      <c r="H425" s="3"/>
      <c r="I425" s="3"/>
      <c r="J425" s="3"/>
      <c r="K425" s="3"/>
    </row>
    <row r="426" spans="3:11" ht="15.75" customHeight="1" x14ac:dyDescent="0.15">
      <c r="C426" s="2"/>
      <c r="G426" s="3"/>
      <c r="H426" s="3"/>
      <c r="I426" s="3"/>
      <c r="J426" s="3"/>
      <c r="K426" s="3"/>
    </row>
    <row r="427" spans="3:11" ht="15.75" customHeight="1" x14ac:dyDescent="0.15">
      <c r="C427" s="2"/>
      <c r="G427" s="3"/>
      <c r="H427" s="3"/>
      <c r="I427" s="3"/>
      <c r="J427" s="3"/>
      <c r="K427" s="3"/>
    </row>
    <row r="428" spans="3:11" ht="15.75" customHeight="1" x14ac:dyDescent="0.15">
      <c r="C428" s="2"/>
      <c r="G428" s="3"/>
      <c r="H428" s="3"/>
      <c r="I428" s="3"/>
      <c r="J428" s="3"/>
      <c r="K428" s="3"/>
    </row>
    <row r="429" spans="3:11" ht="15.75" customHeight="1" x14ac:dyDescent="0.15">
      <c r="C429" s="2"/>
      <c r="G429" s="3"/>
      <c r="H429" s="3"/>
      <c r="I429" s="3"/>
      <c r="J429" s="3"/>
      <c r="K429" s="3"/>
    </row>
    <row r="430" spans="3:11" ht="15.75" customHeight="1" x14ac:dyDescent="0.15">
      <c r="C430" s="2"/>
      <c r="G430" s="3"/>
      <c r="H430" s="3"/>
      <c r="I430" s="3"/>
      <c r="J430" s="3"/>
      <c r="K430" s="3"/>
    </row>
    <row r="431" spans="3:11" ht="15.75" customHeight="1" x14ac:dyDescent="0.15">
      <c r="C431" s="2"/>
      <c r="G431" s="3"/>
      <c r="H431" s="3"/>
      <c r="I431" s="3"/>
      <c r="J431" s="3"/>
      <c r="K431" s="3"/>
    </row>
    <row r="432" spans="3:11" ht="15.75" customHeight="1" x14ac:dyDescent="0.15">
      <c r="C432" s="2"/>
      <c r="G432" s="3"/>
      <c r="H432" s="3"/>
      <c r="I432" s="3"/>
      <c r="J432" s="3"/>
      <c r="K432" s="3"/>
    </row>
    <row r="433" spans="3:11" ht="15.75" customHeight="1" x14ac:dyDescent="0.15">
      <c r="C433" s="2"/>
      <c r="G433" s="3"/>
      <c r="H433" s="3"/>
      <c r="I433" s="3"/>
      <c r="J433" s="3"/>
      <c r="K433" s="3"/>
    </row>
    <row r="434" spans="3:11" ht="15.75" customHeight="1" x14ac:dyDescent="0.15">
      <c r="C434" s="2"/>
      <c r="G434" s="3"/>
      <c r="H434" s="3"/>
      <c r="I434" s="3"/>
      <c r="J434" s="3"/>
      <c r="K434" s="3"/>
    </row>
    <row r="435" spans="3:11" ht="15.75" customHeight="1" x14ac:dyDescent="0.15">
      <c r="C435" s="2"/>
      <c r="G435" s="3"/>
      <c r="H435" s="3"/>
      <c r="I435" s="3"/>
      <c r="J435" s="3"/>
      <c r="K435" s="3"/>
    </row>
    <row r="436" spans="3:11" ht="15.75" customHeight="1" x14ac:dyDescent="0.15">
      <c r="C436" s="2"/>
      <c r="G436" s="3"/>
      <c r="H436" s="3"/>
      <c r="I436" s="3"/>
      <c r="J436" s="3"/>
      <c r="K436" s="3"/>
    </row>
    <row r="437" spans="3:11" ht="15.75" customHeight="1" x14ac:dyDescent="0.15">
      <c r="C437" s="2"/>
      <c r="G437" s="3"/>
      <c r="H437" s="3"/>
      <c r="I437" s="3"/>
      <c r="J437" s="3"/>
      <c r="K437" s="3"/>
    </row>
    <row r="438" spans="3:11" ht="15.75" customHeight="1" x14ac:dyDescent="0.15">
      <c r="C438" s="2"/>
      <c r="G438" s="3"/>
      <c r="H438" s="3"/>
      <c r="I438" s="3"/>
      <c r="J438" s="3"/>
      <c r="K438" s="3"/>
    </row>
    <row r="439" spans="3:11" ht="15.75" customHeight="1" x14ac:dyDescent="0.15">
      <c r="C439" s="2"/>
      <c r="G439" s="3"/>
      <c r="H439" s="3"/>
      <c r="I439" s="3"/>
      <c r="J439" s="3"/>
      <c r="K439" s="3"/>
    </row>
    <row r="440" spans="3:11" ht="15.75" customHeight="1" x14ac:dyDescent="0.15">
      <c r="C440" s="2"/>
      <c r="G440" s="3"/>
      <c r="H440" s="3"/>
      <c r="I440" s="3"/>
      <c r="J440" s="3"/>
      <c r="K440" s="3"/>
    </row>
    <row r="441" spans="3:11" ht="15.75" customHeight="1" x14ac:dyDescent="0.15">
      <c r="C441" s="2"/>
      <c r="G441" s="3"/>
      <c r="H441" s="3"/>
      <c r="I441" s="3"/>
      <c r="J441" s="3"/>
      <c r="K441" s="3"/>
    </row>
    <row r="442" spans="3:11" ht="15.75" customHeight="1" x14ac:dyDescent="0.15">
      <c r="C442" s="2"/>
      <c r="G442" s="3"/>
      <c r="H442" s="3"/>
      <c r="I442" s="3"/>
      <c r="J442" s="3"/>
      <c r="K442" s="3"/>
    </row>
    <row r="443" spans="3:11" ht="15.75" customHeight="1" x14ac:dyDescent="0.15">
      <c r="C443" s="2"/>
      <c r="G443" s="3"/>
      <c r="H443" s="3"/>
      <c r="I443" s="3"/>
      <c r="J443" s="3"/>
      <c r="K443" s="3"/>
    </row>
    <row r="444" spans="3:11" ht="15.75" customHeight="1" x14ac:dyDescent="0.15">
      <c r="C444" s="2"/>
      <c r="G444" s="3"/>
      <c r="H444" s="3"/>
      <c r="I444" s="3"/>
      <c r="J444" s="3"/>
      <c r="K444" s="3"/>
    </row>
    <row r="445" spans="3:11" ht="15.75" customHeight="1" x14ac:dyDescent="0.15">
      <c r="C445" s="2"/>
      <c r="G445" s="3"/>
      <c r="H445" s="3"/>
      <c r="I445" s="3"/>
      <c r="J445" s="3"/>
      <c r="K445" s="3"/>
    </row>
    <row r="446" spans="3:11" ht="15.75" customHeight="1" x14ac:dyDescent="0.15">
      <c r="C446" s="2"/>
      <c r="G446" s="3"/>
      <c r="H446" s="3"/>
      <c r="I446" s="3"/>
      <c r="J446" s="3"/>
      <c r="K446" s="3"/>
    </row>
    <row r="447" spans="3:11" ht="15.75" customHeight="1" x14ac:dyDescent="0.15">
      <c r="C447" s="2"/>
      <c r="G447" s="3"/>
      <c r="H447" s="3"/>
      <c r="I447" s="3"/>
      <c r="J447" s="3"/>
      <c r="K447" s="3"/>
    </row>
    <row r="448" spans="3:11" ht="15.75" customHeight="1" x14ac:dyDescent="0.15">
      <c r="C448" s="2"/>
      <c r="G448" s="3"/>
      <c r="H448" s="3"/>
      <c r="I448" s="3"/>
      <c r="J448" s="3"/>
      <c r="K448" s="3"/>
    </row>
    <row r="449" spans="3:11" ht="15.75" customHeight="1" x14ac:dyDescent="0.15">
      <c r="C449" s="2"/>
      <c r="G449" s="3"/>
      <c r="H449" s="3"/>
      <c r="I449" s="3"/>
      <c r="J449" s="3"/>
      <c r="K449" s="3"/>
    </row>
    <row r="450" spans="3:11" ht="15.75" customHeight="1" x14ac:dyDescent="0.15">
      <c r="C450" s="2"/>
      <c r="G450" s="3"/>
      <c r="H450" s="3"/>
      <c r="I450" s="3"/>
      <c r="J450" s="3"/>
      <c r="K450" s="3"/>
    </row>
    <row r="451" spans="3:11" ht="15.75" customHeight="1" x14ac:dyDescent="0.15">
      <c r="C451" s="2"/>
      <c r="G451" s="3"/>
      <c r="H451" s="3"/>
      <c r="I451" s="3"/>
      <c r="J451" s="3"/>
      <c r="K451" s="3"/>
    </row>
    <row r="452" spans="3:11" ht="15.75" customHeight="1" x14ac:dyDescent="0.15">
      <c r="C452" s="2"/>
      <c r="G452" s="3"/>
      <c r="H452" s="3"/>
      <c r="I452" s="3"/>
      <c r="J452" s="3"/>
      <c r="K452" s="3"/>
    </row>
    <row r="453" spans="3:11" ht="15.75" customHeight="1" x14ac:dyDescent="0.15">
      <c r="C453" s="2"/>
      <c r="G453" s="3"/>
      <c r="H453" s="3"/>
      <c r="I453" s="3"/>
      <c r="J453" s="3"/>
      <c r="K453" s="3"/>
    </row>
    <row r="454" spans="3:11" ht="15.75" customHeight="1" x14ac:dyDescent="0.15">
      <c r="C454" s="2"/>
      <c r="G454" s="3"/>
      <c r="H454" s="3"/>
      <c r="I454" s="3"/>
      <c r="J454" s="3"/>
      <c r="K454" s="3"/>
    </row>
    <row r="455" spans="3:11" ht="15.75" customHeight="1" x14ac:dyDescent="0.15">
      <c r="C455" s="2"/>
      <c r="G455" s="3"/>
      <c r="H455" s="3"/>
      <c r="I455" s="3"/>
      <c r="J455" s="3"/>
      <c r="K455" s="3"/>
    </row>
    <row r="456" spans="3:11" ht="15.75" customHeight="1" x14ac:dyDescent="0.15">
      <c r="C456" s="2"/>
      <c r="G456" s="3"/>
      <c r="H456" s="3"/>
      <c r="I456" s="3"/>
      <c r="J456" s="3"/>
      <c r="K456" s="3"/>
    </row>
    <row r="457" spans="3:11" ht="15.75" customHeight="1" x14ac:dyDescent="0.15">
      <c r="C457" s="2"/>
      <c r="G457" s="3"/>
      <c r="H457" s="3"/>
      <c r="I457" s="3"/>
      <c r="J457" s="3"/>
      <c r="K457" s="3"/>
    </row>
    <row r="458" spans="3:11" ht="15.75" customHeight="1" x14ac:dyDescent="0.15">
      <c r="C458" s="2"/>
      <c r="G458" s="3"/>
      <c r="H458" s="3"/>
      <c r="I458" s="3"/>
      <c r="J458" s="3"/>
      <c r="K458" s="3"/>
    </row>
    <row r="459" spans="3:11" ht="15.75" customHeight="1" x14ac:dyDescent="0.15">
      <c r="C459" s="2"/>
      <c r="G459" s="3"/>
      <c r="H459" s="3"/>
      <c r="I459" s="3"/>
      <c r="J459" s="3"/>
      <c r="K459" s="3"/>
    </row>
    <row r="460" spans="3:11" ht="15.75" customHeight="1" x14ac:dyDescent="0.15">
      <c r="C460" s="2"/>
      <c r="G460" s="3"/>
      <c r="H460" s="3"/>
      <c r="I460" s="3"/>
      <c r="J460" s="3"/>
      <c r="K460" s="3"/>
    </row>
    <row r="461" spans="3:11" ht="15.75" customHeight="1" x14ac:dyDescent="0.15">
      <c r="C461" s="2"/>
      <c r="G461" s="3"/>
      <c r="H461" s="3"/>
      <c r="I461" s="3"/>
      <c r="J461" s="3"/>
      <c r="K461" s="3"/>
    </row>
    <row r="462" spans="3:11" ht="15.75" customHeight="1" x14ac:dyDescent="0.15">
      <c r="C462" s="2"/>
      <c r="G462" s="3"/>
      <c r="H462" s="3"/>
      <c r="I462" s="3"/>
      <c r="J462" s="3"/>
      <c r="K462" s="3"/>
    </row>
    <row r="463" spans="3:11" ht="15.75" customHeight="1" x14ac:dyDescent="0.15">
      <c r="C463" s="2"/>
      <c r="G463" s="3"/>
      <c r="H463" s="3"/>
      <c r="I463" s="3"/>
      <c r="J463" s="3"/>
      <c r="K463" s="3"/>
    </row>
    <row r="464" spans="3:11" ht="15.75" customHeight="1" x14ac:dyDescent="0.15">
      <c r="C464" s="2"/>
      <c r="G464" s="3"/>
      <c r="H464" s="3"/>
      <c r="I464" s="3"/>
      <c r="J464" s="3"/>
      <c r="K464" s="3"/>
    </row>
    <row r="465" spans="3:11" ht="15.75" customHeight="1" x14ac:dyDescent="0.15">
      <c r="C465" s="2"/>
      <c r="G465" s="3"/>
      <c r="H465" s="3"/>
      <c r="I465" s="3"/>
      <c r="J465" s="3"/>
      <c r="K465" s="3"/>
    </row>
    <row r="466" spans="3:11" ht="15.75" customHeight="1" x14ac:dyDescent="0.15">
      <c r="C466" s="2"/>
      <c r="G466" s="3"/>
      <c r="H466" s="3"/>
      <c r="I466" s="3"/>
      <c r="J466" s="3"/>
      <c r="K466" s="3"/>
    </row>
    <row r="467" spans="3:11" ht="15.75" customHeight="1" x14ac:dyDescent="0.15">
      <c r="C467" s="2"/>
      <c r="G467" s="3"/>
      <c r="H467" s="3"/>
      <c r="I467" s="3"/>
      <c r="J467" s="3"/>
      <c r="K467" s="3"/>
    </row>
    <row r="468" spans="3:11" ht="15.75" customHeight="1" x14ac:dyDescent="0.15">
      <c r="C468" s="2"/>
      <c r="G468" s="3"/>
      <c r="H468" s="3"/>
      <c r="I468" s="3"/>
      <c r="J468" s="3"/>
      <c r="K468" s="3"/>
    </row>
    <row r="469" spans="3:11" ht="15.75" customHeight="1" x14ac:dyDescent="0.15">
      <c r="C469" s="2"/>
      <c r="G469" s="3"/>
      <c r="H469" s="3"/>
      <c r="I469" s="3"/>
      <c r="J469" s="3"/>
      <c r="K469" s="3"/>
    </row>
    <row r="470" spans="3:11" ht="15.75" customHeight="1" x14ac:dyDescent="0.15">
      <c r="C470" s="2"/>
      <c r="G470" s="3"/>
      <c r="H470" s="3"/>
      <c r="I470" s="3"/>
      <c r="J470" s="3"/>
      <c r="K470" s="3"/>
    </row>
    <row r="471" spans="3:11" ht="15.75" customHeight="1" x14ac:dyDescent="0.15">
      <c r="C471" s="2"/>
      <c r="G471" s="3"/>
      <c r="H471" s="3"/>
      <c r="I471" s="3"/>
      <c r="J471" s="3"/>
      <c r="K471" s="3"/>
    </row>
    <row r="472" spans="3:11" ht="15.75" customHeight="1" x14ac:dyDescent="0.15">
      <c r="C472" s="2"/>
      <c r="G472" s="3"/>
      <c r="H472" s="3"/>
      <c r="I472" s="3"/>
      <c r="J472" s="3"/>
      <c r="K472" s="3"/>
    </row>
    <row r="473" spans="3:11" ht="15.75" customHeight="1" x14ac:dyDescent="0.15">
      <c r="C473" s="2"/>
      <c r="G473" s="3"/>
      <c r="H473" s="3"/>
      <c r="I473" s="3"/>
      <c r="J473" s="3"/>
      <c r="K473" s="3"/>
    </row>
    <row r="474" spans="3:11" ht="15.75" customHeight="1" x14ac:dyDescent="0.15">
      <c r="C474" s="2"/>
      <c r="G474" s="3"/>
      <c r="H474" s="3"/>
      <c r="I474" s="3"/>
      <c r="J474" s="3"/>
      <c r="K474" s="3"/>
    </row>
    <row r="475" spans="3:11" ht="15.75" customHeight="1" x14ac:dyDescent="0.15">
      <c r="C475" s="2"/>
      <c r="G475" s="3"/>
      <c r="H475" s="3"/>
      <c r="I475" s="3"/>
      <c r="J475" s="3"/>
      <c r="K475" s="3"/>
    </row>
    <row r="476" spans="3:11" ht="15.75" customHeight="1" x14ac:dyDescent="0.15">
      <c r="C476" s="2"/>
      <c r="G476" s="3"/>
      <c r="H476" s="3"/>
      <c r="I476" s="3"/>
      <c r="J476" s="3"/>
      <c r="K476" s="3"/>
    </row>
    <row r="477" spans="3:11" ht="15.75" customHeight="1" x14ac:dyDescent="0.15">
      <c r="C477" s="2"/>
      <c r="G477" s="3"/>
      <c r="H477" s="3"/>
      <c r="I477" s="3"/>
      <c r="J477" s="3"/>
      <c r="K477" s="3"/>
    </row>
    <row r="478" spans="3:11" ht="15.75" customHeight="1" x14ac:dyDescent="0.15">
      <c r="C478" s="2"/>
      <c r="G478" s="3"/>
      <c r="H478" s="3"/>
      <c r="I478" s="3"/>
      <c r="J478" s="3"/>
      <c r="K478" s="3"/>
    </row>
    <row r="479" spans="3:11" ht="15.75" customHeight="1" x14ac:dyDescent="0.15">
      <c r="C479" s="2"/>
      <c r="G479" s="3"/>
      <c r="H479" s="3"/>
      <c r="I479" s="3"/>
      <c r="J479" s="3"/>
      <c r="K479" s="3"/>
    </row>
    <row r="480" spans="3:11" ht="15.75" customHeight="1" x14ac:dyDescent="0.15">
      <c r="C480" s="2"/>
      <c r="G480" s="3"/>
      <c r="H480" s="3"/>
      <c r="I480" s="3"/>
      <c r="J480" s="3"/>
      <c r="K480" s="3"/>
    </row>
    <row r="481" spans="3:11" ht="15.75" customHeight="1" x14ac:dyDescent="0.15">
      <c r="C481" s="2"/>
      <c r="G481" s="3"/>
      <c r="H481" s="3"/>
      <c r="I481" s="3"/>
      <c r="J481" s="3"/>
      <c r="K481" s="3"/>
    </row>
    <row r="482" spans="3:11" ht="15.75" customHeight="1" x14ac:dyDescent="0.15">
      <c r="C482" s="2"/>
      <c r="G482" s="3"/>
      <c r="H482" s="3"/>
      <c r="I482" s="3"/>
      <c r="J482" s="3"/>
      <c r="K482" s="3"/>
    </row>
    <row r="483" spans="3:11" ht="15.75" customHeight="1" x14ac:dyDescent="0.15">
      <c r="C483" s="2"/>
      <c r="G483" s="3"/>
      <c r="H483" s="3"/>
      <c r="I483" s="3"/>
      <c r="J483" s="3"/>
      <c r="K483" s="3"/>
    </row>
    <row r="484" spans="3:11" ht="15.75" customHeight="1" x14ac:dyDescent="0.15">
      <c r="C484" s="2"/>
      <c r="G484" s="3"/>
      <c r="H484" s="3"/>
      <c r="I484" s="3"/>
      <c r="J484" s="3"/>
      <c r="K484" s="3"/>
    </row>
    <row r="485" spans="3:11" ht="15.75" customHeight="1" x14ac:dyDescent="0.15">
      <c r="C485" s="2"/>
      <c r="G485" s="3"/>
      <c r="H485" s="3"/>
      <c r="I485" s="3"/>
      <c r="J485" s="3"/>
      <c r="K485" s="3"/>
    </row>
    <row r="486" spans="3:11" ht="15.75" customHeight="1" x14ac:dyDescent="0.15">
      <c r="C486" s="2"/>
      <c r="G486" s="3"/>
      <c r="H486" s="3"/>
      <c r="I486" s="3"/>
      <c r="J486" s="3"/>
      <c r="K486" s="3"/>
    </row>
    <row r="487" spans="3:11" ht="15.75" customHeight="1" x14ac:dyDescent="0.15">
      <c r="C487" s="2"/>
      <c r="G487" s="3"/>
      <c r="H487" s="3"/>
      <c r="I487" s="3"/>
      <c r="J487" s="3"/>
      <c r="K487" s="3"/>
    </row>
    <row r="488" spans="3:11" ht="15.75" customHeight="1" x14ac:dyDescent="0.15">
      <c r="C488" s="2"/>
      <c r="G488" s="3"/>
      <c r="H488" s="3"/>
      <c r="I488" s="3"/>
      <c r="J488" s="3"/>
      <c r="K488" s="3"/>
    </row>
    <row r="489" spans="3:11" ht="15.75" customHeight="1" x14ac:dyDescent="0.15">
      <c r="C489" s="2"/>
      <c r="G489" s="3"/>
      <c r="H489" s="3"/>
      <c r="I489" s="3"/>
      <c r="J489" s="3"/>
      <c r="K489" s="3"/>
    </row>
    <row r="490" spans="3:11" ht="15.75" customHeight="1" x14ac:dyDescent="0.15">
      <c r="C490" s="2"/>
      <c r="G490" s="3"/>
      <c r="H490" s="3"/>
      <c r="I490" s="3"/>
      <c r="J490" s="3"/>
      <c r="K490" s="3"/>
    </row>
    <row r="491" spans="3:11" ht="15.75" customHeight="1" x14ac:dyDescent="0.15">
      <c r="C491" s="2"/>
      <c r="G491" s="3"/>
      <c r="H491" s="3"/>
      <c r="I491" s="3"/>
      <c r="J491" s="3"/>
      <c r="K491" s="3"/>
    </row>
    <row r="492" spans="3:11" ht="15.75" customHeight="1" x14ac:dyDescent="0.15">
      <c r="C492" s="2"/>
      <c r="G492" s="3"/>
      <c r="H492" s="3"/>
      <c r="I492" s="3"/>
      <c r="J492" s="3"/>
      <c r="K492" s="3"/>
    </row>
    <row r="493" spans="3:11" ht="15.75" customHeight="1" x14ac:dyDescent="0.15">
      <c r="C493" s="2"/>
      <c r="G493" s="3"/>
      <c r="H493" s="3"/>
      <c r="I493" s="3"/>
      <c r="J493" s="3"/>
      <c r="K493" s="3"/>
    </row>
    <row r="494" spans="3:11" ht="15.75" customHeight="1" x14ac:dyDescent="0.15">
      <c r="C494" s="2"/>
      <c r="G494" s="3"/>
      <c r="H494" s="3"/>
      <c r="I494" s="3"/>
      <c r="J494" s="3"/>
      <c r="K494" s="3"/>
    </row>
    <row r="495" spans="3:11" ht="15.75" customHeight="1" x14ac:dyDescent="0.15">
      <c r="C495" s="2"/>
      <c r="G495" s="3"/>
      <c r="H495" s="3"/>
      <c r="I495" s="3"/>
      <c r="J495" s="3"/>
      <c r="K495" s="3"/>
    </row>
    <row r="496" spans="3:11" ht="15.75" customHeight="1" x14ac:dyDescent="0.15">
      <c r="C496" s="2"/>
      <c r="G496" s="3"/>
      <c r="H496" s="3"/>
      <c r="I496" s="3"/>
      <c r="J496" s="3"/>
      <c r="K496" s="3"/>
    </row>
    <row r="497" spans="3:11" ht="15.75" customHeight="1" x14ac:dyDescent="0.15">
      <c r="C497" s="2"/>
      <c r="G497" s="3"/>
      <c r="H497" s="3"/>
      <c r="I497" s="3"/>
      <c r="J497" s="3"/>
      <c r="K497" s="3"/>
    </row>
    <row r="498" spans="3:11" ht="15.75" customHeight="1" x14ac:dyDescent="0.15">
      <c r="C498" s="2"/>
      <c r="G498" s="3"/>
      <c r="H498" s="3"/>
      <c r="I498" s="3"/>
      <c r="J498" s="3"/>
      <c r="K498" s="3"/>
    </row>
    <row r="499" spans="3:11" ht="15.75" customHeight="1" x14ac:dyDescent="0.15">
      <c r="C499" s="2"/>
      <c r="G499" s="3"/>
      <c r="H499" s="3"/>
      <c r="I499" s="3"/>
      <c r="J499" s="3"/>
      <c r="K499" s="3"/>
    </row>
    <row r="500" spans="3:11" ht="15.75" customHeight="1" x14ac:dyDescent="0.15">
      <c r="C500" s="2"/>
      <c r="G500" s="3"/>
      <c r="H500" s="3"/>
      <c r="I500" s="3"/>
      <c r="J500" s="3"/>
      <c r="K500" s="3"/>
    </row>
    <row r="501" spans="3:11" ht="15.75" customHeight="1" x14ac:dyDescent="0.15">
      <c r="C501" s="2"/>
      <c r="G501" s="3"/>
      <c r="H501" s="3"/>
      <c r="I501" s="3"/>
      <c r="J501" s="3"/>
      <c r="K501" s="3"/>
    </row>
    <row r="502" spans="3:11" ht="15.75" customHeight="1" x14ac:dyDescent="0.15">
      <c r="C502" s="2"/>
      <c r="G502" s="3"/>
      <c r="H502" s="3"/>
      <c r="I502" s="3"/>
      <c r="J502" s="3"/>
      <c r="K502" s="3"/>
    </row>
    <row r="503" spans="3:11" ht="15.75" customHeight="1" x14ac:dyDescent="0.15">
      <c r="C503" s="2"/>
      <c r="G503" s="3"/>
      <c r="H503" s="3"/>
      <c r="I503" s="3"/>
      <c r="J503" s="3"/>
      <c r="K503" s="3"/>
    </row>
    <row r="504" spans="3:11" ht="15.75" customHeight="1" x14ac:dyDescent="0.15">
      <c r="C504" s="2"/>
      <c r="G504" s="3"/>
      <c r="H504" s="3"/>
      <c r="I504" s="3"/>
      <c r="J504" s="3"/>
      <c r="K504" s="3"/>
    </row>
    <row r="505" spans="3:11" ht="15.75" customHeight="1" x14ac:dyDescent="0.15">
      <c r="C505" s="2"/>
      <c r="G505" s="3"/>
      <c r="H505" s="3"/>
      <c r="I505" s="3"/>
      <c r="J505" s="3"/>
      <c r="K505" s="3"/>
    </row>
    <row r="506" spans="3:11" ht="15.75" customHeight="1" x14ac:dyDescent="0.15">
      <c r="C506" s="2"/>
      <c r="G506" s="3"/>
      <c r="H506" s="3"/>
      <c r="I506" s="3"/>
      <c r="J506" s="3"/>
      <c r="K506" s="3"/>
    </row>
    <row r="507" spans="3:11" ht="15.75" customHeight="1" x14ac:dyDescent="0.15">
      <c r="C507" s="2"/>
      <c r="G507" s="3"/>
      <c r="H507" s="3"/>
      <c r="I507" s="3"/>
      <c r="J507" s="3"/>
      <c r="K507" s="3"/>
    </row>
    <row r="508" spans="3:11" ht="15.75" customHeight="1" x14ac:dyDescent="0.15">
      <c r="C508" s="2"/>
      <c r="G508" s="3"/>
      <c r="H508" s="3"/>
      <c r="I508" s="3"/>
      <c r="J508" s="3"/>
      <c r="K508" s="3"/>
    </row>
    <row r="509" spans="3:11" ht="15.75" customHeight="1" x14ac:dyDescent="0.15">
      <c r="C509" s="2"/>
      <c r="G509" s="3"/>
      <c r="H509" s="3"/>
      <c r="I509" s="3"/>
      <c r="J509" s="3"/>
      <c r="K509" s="3"/>
    </row>
    <row r="510" spans="3:11" ht="15.75" customHeight="1" x14ac:dyDescent="0.15">
      <c r="C510" s="2"/>
      <c r="G510" s="3"/>
      <c r="H510" s="3"/>
      <c r="I510" s="3"/>
      <c r="J510" s="3"/>
      <c r="K510" s="3"/>
    </row>
    <row r="511" spans="3:11" ht="15.75" customHeight="1" x14ac:dyDescent="0.15">
      <c r="C511" s="2"/>
      <c r="G511" s="3"/>
      <c r="H511" s="3"/>
      <c r="I511" s="3"/>
      <c r="J511" s="3"/>
      <c r="K511" s="3"/>
    </row>
    <row r="512" spans="3:11" ht="15.75" customHeight="1" x14ac:dyDescent="0.15">
      <c r="C512" s="2"/>
      <c r="G512" s="3"/>
      <c r="H512" s="3"/>
      <c r="I512" s="3"/>
      <c r="J512" s="3"/>
      <c r="K512" s="3"/>
    </row>
    <row r="513" spans="3:11" ht="15.75" customHeight="1" x14ac:dyDescent="0.15">
      <c r="C513" s="2"/>
      <c r="G513" s="3"/>
      <c r="H513" s="3"/>
      <c r="I513" s="3"/>
      <c r="J513" s="3"/>
      <c r="K513" s="3"/>
    </row>
    <row r="514" spans="3:11" ht="15.75" customHeight="1" x14ac:dyDescent="0.15">
      <c r="C514" s="2"/>
      <c r="G514" s="3"/>
      <c r="H514" s="3"/>
      <c r="I514" s="3"/>
      <c r="J514" s="3"/>
      <c r="K514" s="3"/>
    </row>
    <row r="515" spans="3:11" ht="15.75" customHeight="1" x14ac:dyDescent="0.15">
      <c r="C515" s="2"/>
      <c r="G515" s="3"/>
      <c r="H515" s="3"/>
      <c r="I515" s="3"/>
      <c r="J515" s="3"/>
      <c r="K515" s="3"/>
    </row>
    <row r="516" spans="3:11" ht="15.75" customHeight="1" x14ac:dyDescent="0.15">
      <c r="C516" s="2"/>
      <c r="G516" s="3"/>
      <c r="H516" s="3"/>
      <c r="I516" s="3"/>
      <c r="J516" s="3"/>
      <c r="K516" s="3"/>
    </row>
    <row r="517" spans="3:11" ht="15.75" customHeight="1" x14ac:dyDescent="0.15">
      <c r="C517" s="2"/>
      <c r="G517" s="3"/>
      <c r="H517" s="3"/>
      <c r="I517" s="3"/>
      <c r="J517" s="3"/>
      <c r="K517" s="3"/>
    </row>
    <row r="518" spans="3:11" ht="15.75" customHeight="1" x14ac:dyDescent="0.15">
      <c r="C518" s="2"/>
      <c r="G518" s="3"/>
      <c r="H518" s="3"/>
      <c r="I518" s="3"/>
      <c r="J518" s="3"/>
      <c r="K518" s="3"/>
    </row>
    <row r="519" spans="3:11" ht="15.75" customHeight="1" x14ac:dyDescent="0.15">
      <c r="C519" s="2"/>
      <c r="G519" s="3"/>
      <c r="H519" s="3"/>
      <c r="I519" s="3"/>
      <c r="J519" s="3"/>
      <c r="K519" s="3"/>
    </row>
    <row r="520" spans="3:11" ht="15.75" customHeight="1" x14ac:dyDescent="0.15">
      <c r="C520" s="2"/>
      <c r="G520" s="3"/>
      <c r="H520" s="3"/>
      <c r="I520" s="3"/>
      <c r="J520" s="3"/>
      <c r="K520" s="3"/>
    </row>
    <row r="521" spans="3:11" ht="15.75" customHeight="1" x14ac:dyDescent="0.15">
      <c r="C521" s="2"/>
      <c r="G521" s="3"/>
      <c r="H521" s="3"/>
      <c r="I521" s="3"/>
      <c r="J521" s="3"/>
      <c r="K521" s="3"/>
    </row>
    <row r="522" spans="3:11" ht="15.75" customHeight="1" x14ac:dyDescent="0.15">
      <c r="C522" s="2"/>
      <c r="G522" s="3"/>
      <c r="H522" s="3"/>
      <c r="I522" s="3"/>
      <c r="J522" s="3"/>
      <c r="K522" s="3"/>
    </row>
    <row r="523" spans="3:11" ht="15.75" customHeight="1" x14ac:dyDescent="0.15">
      <c r="C523" s="2"/>
      <c r="G523" s="3"/>
      <c r="H523" s="3"/>
      <c r="I523" s="3"/>
      <c r="J523" s="3"/>
      <c r="K523" s="3"/>
    </row>
    <row r="524" spans="3:11" ht="15.75" customHeight="1" x14ac:dyDescent="0.15">
      <c r="C524" s="2"/>
      <c r="G524" s="3"/>
      <c r="H524" s="3"/>
      <c r="I524" s="3"/>
      <c r="J524" s="3"/>
      <c r="K524" s="3"/>
    </row>
    <row r="525" spans="3:11" ht="15.75" customHeight="1" x14ac:dyDescent="0.15">
      <c r="C525" s="2"/>
      <c r="G525" s="3"/>
      <c r="H525" s="3"/>
      <c r="I525" s="3"/>
      <c r="J525" s="3"/>
      <c r="K525" s="3"/>
    </row>
    <row r="526" spans="3:11" ht="15.75" customHeight="1" x14ac:dyDescent="0.15">
      <c r="C526" s="2"/>
      <c r="G526" s="3"/>
      <c r="H526" s="3"/>
      <c r="I526" s="3"/>
      <c r="J526" s="3"/>
      <c r="K526" s="3"/>
    </row>
    <row r="527" spans="3:11" ht="15.75" customHeight="1" x14ac:dyDescent="0.15">
      <c r="C527" s="2"/>
      <c r="G527" s="3"/>
      <c r="H527" s="3"/>
      <c r="I527" s="3"/>
      <c r="J527" s="3"/>
      <c r="K527" s="3"/>
    </row>
    <row r="528" spans="3:11" ht="15.75" customHeight="1" x14ac:dyDescent="0.15">
      <c r="C528" s="2"/>
      <c r="G528" s="3"/>
      <c r="H528" s="3"/>
      <c r="I528" s="3"/>
      <c r="J528" s="3"/>
      <c r="K528" s="3"/>
    </row>
    <row r="529" spans="3:11" ht="15.75" customHeight="1" x14ac:dyDescent="0.15">
      <c r="C529" s="2"/>
      <c r="G529" s="3"/>
      <c r="H529" s="3"/>
      <c r="I529" s="3"/>
      <c r="J529" s="3"/>
      <c r="K529" s="3"/>
    </row>
    <row r="530" spans="3:11" ht="15.75" customHeight="1" x14ac:dyDescent="0.15">
      <c r="C530" s="2"/>
      <c r="G530" s="3"/>
      <c r="H530" s="3"/>
      <c r="I530" s="3"/>
      <c r="J530" s="3"/>
      <c r="K530" s="3"/>
    </row>
    <row r="531" spans="3:11" ht="15.75" customHeight="1" x14ac:dyDescent="0.15">
      <c r="C531" s="2"/>
      <c r="G531" s="3"/>
      <c r="H531" s="3"/>
      <c r="I531" s="3"/>
      <c r="J531" s="3"/>
      <c r="K531" s="3"/>
    </row>
    <row r="532" spans="3:11" ht="15.75" customHeight="1" x14ac:dyDescent="0.15">
      <c r="C532" s="2"/>
      <c r="G532" s="3"/>
      <c r="H532" s="3"/>
      <c r="I532" s="3"/>
      <c r="J532" s="3"/>
      <c r="K532" s="3"/>
    </row>
    <row r="533" spans="3:11" ht="15.75" customHeight="1" x14ac:dyDescent="0.15">
      <c r="C533" s="2"/>
      <c r="G533" s="3"/>
      <c r="H533" s="3"/>
      <c r="I533" s="3"/>
      <c r="J533" s="3"/>
      <c r="K533" s="3"/>
    </row>
    <row r="534" spans="3:11" ht="15.75" customHeight="1" x14ac:dyDescent="0.15">
      <c r="C534" s="2"/>
      <c r="G534" s="3"/>
      <c r="H534" s="3"/>
      <c r="I534" s="3"/>
      <c r="J534" s="3"/>
      <c r="K534" s="3"/>
    </row>
    <row r="535" spans="3:11" ht="15.75" customHeight="1" x14ac:dyDescent="0.15">
      <c r="C535" s="2"/>
      <c r="G535" s="3"/>
      <c r="H535" s="3"/>
      <c r="I535" s="3"/>
      <c r="J535" s="3"/>
      <c r="K535" s="3"/>
    </row>
    <row r="536" spans="3:11" ht="15.75" customHeight="1" x14ac:dyDescent="0.15">
      <c r="C536" s="2"/>
      <c r="G536" s="3"/>
      <c r="H536" s="3"/>
      <c r="I536" s="3"/>
      <c r="J536" s="3"/>
      <c r="K536" s="3"/>
    </row>
    <row r="537" spans="3:11" ht="15.75" customHeight="1" x14ac:dyDescent="0.15">
      <c r="C537" s="2"/>
      <c r="G537" s="3"/>
      <c r="H537" s="3"/>
      <c r="I537" s="3"/>
      <c r="J537" s="3"/>
      <c r="K537" s="3"/>
    </row>
    <row r="538" spans="3:11" ht="15.75" customHeight="1" x14ac:dyDescent="0.15">
      <c r="C538" s="2"/>
      <c r="G538" s="3"/>
      <c r="H538" s="3"/>
      <c r="I538" s="3"/>
      <c r="J538" s="3"/>
      <c r="K538" s="3"/>
    </row>
    <row r="539" spans="3:11" ht="15.75" customHeight="1" x14ac:dyDescent="0.15">
      <c r="C539" s="2"/>
      <c r="G539" s="3"/>
      <c r="H539" s="3"/>
      <c r="I539" s="3"/>
      <c r="J539" s="3"/>
      <c r="K539" s="3"/>
    </row>
    <row r="540" spans="3:11" ht="15.75" customHeight="1" x14ac:dyDescent="0.15">
      <c r="C540" s="2"/>
      <c r="G540" s="3"/>
      <c r="H540" s="3"/>
      <c r="I540" s="3"/>
      <c r="J540" s="3"/>
      <c r="K540" s="3"/>
    </row>
    <row r="541" spans="3:11" ht="15.75" customHeight="1" x14ac:dyDescent="0.15">
      <c r="C541" s="2"/>
      <c r="G541" s="3"/>
      <c r="H541" s="3"/>
      <c r="I541" s="3"/>
      <c r="J541" s="3"/>
      <c r="K541" s="3"/>
    </row>
    <row r="542" spans="3:11" ht="15.75" customHeight="1" x14ac:dyDescent="0.15">
      <c r="C542" s="2"/>
      <c r="G542" s="3"/>
      <c r="H542" s="3"/>
      <c r="I542" s="3"/>
      <c r="J542" s="3"/>
      <c r="K542" s="3"/>
    </row>
    <row r="543" spans="3:11" ht="15.75" customHeight="1" x14ac:dyDescent="0.15">
      <c r="C543" s="2"/>
      <c r="G543" s="3"/>
      <c r="H543" s="3"/>
      <c r="I543" s="3"/>
      <c r="J543" s="3"/>
      <c r="K543" s="3"/>
    </row>
    <row r="544" spans="3:11" ht="15.75" customHeight="1" x14ac:dyDescent="0.15">
      <c r="C544" s="2"/>
      <c r="G544" s="3"/>
      <c r="H544" s="3"/>
      <c r="I544" s="3"/>
      <c r="J544" s="3"/>
      <c r="K544" s="3"/>
    </row>
    <row r="545" spans="3:11" ht="15.75" customHeight="1" x14ac:dyDescent="0.15">
      <c r="C545" s="2"/>
      <c r="G545" s="3"/>
      <c r="H545" s="3"/>
      <c r="I545" s="3"/>
      <c r="J545" s="3"/>
      <c r="K545" s="3"/>
    </row>
    <row r="546" spans="3:11" ht="15.75" customHeight="1" x14ac:dyDescent="0.15">
      <c r="C546" s="2"/>
      <c r="G546" s="3"/>
      <c r="H546" s="3"/>
      <c r="I546" s="3"/>
      <c r="J546" s="3"/>
      <c r="K546" s="3"/>
    </row>
    <row r="547" spans="3:11" ht="15.75" customHeight="1" x14ac:dyDescent="0.15">
      <c r="C547" s="2"/>
      <c r="G547" s="3"/>
      <c r="H547" s="3"/>
      <c r="I547" s="3"/>
      <c r="J547" s="3"/>
      <c r="K547" s="3"/>
    </row>
    <row r="548" spans="3:11" ht="15.75" customHeight="1" x14ac:dyDescent="0.15">
      <c r="C548" s="2"/>
      <c r="G548" s="3"/>
      <c r="H548" s="3"/>
      <c r="I548" s="3"/>
      <c r="J548" s="3"/>
      <c r="K548" s="3"/>
    </row>
    <row r="549" spans="3:11" ht="15.75" customHeight="1" x14ac:dyDescent="0.15">
      <c r="C549" s="2"/>
      <c r="G549" s="3"/>
      <c r="H549" s="3"/>
      <c r="I549" s="3"/>
      <c r="J549" s="3"/>
      <c r="K549" s="3"/>
    </row>
    <row r="550" spans="3:11" ht="15.75" customHeight="1" x14ac:dyDescent="0.15">
      <c r="C550" s="2"/>
      <c r="G550" s="3"/>
      <c r="H550" s="3"/>
      <c r="I550" s="3"/>
      <c r="J550" s="3"/>
      <c r="K550" s="3"/>
    </row>
    <row r="551" spans="3:11" ht="15.75" customHeight="1" x14ac:dyDescent="0.15">
      <c r="C551" s="2"/>
      <c r="G551" s="3"/>
      <c r="H551" s="3"/>
      <c r="I551" s="3"/>
      <c r="J551" s="3"/>
      <c r="K551" s="3"/>
    </row>
    <row r="552" spans="3:11" ht="15.75" customHeight="1" x14ac:dyDescent="0.15">
      <c r="C552" s="2"/>
      <c r="G552" s="3"/>
      <c r="H552" s="3"/>
      <c r="I552" s="3"/>
      <c r="J552" s="3"/>
      <c r="K552" s="3"/>
    </row>
    <row r="553" spans="3:11" ht="15.75" customHeight="1" x14ac:dyDescent="0.15">
      <c r="C553" s="2"/>
      <c r="G553" s="3"/>
      <c r="H553" s="3"/>
      <c r="I553" s="3"/>
      <c r="J553" s="3"/>
      <c r="K553" s="3"/>
    </row>
    <row r="554" spans="3:11" ht="15.75" customHeight="1" x14ac:dyDescent="0.15">
      <c r="C554" s="2"/>
      <c r="G554" s="3"/>
      <c r="H554" s="3"/>
      <c r="I554" s="3"/>
      <c r="J554" s="3"/>
      <c r="K554" s="3"/>
    </row>
    <row r="555" spans="3:11" ht="15.75" customHeight="1" x14ac:dyDescent="0.15">
      <c r="C555" s="2"/>
      <c r="G555" s="3"/>
      <c r="H555" s="3"/>
      <c r="I555" s="3"/>
      <c r="J555" s="3"/>
      <c r="K555" s="3"/>
    </row>
    <row r="556" spans="3:11" ht="15.75" customHeight="1" x14ac:dyDescent="0.15">
      <c r="C556" s="2"/>
      <c r="G556" s="3"/>
      <c r="H556" s="3"/>
      <c r="I556" s="3"/>
      <c r="J556" s="3"/>
      <c r="K556" s="3"/>
    </row>
    <row r="557" spans="3:11" ht="15.75" customHeight="1" x14ac:dyDescent="0.15">
      <c r="C557" s="2"/>
      <c r="G557" s="3"/>
      <c r="H557" s="3"/>
      <c r="I557" s="3"/>
      <c r="J557" s="3"/>
      <c r="K557" s="3"/>
    </row>
    <row r="558" spans="3:11" ht="15.75" customHeight="1" x14ac:dyDescent="0.15">
      <c r="C558" s="2"/>
      <c r="G558" s="3"/>
      <c r="H558" s="3"/>
      <c r="I558" s="3"/>
      <c r="J558" s="3"/>
      <c r="K558" s="3"/>
    </row>
    <row r="559" spans="3:11" ht="15.75" customHeight="1" x14ac:dyDescent="0.15">
      <c r="C559" s="2"/>
      <c r="G559" s="3"/>
      <c r="H559" s="3"/>
      <c r="I559" s="3"/>
      <c r="J559" s="3"/>
      <c r="K559" s="3"/>
    </row>
    <row r="560" spans="3:11" ht="15.75" customHeight="1" x14ac:dyDescent="0.15">
      <c r="C560" s="2"/>
      <c r="G560" s="3"/>
      <c r="H560" s="3"/>
      <c r="I560" s="3"/>
      <c r="J560" s="3"/>
      <c r="K560" s="3"/>
    </row>
    <row r="561" spans="3:11" ht="15.75" customHeight="1" x14ac:dyDescent="0.15">
      <c r="C561" s="2"/>
      <c r="G561" s="3"/>
      <c r="H561" s="3"/>
      <c r="I561" s="3"/>
      <c r="J561" s="3"/>
      <c r="K561" s="3"/>
    </row>
    <row r="562" spans="3:11" ht="15.75" customHeight="1" x14ac:dyDescent="0.15">
      <c r="C562" s="2"/>
      <c r="G562" s="3"/>
      <c r="H562" s="3"/>
      <c r="I562" s="3"/>
      <c r="J562" s="3"/>
      <c r="K562" s="3"/>
    </row>
    <row r="563" spans="3:11" ht="15.75" customHeight="1" x14ac:dyDescent="0.15">
      <c r="C563" s="2"/>
      <c r="G563" s="3"/>
      <c r="H563" s="3"/>
      <c r="I563" s="3"/>
      <c r="J563" s="3"/>
      <c r="K563" s="3"/>
    </row>
    <row r="564" spans="3:11" ht="15.75" customHeight="1" x14ac:dyDescent="0.15">
      <c r="C564" s="2"/>
      <c r="G564" s="3"/>
      <c r="H564" s="3"/>
      <c r="I564" s="3"/>
      <c r="J564" s="3"/>
      <c r="K564" s="3"/>
    </row>
    <row r="565" spans="3:11" ht="15.75" customHeight="1" x14ac:dyDescent="0.15">
      <c r="C565" s="2"/>
      <c r="G565" s="3"/>
      <c r="H565" s="3"/>
      <c r="I565" s="3"/>
      <c r="J565" s="3"/>
      <c r="K565" s="3"/>
    </row>
    <row r="566" spans="3:11" ht="15.75" customHeight="1" x14ac:dyDescent="0.15">
      <c r="C566" s="2"/>
      <c r="G566" s="3"/>
      <c r="H566" s="3"/>
      <c r="I566" s="3"/>
      <c r="J566" s="3"/>
      <c r="K566" s="3"/>
    </row>
    <row r="567" spans="3:11" ht="15.75" customHeight="1" x14ac:dyDescent="0.15">
      <c r="C567" s="2"/>
      <c r="G567" s="3"/>
      <c r="H567" s="3"/>
      <c r="I567" s="3"/>
      <c r="J567" s="3"/>
      <c r="K567" s="3"/>
    </row>
    <row r="568" spans="3:11" ht="15.75" customHeight="1" x14ac:dyDescent="0.15">
      <c r="C568" s="2"/>
      <c r="G568" s="3"/>
      <c r="H568" s="3"/>
      <c r="I568" s="3"/>
      <c r="J568" s="3"/>
      <c r="K568" s="3"/>
    </row>
    <row r="569" spans="3:11" ht="15.75" customHeight="1" x14ac:dyDescent="0.15">
      <c r="C569" s="2"/>
      <c r="G569" s="3"/>
      <c r="H569" s="3"/>
      <c r="I569" s="3"/>
      <c r="J569" s="3"/>
      <c r="K569" s="3"/>
    </row>
    <row r="570" spans="3:11" ht="15.75" customHeight="1" x14ac:dyDescent="0.15">
      <c r="C570" s="2"/>
      <c r="G570" s="3"/>
      <c r="H570" s="3"/>
      <c r="I570" s="3"/>
      <c r="J570" s="3"/>
      <c r="K570" s="3"/>
    </row>
    <row r="571" spans="3:11" ht="15.75" customHeight="1" x14ac:dyDescent="0.15">
      <c r="C571" s="2"/>
      <c r="G571" s="3"/>
      <c r="H571" s="3"/>
      <c r="I571" s="3"/>
      <c r="J571" s="3"/>
      <c r="K571" s="3"/>
    </row>
    <row r="572" spans="3:11" ht="15.75" customHeight="1" x14ac:dyDescent="0.15">
      <c r="C572" s="2"/>
      <c r="G572" s="3"/>
      <c r="H572" s="3"/>
      <c r="I572" s="3"/>
      <c r="J572" s="3"/>
      <c r="K572" s="3"/>
    </row>
    <row r="573" spans="3:11" ht="15.75" customHeight="1" x14ac:dyDescent="0.15">
      <c r="C573" s="2"/>
      <c r="G573" s="3"/>
      <c r="H573" s="3"/>
      <c r="I573" s="3"/>
      <c r="J573" s="3"/>
      <c r="K573" s="3"/>
    </row>
    <row r="574" spans="3:11" ht="15.75" customHeight="1" x14ac:dyDescent="0.15">
      <c r="C574" s="2"/>
      <c r="G574" s="3"/>
      <c r="H574" s="3"/>
      <c r="I574" s="3"/>
      <c r="J574" s="3"/>
      <c r="K574" s="3"/>
    </row>
    <row r="575" spans="3:11" ht="15.75" customHeight="1" x14ac:dyDescent="0.15">
      <c r="C575" s="2"/>
      <c r="G575" s="3"/>
      <c r="H575" s="3"/>
      <c r="I575" s="3"/>
      <c r="J575" s="3"/>
      <c r="K575" s="3"/>
    </row>
    <row r="576" spans="3:11" ht="15.75" customHeight="1" x14ac:dyDescent="0.15">
      <c r="C576" s="2"/>
      <c r="G576" s="3"/>
      <c r="H576" s="3"/>
      <c r="I576" s="3"/>
      <c r="J576" s="3"/>
      <c r="K576" s="3"/>
    </row>
    <row r="577" spans="3:11" ht="15.75" customHeight="1" x14ac:dyDescent="0.15">
      <c r="C577" s="2"/>
      <c r="G577" s="3"/>
      <c r="H577" s="3"/>
      <c r="I577" s="3"/>
      <c r="J577" s="3"/>
      <c r="K577" s="3"/>
    </row>
    <row r="578" spans="3:11" ht="15.75" customHeight="1" x14ac:dyDescent="0.15">
      <c r="C578" s="2"/>
      <c r="G578" s="3"/>
      <c r="H578" s="3"/>
      <c r="I578" s="3"/>
      <c r="J578" s="3"/>
      <c r="K578" s="3"/>
    </row>
    <row r="579" spans="3:11" ht="15.75" customHeight="1" x14ac:dyDescent="0.15">
      <c r="C579" s="2"/>
      <c r="G579" s="3"/>
      <c r="H579" s="3"/>
      <c r="I579" s="3"/>
      <c r="J579" s="3"/>
      <c r="K579" s="3"/>
    </row>
    <row r="580" spans="3:11" ht="15.75" customHeight="1" x14ac:dyDescent="0.15">
      <c r="C580" s="2"/>
      <c r="G580" s="3"/>
      <c r="H580" s="3"/>
      <c r="I580" s="3"/>
      <c r="J580" s="3"/>
      <c r="K580" s="3"/>
    </row>
    <row r="581" spans="3:11" ht="15.75" customHeight="1" x14ac:dyDescent="0.15">
      <c r="C581" s="2"/>
      <c r="G581" s="3"/>
      <c r="H581" s="3"/>
      <c r="I581" s="3"/>
      <c r="J581" s="3"/>
      <c r="K581" s="3"/>
    </row>
    <row r="582" spans="3:11" ht="15.75" customHeight="1" x14ac:dyDescent="0.15">
      <c r="C582" s="2"/>
      <c r="G582" s="3"/>
      <c r="H582" s="3"/>
      <c r="I582" s="3"/>
      <c r="J582" s="3"/>
      <c r="K582" s="3"/>
    </row>
    <row r="583" spans="3:11" ht="15.75" customHeight="1" x14ac:dyDescent="0.15">
      <c r="C583" s="2"/>
      <c r="G583" s="3"/>
      <c r="H583" s="3"/>
      <c r="I583" s="3"/>
      <c r="J583" s="3"/>
      <c r="K583" s="3"/>
    </row>
    <row r="584" spans="3:11" ht="15.75" customHeight="1" x14ac:dyDescent="0.15">
      <c r="C584" s="2"/>
      <c r="G584" s="3"/>
      <c r="H584" s="3"/>
      <c r="I584" s="3"/>
      <c r="J584" s="3"/>
      <c r="K584" s="3"/>
    </row>
    <row r="585" spans="3:11" ht="15.75" customHeight="1" x14ac:dyDescent="0.15">
      <c r="C585" s="2"/>
      <c r="G585" s="3"/>
      <c r="H585" s="3"/>
      <c r="I585" s="3"/>
      <c r="J585" s="3"/>
      <c r="K585" s="3"/>
    </row>
    <row r="586" spans="3:11" ht="15.75" customHeight="1" x14ac:dyDescent="0.15">
      <c r="C586" s="2"/>
      <c r="G586" s="3"/>
      <c r="H586" s="3"/>
      <c r="I586" s="3"/>
      <c r="J586" s="3"/>
      <c r="K586" s="3"/>
    </row>
    <row r="587" spans="3:11" ht="15.75" customHeight="1" x14ac:dyDescent="0.15">
      <c r="C587" s="2"/>
      <c r="G587" s="3"/>
      <c r="H587" s="3"/>
      <c r="I587" s="3"/>
      <c r="J587" s="3"/>
      <c r="K587" s="3"/>
    </row>
    <row r="588" spans="3:11" ht="15.75" customHeight="1" x14ac:dyDescent="0.15">
      <c r="C588" s="2"/>
      <c r="G588" s="3"/>
      <c r="H588" s="3"/>
      <c r="I588" s="3"/>
      <c r="J588" s="3"/>
      <c r="K588" s="3"/>
    </row>
    <row r="589" spans="3:11" ht="15.75" customHeight="1" x14ac:dyDescent="0.15">
      <c r="C589" s="2"/>
      <c r="G589" s="3"/>
      <c r="H589" s="3"/>
      <c r="I589" s="3"/>
      <c r="J589" s="3"/>
      <c r="K589" s="3"/>
    </row>
    <row r="590" spans="3:11" ht="15.75" customHeight="1" x14ac:dyDescent="0.15">
      <c r="C590" s="2"/>
      <c r="G590" s="3"/>
      <c r="H590" s="3"/>
      <c r="I590" s="3"/>
      <c r="J590" s="3"/>
      <c r="K590" s="3"/>
    </row>
    <row r="591" spans="3:11" ht="15.75" customHeight="1" x14ac:dyDescent="0.15">
      <c r="C591" s="2"/>
      <c r="G591" s="3"/>
      <c r="H591" s="3"/>
      <c r="I591" s="3"/>
      <c r="J591" s="3"/>
      <c r="K591" s="3"/>
    </row>
    <row r="592" spans="3:11" ht="15.75" customHeight="1" x14ac:dyDescent="0.15">
      <c r="C592" s="2"/>
      <c r="G592" s="3"/>
      <c r="H592" s="3"/>
      <c r="I592" s="3"/>
      <c r="J592" s="3"/>
      <c r="K592" s="3"/>
    </row>
    <row r="593" spans="3:11" ht="15.75" customHeight="1" x14ac:dyDescent="0.15">
      <c r="C593" s="2"/>
      <c r="G593" s="3"/>
      <c r="H593" s="3"/>
      <c r="I593" s="3"/>
      <c r="J593" s="3"/>
      <c r="K593" s="3"/>
    </row>
    <row r="594" spans="3:11" ht="15.75" customHeight="1" x14ac:dyDescent="0.15">
      <c r="C594" s="2"/>
      <c r="G594" s="3"/>
      <c r="H594" s="3"/>
      <c r="I594" s="3"/>
      <c r="J594" s="3"/>
      <c r="K594" s="3"/>
    </row>
    <row r="595" spans="3:11" ht="15.75" customHeight="1" x14ac:dyDescent="0.15">
      <c r="C595" s="2"/>
      <c r="G595" s="3"/>
      <c r="H595" s="3"/>
      <c r="I595" s="3"/>
      <c r="J595" s="3"/>
      <c r="K595" s="3"/>
    </row>
    <row r="596" spans="3:11" ht="15.75" customHeight="1" x14ac:dyDescent="0.15">
      <c r="C596" s="2"/>
      <c r="G596" s="3"/>
      <c r="H596" s="3"/>
      <c r="I596" s="3"/>
      <c r="J596" s="3"/>
      <c r="K596" s="3"/>
    </row>
    <row r="597" spans="3:11" ht="15.75" customHeight="1" x14ac:dyDescent="0.15">
      <c r="C597" s="2"/>
      <c r="G597" s="3"/>
      <c r="H597" s="3"/>
      <c r="I597" s="3"/>
      <c r="J597" s="3"/>
      <c r="K597" s="3"/>
    </row>
    <row r="598" spans="3:11" ht="15.75" customHeight="1" x14ac:dyDescent="0.15">
      <c r="C598" s="2"/>
      <c r="G598" s="3"/>
      <c r="H598" s="3"/>
      <c r="I598" s="3"/>
      <c r="J598" s="3"/>
      <c r="K598" s="3"/>
    </row>
    <row r="599" spans="3:11" ht="15.75" customHeight="1" x14ac:dyDescent="0.15">
      <c r="C599" s="2"/>
      <c r="G599" s="3"/>
      <c r="H599" s="3"/>
      <c r="I599" s="3"/>
      <c r="J599" s="3"/>
      <c r="K599" s="3"/>
    </row>
    <row r="600" spans="3:11" ht="15.75" customHeight="1" x14ac:dyDescent="0.15">
      <c r="C600" s="2"/>
      <c r="G600" s="3"/>
      <c r="H600" s="3"/>
      <c r="I600" s="3"/>
      <c r="J600" s="3"/>
      <c r="K600" s="3"/>
    </row>
    <row r="601" spans="3:11" ht="15.75" customHeight="1" x14ac:dyDescent="0.15">
      <c r="C601" s="2"/>
      <c r="G601" s="3"/>
      <c r="H601" s="3"/>
      <c r="I601" s="3"/>
      <c r="J601" s="3"/>
      <c r="K601" s="3"/>
    </row>
    <row r="602" spans="3:11" ht="15.75" customHeight="1" x14ac:dyDescent="0.15">
      <c r="C602" s="2"/>
      <c r="G602" s="3"/>
      <c r="H602" s="3"/>
      <c r="I602" s="3"/>
      <c r="J602" s="3"/>
      <c r="K602" s="3"/>
    </row>
    <row r="603" spans="3:11" ht="15.75" customHeight="1" x14ac:dyDescent="0.15">
      <c r="C603" s="2"/>
      <c r="G603" s="3"/>
      <c r="H603" s="3"/>
      <c r="I603" s="3"/>
      <c r="J603" s="3"/>
      <c r="K603" s="3"/>
    </row>
    <row r="604" spans="3:11" ht="15.75" customHeight="1" x14ac:dyDescent="0.15">
      <c r="C604" s="2"/>
      <c r="G604" s="3"/>
      <c r="H604" s="3"/>
      <c r="I604" s="3"/>
      <c r="J604" s="3"/>
      <c r="K604" s="3"/>
    </row>
    <row r="605" spans="3:11" ht="15.75" customHeight="1" x14ac:dyDescent="0.15">
      <c r="C605" s="2"/>
      <c r="G605" s="3"/>
      <c r="H605" s="3"/>
      <c r="I605" s="3"/>
      <c r="J605" s="3"/>
      <c r="K605" s="3"/>
    </row>
    <row r="606" spans="3:11" ht="15.75" customHeight="1" x14ac:dyDescent="0.15">
      <c r="C606" s="2"/>
      <c r="G606" s="3"/>
      <c r="H606" s="3"/>
      <c r="I606" s="3"/>
      <c r="J606" s="3"/>
      <c r="K606" s="3"/>
    </row>
    <row r="607" spans="3:11" ht="15.75" customHeight="1" x14ac:dyDescent="0.15">
      <c r="C607" s="2"/>
      <c r="G607" s="3"/>
      <c r="H607" s="3"/>
      <c r="I607" s="3"/>
      <c r="J607" s="3"/>
      <c r="K607" s="3"/>
    </row>
    <row r="608" spans="3:11" ht="15.75" customHeight="1" x14ac:dyDescent="0.15">
      <c r="C608" s="2"/>
      <c r="G608" s="3"/>
      <c r="H608" s="3"/>
      <c r="I608" s="3"/>
      <c r="J608" s="3"/>
      <c r="K608" s="3"/>
    </row>
    <row r="609" spans="3:11" ht="15.75" customHeight="1" x14ac:dyDescent="0.15">
      <c r="C609" s="2"/>
      <c r="G609" s="3"/>
      <c r="H609" s="3"/>
      <c r="I609" s="3"/>
      <c r="J609" s="3"/>
      <c r="K609" s="3"/>
    </row>
    <row r="610" spans="3:11" ht="15.75" customHeight="1" x14ac:dyDescent="0.15">
      <c r="C610" s="2"/>
      <c r="G610" s="3"/>
      <c r="H610" s="3"/>
      <c r="I610" s="3"/>
      <c r="J610" s="3"/>
      <c r="K610" s="3"/>
    </row>
    <row r="611" spans="3:11" ht="15.75" customHeight="1" x14ac:dyDescent="0.15">
      <c r="C611" s="2"/>
      <c r="G611" s="3"/>
      <c r="H611" s="3"/>
      <c r="I611" s="3"/>
      <c r="J611" s="3"/>
      <c r="K611" s="3"/>
    </row>
    <row r="612" spans="3:11" ht="15.75" customHeight="1" x14ac:dyDescent="0.15">
      <c r="C612" s="2"/>
      <c r="G612" s="3"/>
      <c r="H612" s="3"/>
      <c r="I612" s="3"/>
      <c r="J612" s="3"/>
      <c r="K612" s="3"/>
    </row>
    <row r="613" spans="3:11" ht="15.75" customHeight="1" x14ac:dyDescent="0.15">
      <c r="C613" s="2"/>
      <c r="G613" s="3"/>
      <c r="H613" s="3"/>
      <c r="I613" s="3"/>
      <c r="J613" s="3"/>
      <c r="K613" s="3"/>
    </row>
    <row r="614" spans="3:11" ht="15.75" customHeight="1" x14ac:dyDescent="0.15">
      <c r="C614" s="2"/>
      <c r="G614" s="3"/>
      <c r="H614" s="3"/>
      <c r="I614" s="3"/>
      <c r="J614" s="3"/>
      <c r="K614" s="3"/>
    </row>
    <row r="615" spans="3:11" ht="15.75" customHeight="1" x14ac:dyDescent="0.15">
      <c r="C615" s="2"/>
      <c r="G615" s="3"/>
      <c r="H615" s="3"/>
      <c r="I615" s="3"/>
      <c r="J615" s="3"/>
      <c r="K615" s="3"/>
    </row>
    <row r="616" spans="3:11" ht="15.75" customHeight="1" x14ac:dyDescent="0.15">
      <c r="C616" s="2"/>
      <c r="G616" s="3"/>
      <c r="H616" s="3"/>
      <c r="I616" s="3"/>
      <c r="J616" s="3"/>
      <c r="K616" s="3"/>
    </row>
    <row r="617" spans="3:11" ht="15.75" customHeight="1" x14ac:dyDescent="0.15">
      <c r="C617" s="2"/>
      <c r="G617" s="3"/>
      <c r="H617" s="3"/>
      <c r="I617" s="3"/>
      <c r="J617" s="3"/>
      <c r="K617" s="3"/>
    </row>
    <row r="618" spans="3:11" ht="15.75" customHeight="1" x14ac:dyDescent="0.15">
      <c r="C618" s="2"/>
      <c r="G618" s="3"/>
      <c r="H618" s="3"/>
      <c r="I618" s="3"/>
      <c r="J618" s="3"/>
      <c r="K618" s="3"/>
    </row>
    <row r="619" spans="3:11" ht="15.75" customHeight="1" x14ac:dyDescent="0.15">
      <c r="C619" s="2"/>
      <c r="G619" s="3"/>
      <c r="H619" s="3"/>
      <c r="I619" s="3"/>
      <c r="J619" s="3"/>
      <c r="K619" s="3"/>
    </row>
    <row r="620" spans="3:11" ht="15.75" customHeight="1" x14ac:dyDescent="0.15">
      <c r="C620" s="2"/>
      <c r="G620" s="3"/>
      <c r="H620" s="3"/>
      <c r="I620" s="3"/>
      <c r="J620" s="3"/>
      <c r="K620" s="3"/>
    </row>
    <row r="621" spans="3:11" ht="15.75" customHeight="1" x14ac:dyDescent="0.15">
      <c r="C621" s="2"/>
      <c r="G621" s="3"/>
      <c r="H621" s="3"/>
      <c r="I621" s="3"/>
      <c r="J621" s="3"/>
      <c r="K621" s="3"/>
    </row>
    <row r="622" spans="3:11" ht="15.75" customHeight="1" x14ac:dyDescent="0.15">
      <c r="C622" s="2"/>
      <c r="G622" s="3"/>
      <c r="H622" s="3"/>
      <c r="I622" s="3"/>
      <c r="J622" s="3"/>
      <c r="K622" s="3"/>
    </row>
    <row r="623" spans="3:11" ht="15.75" customHeight="1" x14ac:dyDescent="0.15">
      <c r="C623" s="2"/>
      <c r="G623" s="3"/>
      <c r="H623" s="3"/>
      <c r="I623" s="3"/>
      <c r="J623" s="3"/>
      <c r="K623" s="3"/>
    </row>
    <row r="624" spans="3:11" ht="15.75" customHeight="1" x14ac:dyDescent="0.15">
      <c r="C624" s="2"/>
      <c r="G624" s="3"/>
      <c r="H624" s="3"/>
      <c r="I624" s="3"/>
      <c r="J624" s="3"/>
      <c r="K624" s="3"/>
    </row>
    <row r="625" spans="3:11" ht="15.75" customHeight="1" x14ac:dyDescent="0.15">
      <c r="C625" s="2"/>
      <c r="G625" s="3"/>
      <c r="H625" s="3"/>
      <c r="I625" s="3"/>
      <c r="J625" s="3"/>
      <c r="K625" s="3"/>
    </row>
    <row r="626" spans="3:11" ht="15.75" customHeight="1" x14ac:dyDescent="0.15">
      <c r="C626" s="2"/>
      <c r="G626" s="3"/>
      <c r="H626" s="3"/>
      <c r="I626" s="3"/>
      <c r="J626" s="3"/>
      <c r="K626" s="3"/>
    </row>
    <row r="627" spans="3:11" ht="15.75" customHeight="1" x14ac:dyDescent="0.15">
      <c r="C627" s="2"/>
      <c r="G627" s="3"/>
      <c r="H627" s="3"/>
      <c r="I627" s="3"/>
      <c r="J627" s="3"/>
      <c r="K627" s="3"/>
    </row>
    <row r="628" spans="3:11" ht="15.75" customHeight="1" x14ac:dyDescent="0.15">
      <c r="C628" s="2"/>
      <c r="G628" s="3"/>
      <c r="H628" s="3"/>
      <c r="I628" s="3"/>
      <c r="J628" s="3"/>
      <c r="K628" s="3"/>
    </row>
    <row r="629" spans="3:11" ht="15.75" customHeight="1" x14ac:dyDescent="0.15">
      <c r="C629" s="2"/>
      <c r="G629" s="3"/>
      <c r="H629" s="3"/>
      <c r="I629" s="3"/>
      <c r="J629" s="3"/>
      <c r="K629" s="3"/>
    </row>
    <row r="630" spans="3:11" ht="15.75" customHeight="1" x14ac:dyDescent="0.15">
      <c r="C630" s="2"/>
      <c r="G630" s="3"/>
      <c r="H630" s="3"/>
      <c r="I630" s="3"/>
      <c r="J630" s="3"/>
      <c r="K630" s="3"/>
    </row>
    <row r="631" spans="3:11" ht="15.75" customHeight="1" x14ac:dyDescent="0.15">
      <c r="C631" s="2"/>
      <c r="G631" s="3"/>
      <c r="H631" s="3"/>
      <c r="I631" s="3"/>
      <c r="J631" s="3"/>
      <c r="K631" s="3"/>
    </row>
    <row r="632" spans="3:11" ht="15.75" customHeight="1" x14ac:dyDescent="0.15">
      <c r="C632" s="2"/>
      <c r="G632" s="3"/>
      <c r="H632" s="3"/>
      <c r="I632" s="3"/>
      <c r="J632" s="3"/>
      <c r="K632" s="3"/>
    </row>
    <row r="633" spans="3:11" ht="15.75" customHeight="1" x14ac:dyDescent="0.15">
      <c r="C633" s="2"/>
      <c r="G633" s="3"/>
      <c r="H633" s="3"/>
      <c r="I633" s="3"/>
      <c r="J633" s="3"/>
      <c r="K633" s="3"/>
    </row>
    <row r="634" spans="3:11" ht="15.75" customHeight="1" x14ac:dyDescent="0.15">
      <c r="C634" s="2"/>
      <c r="G634" s="3"/>
      <c r="H634" s="3"/>
      <c r="I634" s="3"/>
      <c r="J634" s="3"/>
      <c r="K634" s="3"/>
    </row>
    <row r="635" spans="3:11" ht="15.75" customHeight="1" x14ac:dyDescent="0.15">
      <c r="C635" s="2"/>
      <c r="G635" s="3"/>
      <c r="H635" s="3"/>
      <c r="I635" s="3"/>
      <c r="J635" s="3"/>
      <c r="K635" s="3"/>
    </row>
    <row r="636" spans="3:11" ht="15.75" customHeight="1" x14ac:dyDescent="0.15">
      <c r="C636" s="2"/>
      <c r="G636" s="3"/>
      <c r="H636" s="3"/>
      <c r="I636" s="3"/>
      <c r="J636" s="3"/>
      <c r="K636" s="3"/>
    </row>
    <row r="637" spans="3:11" ht="15.75" customHeight="1" x14ac:dyDescent="0.15">
      <c r="C637" s="2"/>
      <c r="G637" s="3"/>
      <c r="H637" s="3"/>
      <c r="I637" s="3"/>
      <c r="J637" s="3"/>
      <c r="K637" s="3"/>
    </row>
    <row r="638" spans="3:11" ht="15.75" customHeight="1" x14ac:dyDescent="0.15">
      <c r="C638" s="2"/>
      <c r="G638" s="3"/>
      <c r="H638" s="3"/>
      <c r="I638" s="3"/>
      <c r="J638" s="3"/>
      <c r="K638" s="3"/>
    </row>
    <row r="639" spans="3:11" ht="15.75" customHeight="1" x14ac:dyDescent="0.15">
      <c r="C639" s="2"/>
      <c r="G639" s="3"/>
      <c r="H639" s="3"/>
      <c r="I639" s="3"/>
      <c r="J639" s="3"/>
      <c r="K639" s="3"/>
    </row>
    <row r="640" spans="3:11" ht="15.75" customHeight="1" x14ac:dyDescent="0.15">
      <c r="C640" s="2"/>
      <c r="G640" s="3"/>
      <c r="H640" s="3"/>
      <c r="I640" s="3"/>
      <c r="J640" s="3"/>
      <c r="K640" s="3"/>
    </row>
    <row r="641" spans="3:11" ht="15.75" customHeight="1" x14ac:dyDescent="0.15">
      <c r="C641" s="2"/>
      <c r="G641" s="3"/>
      <c r="H641" s="3"/>
      <c r="I641" s="3"/>
      <c r="J641" s="3"/>
      <c r="K641" s="3"/>
    </row>
    <row r="642" spans="3:11" ht="15.75" customHeight="1" x14ac:dyDescent="0.15">
      <c r="C642" s="2"/>
      <c r="G642" s="3"/>
      <c r="H642" s="3"/>
      <c r="I642" s="3"/>
      <c r="J642" s="3"/>
      <c r="K642" s="3"/>
    </row>
    <row r="643" spans="3:11" ht="15.75" customHeight="1" x14ac:dyDescent="0.15">
      <c r="C643" s="2"/>
      <c r="G643" s="3"/>
      <c r="H643" s="3"/>
      <c r="I643" s="3"/>
      <c r="J643" s="3"/>
      <c r="K643" s="3"/>
    </row>
    <row r="644" spans="3:11" ht="15.75" customHeight="1" x14ac:dyDescent="0.15">
      <c r="C644" s="2"/>
      <c r="G644" s="3"/>
      <c r="H644" s="3"/>
      <c r="I644" s="3"/>
      <c r="J644" s="3"/>
      <c r="K644" s="3"/>
    </row>
    <row r="645" spans="3:11" ht="15.75" customHeight="1" x14ac:dyDescent="0.15">
      <c r="C645" s="2"/>
      <c r="G645" s="3"/>
      <c r="H645" s="3"/>
      <c r="I645" s="3"/>
      <c r="J645" s="3"/>
      <c r="K645" s="3"/>
    </row>
    <row r="646" spans="3:11" ht="15.75" customHeight="1" x14ac:dyDescent="0.15">
      <c r="C646" s="2"/>
      <c r="G646" s="3"/>
      <c r="H646" s="3"/>
      <c r="I646" s="3"/>
      <c r="J646" s="3"/>
      <c r="K646" s="3"/>
    </row>
    <row r="647" spans="3:11" ht="15.75" customHeight="1" x14ac:dyDescent="0.15">
      <c r="C647" s="2"/>
      <c r="G647" s="3"/>
      <c r="H647" s="3"/>
      <c r="I647" s="3"/>
      <c r="J647" s="3"/>
      <c r="K647" s="3"/>
    </row>
    <row r="648" spans="3:11" ht="15.75" customHeight="1" x14ac:dyDescent="0.15">
      <c r="C648" s="2"/>
      <c r="G648" s="3"/>
      <c r="H648" s="3"/>
      <c r="I648" s="3"/>
      <c r="J648" s="3"/>
      <c r="K648" s="3"/>
    </row>
    <row r="649" spans="3:11" ht="15.75" customHeight="1" x14ac:dyDescent="0.15">
      <c r="C649" s="2"/>
      <c r="G649" s="3"/>
      <c r="H649" s="3"/>
      <c r="I649" s="3"/>
      <c r="J649" s="3"/>
      <c r="K649" s="3"/>
    </row>
    <row r="650" spans="3:11" ht="15.75" customHeight="1" x14ac:dyDescent="0.15">
      <c r="C650" s="2"/>
      <c r="G650" s="3"/>
      <c r="H650" s="3"/>
      <c r="I650" s="3"/>
      <c r="J650" s="3"/>
      <c r="K650" s="3"/>
    </row>
    <row r="651" spans="3:11" ht="15.75" customHeight="1" x14ac:dyDescent="0.15">
      <c r="C651" s="2"/>
      <c r="G651" s="3"/>
      <c r="H651" s="3"/>
      <c r="I651" s="3"/>
      <c r="J651" s="3"/>
      <c r="K651" s="3"/>
    </row>
    <row r="652" spans="3:11" ht="15.75" customHeight="1" x14ac:dyDescent="0.15">
      <c r="C652" s="2"/>
      <c r="G652" s="3"/>
      <c r="H652" s="3"/>
      <c r="I652" s="3"/>
      <c r="J652" s="3"/>
      <c r="K652" s="3"/>
    </row>
    <row r="653" spans="3:11" ht="15.75" customHeight="1" x14ac:dyDescent="0.15">
      <c r="C653" s="2"/>
      <c r="G653" s="3"/>
      <c r="H653" s="3"/>
      <c r="I653" s="3"/>
      <c r="J653" s="3"/>
      <c r="K653" s="3"/>
    </row>
    <row r="654" spans="3:11" ht="15.75" customHeight="1" x14ac:dyDescent="0.15">
      <c r="C654" s="2"/>
      <c r="G654" s="3"/>
      <c r="H654" s="3"/>
      <c r="I654" s="3"/>
      <c r="J654" s="3"/>
      <c r="K654" s="3"/>
    </row>
    <row r="655" spans="3:11" ht="15.75" customHeight="1" x14ac:dyDescent="0.15">
      <c r="C655" s="2"/>
      <c r="G655" s="3"/>
      <c r="H655" s="3"/>
      <c r="I655" s="3"/>
      <c r="J655" s="3"/>
      <c r="K655" s="3"/>
    </row>
    <row r="656" spans="3:11" ht="15.75" customHeight="1" x14ac:dyDescent="0.15">
      <c r="C656" s="2"/>
      <c r="G656" s="3"/>
      <c r="H656" s="3"/>
      <c r="I656" s="3"/>
      <c r="J656" s="3"/>
      <c r="K656" s="3"/>
    </row>
    <row r="657" spans="3:11" ht="15.75" customHeight="1" x14ac:dyDescent="0.15">
      <c r="C657" s="2"/>
      <c r="G657" s="3"/>
      <c r="H657" s="3"/>
      <c r="I657" s="3"/>
      <c r="J657" s="3"/>
      <c r="K657" s="3"/>
    </row>
    <row r="658" spans="3:11" ht="15.75" customHeight="1" x14ac:dyDescent="0.15">
      <c r="C658" s="2"/>
      <c r="G658" s="3"/>
      <c r="H658" s="3"/>
      <c r="I658" s="3"/>
      <c r="J658" s="3"/>
      <c r="K658" s="3"/>
    </row>
    <row r="659" spans="3:11" ht="15.75" customHeight="1" x14ac:dyDescent="0.15">
      <c r="C659" s="2"/>
      <c r="G659" s="3"/>
      <c r="H659" s="3"/>
      <c r="I659" s="3"/>
      <c r="J659" s="3"/>
      <c r="K659" s="3"/>
    </row>
    <row r="660" spans="3:11" ht="15.75" customHeight="1" x14ac:dyDescent="0.15">
      <c r="C660" s="2"/>
      <c r="G660" s="3"/>
      <c r="H660" s="3"/>
      <c r="I660" s="3"/>
      <c r="J660" s="3"/>
      <c r="K660" s="3"/>
    </row>
    <row r="661" spans="3:11" ht="15.75" customHeight="1" x14ac:dyDescent="0.15">
      <c r="C661" s="2"/>
      <c r="G661" s="3"/>
      <c r="H661" s="3"/>
      <c r="I661" s="3"/>
      <c r="J661" s="3"/>
      <c r="K661" s="3"/>
    </row>
    <row r="662" spans="3:11" ht="15.75" customHeight="1" x14ac:dyDescent="0.15">
      <c r="C662" s="2"/>
      <c r="G662" s="3"/>
      <c r="H662" s="3"/>
      <c r="I662" s="3"/>
      <c r="J662" s="3"/>
      <c r="K662" s="3"/>
    </row>
    <row r="663" spans="3:11" ht="15.75" customHeight="1" x14ac:dyDescent="0.15">
      <c r="C663" s="2"/>
      <c r="G663" s="3"/>
      <c r="H663" s="3"/>
      <c r="I663" s="3"/>
      <c r="J663" s="3"/>
      <c r="K663" s="3"/>
    </row>
    <row r="664" spans="3:11" ht="15.75" customHeight="1" x14ac:dyDescent="0.15">
      <c r="C664" s="2"/>
      <c r="G664" s="3"/>
      <c r="H664" s="3"/>
      <c r="I664" s="3"/>
      <c r="J664" s="3"/>
      <c r="K664" s="3"/>
    </row>
    <row r="665" spans="3:11" ht="15.75" customHeight="1" x14ac:dyDescent="0.15">
      <c r="C665" s="2"/>
      <c r="G665" s="3"/>
      <c r="H665" s="3"/>
      <c r="I665" s="3"/>
      <c r="J665" s="3"/>
      <c r="K665" s="3"/>
    </row>
    <row r="666" spans="3:11" ht="15.75" customHeight="1" x14ac:dyDescent="0.15">
      <c r="C666" s="2"/>
      <c r="G666" s="3"/>
      <c r="H666" s="3"/>
      <c r="I666" s="3"/>
      <c r="J666" s="3"/>
      <c r="K666" s="3"/>
    </row>
    <row r="667" spans="3:11" ht="15.75" customHeight="1" x14ac:dyDescent="0.15">
      <c r="C667" s="2"/>
      <c r="G667" s="3"/>
      <c r="H667" s="3"/>
      <c r="I667" s="3"/>
      <c r="J667" s="3"/>
      <c r="K667" s="3"/>
    </row>
    <row r="668" spans="3:11" ht="15.75" customHeight="1" x14ac:dyDescent="0.15">
      <c r="C668" s="2"/>
      <c r="G668" s="3"/>
      <c r="H668" s="3"/>
      <c r="I668" s="3"/>
      <c r="J668" s="3"/>
      <c r="K668" s="3"/>
    </row>
    <row r="669" spans="3:11" ht="15.75" customHeight="1" x14ac:dyDescent="0.15">
      <c r="C669" s="2"/>
      <c r="G669" s="3"/>
      <c r="H669" s="3"/>
      <c r="I669" s="3"/>
      <c r="J669" s="3"/>
      <c r="K669" s="3"/>
    </row>
    <row r="670" spans="3:11" ht="15.75" customHeight="1" x14ac:dyDescent="0.15">
      <c r="C670" s="2"/>
      <c r="G670" s="3"/>
      <c r="H670" s="3"/>
      <c r="I670" s="3"/>
      <c r="J670" s="3"/>
      <c r="K670" s="3"/>
    </row>
    <row r="671" spans="3:11" ht="15.75" customHeight="1" x14ac:dyDescent="0.15">
      <c r="C671" s="2"/>
      <c r="G671" s="3"/>
      <c r="H671" s="3"/>
      <c r="I671" s="3"/>
      <c r="J671" s="3"/>
      <c r="K671" s="3"/>
    </row>
    <row r="672" spans="3:11" ht="15.75" customHeight="1" x14ac:dyDescent="0.15">
      <c r="C672" s="2"/>
      <c r="G672" s="3"/>
      <c r="H672" s="3"/>
      <c r="I672" s="3"/>
      <c r="J672" s="3"/>
      <c r="K672" s="3"/>
    </row>
    <row r="673" spans="3:11" ht="15.75" customHeight="1" x14ac:dyDescent="0.15">
      <c r="C673" s="2"/>
      <c r="G673" s="3"/>
      <c r="H673" s="3"/>
      <c r="I673" s="3"/>
      <c r="J673" s="3"/>
      <c r="K673" s="3"/>
    </row>
    <row r="674" spans="3:11" ht="15.75" customHeight="1" x14ac:dyDescent="0.15">
      <c r="C674" s="2"/>
      <c r="G674" s="3"/>
      <c r="H674" s="3"/>
      <c r="I674" s="3"/>
      <c r="J674" s="3"/>
      <c r="K674" s="3"/>
    </row>
    <row r="675" spans="3:11" ht="15.75" customHeight="1" x14ac:dyDescent="0.15">
      <c r="C675" s="2"/>
      <c r="G675" s="3"/>
      <c r="H675" s="3"/>
      <c r="I675" s="3"/>
      <c r="J675" s="3"/>
      <c r="K675" s="3"/>
    </row>
    <row r="676" spans="3:11" ht="15.75" customHeight="1" x14ac:dyDescent="0.15">
      <c r="C676" s="2"/>
      <c r="G676" s="3"/>
      <c r="H676" s="3"/>
      <c r="I676" s="3"/>
      <c r="J676" s="3"/>
      <c r="K676" s="3"/>
    </row>
    <row r="677" spans="3:11" ht="15.75" customHeight="1" x14ac:dyDescent="0.15">
      <c r="C677" s="2"/>
      <c r="G677" s="3"/>
      <c r="H677" s="3"/>
      <c r="I677" s="3"/>
      <c r="J677" s="3"/>
      <c r="K677" s="3"/>
    </row>
    <row r="678" spans="3:11" ht="15.75" customHeight="1" x14ac:dyDescent="0.15">
      <c r="C678" s="2"/>
      <c r="G678" s="3"/>
      <c r="H678" s="3"/>
      <c r="I678" s="3"/>
      <c r="J678" s="3"/>
      <c r="K678" s="3"/>
    </row>
    <row r="679" spans="3:11" ht="15.75" customHeight="1" x14ac:dyDescent="0.15">
      <c r="C679" s="2"/>
      <c r="G679" s="3"/>
      <c r="H679" s="3"/>
      <c r="I679" s="3"/>
      <c r="J679" s="3"/>
      <c r="K679" s="3"/>
    </row>
    <row r="680" spans="3:11" ht="15.75" customHeight="1" x14ac:dyDescent="0.15">
      <c r="C680" s="2"/>
      <c r="G680" s="3"/>
      <c r="H680" s="3"/>
      <c r="I680" s="3"/>
      <c r="J680" s="3"/>
      <c r="K680" s="3"/>
    </row>
    <row r="681" spans="3:11" ht="15.75" customHeight="1" x14ac:dyDescent="0.15">
      <c r="C681" s="2"/>
      <c r="G681" s="3"/>
      <c r="H681" s="3"/>
      <c r="I681" s="3"/>
      <c r="J681" s="3"/>
      <c r="K681" s="3"/>
    </row>
    <row r="682" spans="3:11" ht="15.75" customHeight="1" x14ac:dyDescent="0.15">
      <c r="C682" s="2"/>
      <c r="G682" s="3"/>
      <c r="H682" s="3"/>
      <c r="I682" s="3"/>
      <c r="J682" s="3"/>
      <c r="K682" s="3"/>
    </row>
    <row r="683" spans="3:11" ht="15.75" customHeight="1" x14ac:dyDescent="0.15">
      <c r="C683" s="2"/>
      <c r="G683" s="3"/>
      <c r="H683" s="3"/>
      <c r="I683" s="3"/>
      <c r="J683" s="3"/>
      <c r="K683" s="3"/>
    </row>
    <row r="684" spans="3:11" ht="15.75" customHeight="1" x14ac:dyDescent="0.15">
      <c r="C684" s="2"/>
      <c r="G684" s="3"/>
      <c r="H684" s="3"/>
      <c r="I684" s="3"/>
      <c r="J684" s="3"/>
      <c r="K684" s="3"/>
    </row>
    <row r="685" spans="3:11" ht="15.75" customHeight="1" x14ac:dyDescent="0.15">
      <c r="C685" s="2"/>
      <c r="G685" s="3"/>
      <c r="H685" s="3"/>
      <c r="I685" s="3"/>
      <c r="J685" s="3"/>
      <c r="K685" s="3"/>
    </row>
    <row r="686" spans="3:11" ht="15.75" customHeight="1" x14ac:dyDescent="0.15">
      <c r="C686" s="2"/>
      <c r="G686" s="3"/>
      <c r="H686" s="3"/>
      <c r="I686" s="3"/>
      <c r="J686" s="3"/>
      <c r="K686" s="3"/>
    </row>
    <row r="687" spans="3:11" ht="15.75" customHeight="1" x14ac:dyDescent="0.15">
      <c r="C687" s="2"/>
      <c r="G687" s="3"/>
      <c r="H687" s="3"/>
      <c r="I687" s="3"/>
      <c r="J687" s="3"/>
      <c r="K687" s="3"/>
    </row>
    <row r="688" spans="3:11" ht="15.75" customHeight="1" x14ac:dyDescent="0.15">
      <c r="C688" s="2"/>
      <c r="G688" s="3"/>
      <c r="H688" s="3"/>
      <c r="I688" s="3"/>
      <c r="J688" s="3"/>
      <c r="K688" s="3"/>
    </row>
    <row r="689" spans="3:11" ht="15.75" customHeight="1" x14ac:dyDescent="0.15">
      <c r="C689" s="2"/>
      <c r="G689" s="3"/>
      <c r="H689" s="3"/>
      <c r="I689" s="3"/>
      <c r="J689" s="3"/>
      <c r="K689" s="3"/>
    </row>
    <row r="690" spans="3:11" ht="15.75" customHeight="1" x14ac:dyDescent="0.15">
      <c r="C690" s="2"/>
      <c r="G690" s="3"/>
      <c r="H690" s="3"/>
      <c r="I690" s="3"/>
      <c r="J690" s="3"/>
      <c r="K690" s="3"/>
    </row>
    <row r="691" spans="3:11" ht="15.75" customHeight="1" x14ac:dyDescent="0.15">
      <c r="C691" s="2"/>
      <c r="G691" s="3"/>
      <c r="H691" s="3"/>
      <c r="I691" s="3"/>
      <c r="J691" s="3"/>
      <c r="K691" s="3"/>
    </row>
    <row r="692" spans="3:11" ht="15.75" customHeight="1" x14ac:dyDescent="0.15">
      <c r="C692" s="2"/>
      <c r="G692" s="3"/>
      <c r="H692" s="3"/>
      <c r="I692" s="3"/>
      <c r="J692" s="3"/>
      <c r="K692" s="3"/>
    </row>
    <row r="693" spans="3:11" ht="15.75" customHeight="1" x14ac:dyDescent="0.15">
      <c r="C693" s="2"/>
      <c r="G693" s="3"/>
      <c r="H693" s="3"/>
      <c r="I693" s="3"/>
      <c r="J693" s="3"/>
      <c r="K693" s="3"/>
    </row>
    <row r="694" spans="3:11" ht="15.75" customHeight="1" x14ac:dyDescent="0.15">
      <c r="C694" s="2"/>
      <c r="G694" s="3"/>
      <c r="H694" s="3"/>
      <c r="I694" s="3"/>
      <c r="J694" s="3"/>
      <c r="K694" s="3"/>
    </row>
    <row r="695" spans="3:11" ht="15.75" customHeight="1" x14ac:dyDescent="0.15">
      <c r="C695" s="2"/>
      <c r="G695" s="3"/>
      <c r="H695" s="3"/>
      <c r="I695" s="3"/>
      <c r="J695" s="3"/>
      <c r="K695" s="3"/>
    </row>
    <row r="696" spans="3:11" ht="15.75" customHeight="1" x14ac:dyDescent="0.15">
      <c r="C696" s="2"/>
      <c r="G696" s="3"/>
      <c r="H696" s="3"/>
      <c r="I696" s="3"/>
      <c r="J696" s="3"/>
      <c r="K696" s="3"/>
    </row>
    <row r="697" spans="3:11" ht="15.75" customHeight="1" x14ac:dyDescent="0.15">
      <c r="C697" s="2"/>
      <c r="G697" s="3"/>
      <c r="H697" s="3"/>
      <c r="I697" s="3"/>
      <c r="J697" s="3"/>
      <c r="K697" s="3"/>
    </row>
    <row r="698" spans="3:11" ht="15.75" customHeight="1" x14ac:dyDescent="0.15">
      <c r="C698" s="2"/>
      <c r="G698" s="3"/>
      <c r="H698" s="3"/>
      <c r="I698" s="3"/>
      <c r="J698" s="3"/>
      <c r="K698" s="3"/>
    </row>
    <row r="699" spans="3:11" ht="15.75" customHeight="1" x14ac:dyDescent="0.15">
      <c r="C699" s="2"/>
      <c r="G699" s="3"/>
      <c r="H699" s="3"/>
      <c r="I699" s="3"/>
      <c r="J699" s="3"/>
      <c r="K699" s="3"/>
    </row>
    <row r="700" spans="3:11" ht="15.75" customHeight="1" x14ac:dyDescent="0.15">
      <c r="C700" s="2"/>
      <c r="G700" s="3"/>
      <c r="H700" s="3"/>
      <c r="I700" s="3"/>
      <c r="J700" s="3"/>
      <c r="K700" s="3"/>
    </row>
    <row r="701" spans="3:11" ht="15.75" customHeight="1" x14ac:dyDescent="0.15">
      <c r="C701" s="2"/>
      <c r="G701" s="3"/>
      <c r="H701" s="3"/>
      <c r="I701" s="3"/>
      <c r="J701" s="3"/>
      <c r="K701" s="3"/>
    </row>
    <row r="702" spans="3:11" ht="15.75" customHeight="1" x14ac:dyDescent="0.15">
      <c r="C702" s="2"/>
      <c r="G702" s="3"/>
      <c r="H702" s="3"/>
      <c r="I702" s="3"/>
      <c r="J702" s="3"/>
      <c r="K702" s="3"/>
    </row>
    <row r="703" spans="3:11" ht="15.75" customHeight="1" x14ac:dyDescent="0.15">
      <c r="C703" s="2"/>
      <c r="G703" s="3"/>
      <c r="H703" s="3"/>
      <c r="I703" s="3"/>
      <c r="J703" s="3"/>
      <c r="K703" s="3"/>
    </row>
    <row r="704" spans="3:11" ht="15.75" customHeight="1" x14ac:dyDescent="0.15">
      <c r="C704" s="2"/>
      <c r="G704" s="3"/>
      <c r="H704" s="3"/>
      <c r="I704" s="3"/>
      <c r="J704" s="3"/>
      <c r="K704" s="3"/>
    </row>
    <row r="705" spans="3:11" ht="15.75" customHeight="1" x14ac:dyDescent="0.15">
      <c r="C705" s="2"/>
      <c r="G705" s="3"/>
      <c r="H705" s="3"/>
      <c r="I705" s="3"/>
      <c r="J705" s="3"/>
      <c r="K705" s="3"/>
    </row>
    <row r="706" spans="3:11" ht="15.75" customHeight="1" x14ac:dyDescent="0.15">
      <c r="C706" s="2"/>
      <c r="G706" s="3"/>
      <c r="H706" s="3"/>
      <c r="I706" s="3"/>
      <c r="J706" s="3"/>
      <c r="K706" s="3"/>
    </row>
    <row r="707" spans="3:11" ht="15.75" customHeight="1" x14ac:dyDescent="0.15">
      <c r="C707" s="2"/>
      <c r="G707" s="3"/>
      <c r="H707" s="3"/>
      <c r="I707" s="3"/>
      <c r="J707" s="3"/>
      <c r="K707" s="3"/>
    </row>
    <row r="708" spans="3:11" ht="15.75" customHeight="1" x14ac:dyDescent="0.15">
      <c r="C708" s="2"/>
      <c r="G708" s="3"/>
      <c r="H708" s="3"/>
      <c r="I708" s="3"/>
      <c r="J708" s="3"/>
      <c r="K708" s="3"/>
    </row>
    <row r="709" spans="3:11" ht="15.75" customHeight="1" x14ac:dyDescent="0.15">
      <c r="C709" s="2"/>
      <c r="G709" s="3"/>
      <c r="H709" s="3"/>
      <c r="I709" s="3"/>
      <c r="J709" s="3"/>
      <c r="K709" s="3"/>
    </row>
    <row r="710" spans="3:11" ht="15.75" customHeight="1" x14ac:dyDescent="0.15">
      <c r="C710" s="2"/>
      <c r="G710" s="3"/>
      <c r="H710" s="3"/>
      <c r="I710" s="3"/>
      <c r="J710" s="3"/>
      <c r="K710" s="3"/>
    </row>
    <row r="711" spans="3:11" ht="15.75" customHeight="1" x14ac:dyDescent="0.15">
      <c r="C711" s="2"/>
      <c r="G711" s="3"/>
      <c r="H711" s="3"/>
      <c r="I711" s="3"/>
      <c r="J711" s="3"/>
      <c r="K711" s="3"/>
    </row>
    <row r="712" spans="3:11" ht="15.75" customHeight="1" x14ac:dyDescent="0.15">
      <c r="C712" s="2"/>
      <c r="G712" s="3"/>
      <c r="H712" s="3"/>
      <c r="I712" s="3"/>
      <c r="J712" s="3"/>
      <c r="K712" s="3"/>
    </row>
    <row r="713" spans="3:11" ht="15.75" customHeight="1" x14ac:dyDescent="0.15">
      <c r="C713" s="2"/>
      <c r="G713" s="3"/>
      <c r="H713" s="3"/>
      <c r="I713" s="3"/>
      <c r="J713" s="3"/>
      <c r="K713" s="3"/>
    </row>
    <row r="714" spans="3:11" ht="15.75" customHeight="1" x14ac:dyDescent="0.15">
      <c r="C714" s="2"/>
      <c r="G714" s="3"/>
      <c r="H714" s="3"/>
      <c r="I714" s="3"/>
      <c r="J714" s="3"/>
      <c r="K714" s="3"/>
    </row>
    <row r="715" spans="3:11" ht="15.75" customHeight="1" x14ac:dyDescent="0.15">
      <c r="C715" s="2"/>
      <c r="G715" s="3"/>
      <c r="H715" s="3"/>
      <c r="I715" s="3"/>
      <c r="J715" s="3"/>
      <c r="K715" s="3"/>
    </row>
    <row r="716" spans="3:11" ht="15.75" customHeight="1" x14ac:dyDescent="0.15">
      <c r="C716" s="2"/>
      <c r="G716" s="3"/>
      <c r="H716" s="3"/>
      <c r="I716" s="3"/>
      <c r="J716" s="3"/>
      <c r="K716" s="3"/>
    </row>
    <row r="717" spans="3:11" ht="15.75" customHeight="1" x14ac:dyDescent="0.15">
      <c r="C717" s="2"/>
      <c r="G717" s="3"/>
      <c r="H717" s="3"/>
      <c r="I717" s="3"/>
      <c r="J717" s="3"/>
      <c r="K717" s="3"/>
    </row>
    <row r="718" spans="3:11" ht="15.75" customHeight="1" x14ac:dyDescent="0.15">
      <c r="C718" s="2"/>
      <c r="G718" s="3"/>
      <c r="H718" s="3"/>
      <c r="I718" s="3"/>
      <c r="J718" s="3"/>
      <c r="K718" s="3"/>
    </row>
    <row r="719" spans="3:11" ht="15.75" customHeight="1" x14ac:dyDescent="0.15">
      <c r="C719" s="2"/>
      <c r="G719" s="3"/>
      <c r="H719" s="3"/>
      <c r="I719" s="3"/>
      <c r="J719" s="3"/>
      <c r="K719" s="3"/>
    </row>
    <row r="720" spans="3:11" ht="15.75" customHeight="1" x14ac:dyDescent="0.15">
      <c r="C720" s="2"/>
      <c r="G720" s="3"/>
      <c r="H720" s="3"/>
      <c r="I720" s="3"/>
      <c r="J720" s="3"/>
      <c r="K720" s="3"/>
    </row>
    <row r="721" spans="3:11" ht="15.75" customHeight="1" x14ac:dyDescent="0.15">
      <c r="C721" s="2"/>
      <c r="G721" s="3"/>
      <c r="H721" s="3"/>
      <c r="I721" s="3"/>
      <c r="J721" s="3"/>
      <c r="K721" s="3"/>
    </row>
    <row r="722" spans="3:11" ht="15.75" customHeight="1" x14ac:dyDescent="0.15">
      <c r="C722" s="2"/>
      <c r="G722" s="3"/>
      <c r="H722" s="3"/>
      <c r="I722" s="3"/>
      <c r="J722" s="3"/>
      <c r="K722" s="3"/>
    </row>
    <row r="723" spans="3:11" ht="15.75" customHeight="1" x14ac:dyDescent="0.15">
      <c r="C723" s="2"/>
      <c r="G723" s="3"/>
      <c r="H723" s="3"/>
      <c r="I723" s="3"/>
      <c r="J723" s="3"/>
      <c r="K723" s="3"/>
    </row>
    <row r="724" spans="3:11" ht="15.75" customHeight="1" x14ac:dyDescent="0.15">
      <c r="C724" s="2"/>
      <c r="G724" s="3"/>
      <c r="H724" s="3"/>
      <c r="I724" s="3"/>
      <c r="J724" s="3"/>
      <c r="K724" s="3"/>
    </row>
    <row r="725" spans="3:11" ht="15.75" customHeight="1" x14ac:dyDescent="0.15">
      <c r="C725" s="2"/>
      <c r="G725" s="3"/>
      <c r="H725" s="3"/>
      <c r="I725" s="3"/>
      <c r="J725" s="3"/>
      <c r="K725" s="3"/>
    </row>
    <row r="726" spans="3:11" ht="15.75" customHeight="1" x14ac:dyDescent="0.15">
      <c r="C726" s="2"/>
      <c r="G726" s="3"/>
      <c r="H726" s="3"/>
      <c r="I726" s="3"/>
      <c r="J726" s="3"/>
      <c r="K726" s="3"/>
    </row>
    <row r="727" spans="3:11" ht="15.75" customHeight="1" x14ac:dyDescent="0.15">
      <c r="C727" s="2"/>
      <c r="G727" s="3"/>
      <c r="H727" s="3"/>
      <c r="I727" s="3"/>
      <c r="J727" s="3"/>
      <c r="K727" s="3"/>
    </row>
    <row r="728" spans="3:11" ht="15.75" customHeight="1" x14ac:dyDescent="0.15">
      <c r="C728" s="2"/>
      <c r="G728" s="3"/>
      <c r="H728" s="3"/>
      <c r="I728" s="3"/>
      <c r="J728" s="3"/>
      <c r="K728" s="3"/>
    </row>
    <row r="729" spans="3:11" ht="15.75" customHeight="1" x14ac:dyDescent="0.15">
      <c r="C729" s="2"/>
      <c r="G729" s="3"/>
      <c r="H729" s="3"/>
      <c r="I729" s="3"/>
      <c r="J729" s="3"/>
      <c r="K729" s="3"/>
    </row>
    <row r="730" spans="3:11" ht="15.75" customHeight="1" x14ac:dyDescent="0.15">
      <c r="C730" s="2"/>
      <c r="G730" s="3"/>
      <c r="H730" s="3"/>
      <c r="I730" s="3"/>
      <c r="J730" s="3"/>
      <c r="K730" s="3"/>
    </row>
    <row r="731" spans="3:11" ht="15.75" customHeight="1" x14ac:dyDescent="0.15">
      <c r="C731" s="2"/>
      <c r="G731" s="3"/>
      <c r="H731" s="3"/>
      <c r="I731" s="3"/>
      <c r="J731" s="3"/>
      <c r="K731" s="3"/>
    </row>
    <row r="732" spans="3:11" ht="15.75" customHeight="1" x14ac:dyDescent="0.15">
      <c r="C732" s="2"/>
      <c r="G732" s="3"/>
      <c r="H732" s="3"/>
      <c r="I732" s="3"/>
      <c r="J732" s="3"/>
      <c r="K732" s="3"/>
    </row>
    <row r="733" spans="3:11" ht="15.75" customHeight="1" x14ac:dyDescent="0.15">
      <c r="C733" s="2"/>
      <c r="G733" s="3"/>
      <c r="H733" s="3"/>
      <c r="I733" s="3"/>
      <c r="J733" s="3"/>
      <c r="K733" s="3"/>
    </row>
    <row r="734" spans="3:11" ht="15.75" customHeight="1" x14ac:dyDescent="0.15">
      <c r="C734" s="2"/>
      <c r="G734" s="3"/>
      <c r="H734" s="3"/>
      <c r="I734" s="3"/>
      <c r="J734" s="3"/>
      <c r="K734" s="3"/>
    </row>
    <row r="735" spans="3:11" ht="15.75" customHeight="1" x14ac:dyDescent="0.15">
      <c r="C735" s="2"/>
      <c r="G735" s="3"/>
      <c r="H735" s="3"/>
      <c r="I735" s="3"/>
      <c r="J735" s="3"/>
      <c r="K735" s="3"/>
    </row>
    <row r="736" spans="3:11" ht="15.75" customHeight="1" x14ac:dyDescent="0.15">
      <c r="C736" s="2"/>
      <c r="G736" s="3"/>
      <c r="H736" s="3"/>
      <c r="I736" s="3"/>
      <c r="J736" s="3"/>
      <c r="K736" s="3"/>
    </row>
    <row r="737" spans="3:11" ht="15.75" customHeight="1" x14ac:dyDescent="0.15">
      <c r="C737" s="2"/>
      <c r="G737" s="3"/>
      <c r="H737" s="3"/>
      <c r="I737" s="3"/>
      <c r="J737" s="3"/>
      <c r="K737" s="3"/>
    </row>
    <row r="738" spans="3:11" ht="15.75" customHeight="1" x14ac:dyDescent="0.15">
      <c r="C738" s="2"/>
      <c r="G738" s="3"/>
      <c r="H738" s="3"/>
      <c r="I738" s="3"/>
      <c r="J738" s="3"/>
      <c r="K738" s="3"/>
    </row>
    <row r="739" spans="3:11" ht="15.75" customHeight="1" x14ac:dyDescent="0.15">
      <c r="C739" s="2"/>
      <c r="G739" s="3"/>
      <c r="H739" s="3"/>
      <c r="I739" s="3"/>
      <c r="J739" s="3"/>
      <c r="K739" s="3"/>
    </row>
    <row r="740" spans="3:11" ht="15.75" customHeight="1" x14ac:dyDescent="0.15">
      <c r="C740" s="2"/>
      <c r="G740" s="3"/>
      <c r="H740" s="3"/>
      <c r="I740" s="3"/>
      <c r="J740" s="3"/>
      <c r="K740" s="3"/>
    </row>
    <row r="741" spans="3:11" ht="15.75" customHeight="1" x14ac:dyDescent="0.15">
      <c r="C741" s="2"/>
      <c r="G741" s="3"/>
      <c r="H741" s="3"/>
      <c r="I741" s="3"/>
      <c r="J741" s="3"/>
      <c r="K741" s="3"/>
    </row>
    <row r="742" spans="3:11" ht="15.75" customHeight="1" x14ac:dyDescent="0.15">
      <c r="C742" s="2"/>
      <c r="G742" s="3"/>
      <c r="H742" s="3"/>
      <c r="I742" s="3"/>
      <c r="J742" s="3"/>
      <c r="K742" s="3"/>
    </row>
    <row r="743" spans="3:11" ht="15.75" customHeight="1" x14ac:dyDescent="0.15">
      <c r="C743" s="2"/>
      <c r="G743" s="3"/>
      <c r="H743" s="3"/>
      <c r="I743" s="3"/>
      <c r="J743" s="3"/>
      <c r="K743" s="3"/>
    </row>
    <row r="744" spans="3:11" ht="15.75" customHeight="1" x14ac:dyDescent="0.15">
      <c r="C744" s="2"/>
      <c r="G744" s="3"/>
      <c r="H744" s="3"/>
      <c r="I744" s="3"/>
      <c r="J744" s="3"/>
      <c r="K744" s="3"/>
    </row>
    <row r="745" spans="3:11" ht="15.75" customHeight="1" x14ac:dyDescent="0.15">
      <c r="C745" s="2"/>
      <c r="G745" s="3"/>
      <c r="H745" s="3"/>
      <c r="I745" s="3"/>
      <c r="J745" s="3"/>
      <c r="K745" s="3"/>
    </row>
    <row r="746" spans="3:11" ht="15.75" customHeight="1" x14ac:dyDescent="0.15">
      <c r="C746" s="2"/>
      <c r="G746" s="3"/>
      <c r="H746" s="3"/>
      <c r="I746" s="3"/>
      <c r="J746" s="3"/>
      <c r="K746" s="3"/>
    </row>
    <row r="747" spans="3:11" ht="15.75" customHeight="1" x14ac:dyDescent="0.15">
      <c r="C747" s="2"/>
      <c r="G747" s="3"/>
      <c r="H747" s="3"/>
      <c r="I747" s="3"/>
      <c r="J747" s="3"/>
      <c r="K747" s="3"/>
    </row>
    <row r="748" spans="3:11" ht="15.75" customHeight="1" x14ac:dyDescent="0.15">
      <c r="C748" s="2"/>
      <c r="G748" s="3"/>
      <c r="H748" s="3"/>
      <c r="I748" s="3"/>
      <c r="J748" s="3"/>
      <c r="K748" s="3"/>
    </row>
    <row r="749" spans="3:11" ht="15.75" customHeight="1" x14ac:dyDescent="0.15">
      <c r="C749" s="2"/>
      <c r="G749" s="3"/>
      <c r="H749" s="3"/>
      <c r="I749" s="3"/>
      <c r="J749" s="3"/>
      <c r="K749" s="3"/>
    </row>
    <row r="750" spans="3:11" ht="15.75" customHeight="1" x14ac:dyDescent="0.15">
      <c r="C750" s="2"/>
      <c r="G750" s="3"/>
      <c r="H750" s="3"/>
      <c r="I750" s="3"/>
      <c r="J750" s="3"/>
      <c r="K750" s="3"/>
    </row>
    <row r="751" spans="3:11" ht="15.75" customHeight="1" x14ac:dyDescent="0.15">
      <c r="C751" s="2"/>
      <c r="G751" s="3"/>
      <c r="H751" s="3"/>
      <c r="I751" s="3"/>
      <c r="J751" s="3"/>
      <c r="K751" s="3"/>
    </row>
    <row r="752" spans="3:11" ht="15.75" customHeight="1" x14ac:dyDescent="0.15">
      <c r="C752" s="2"/>
      <c r="G752" s="3"/>
      <c r="H752" s="3"/>
      <c r="I752" s="3"/>
      <c r="J752" s="3"/>
      <c r="K752" s="3"/>
    </row>
    <row r="753" spans="3:11" ht="15.75" customHeight="1" x14ac:dyDescent="0.15">
      <c r="C753" s="2"/>
      <c r="G753" s="3"/>
      <c r="H753" s="3"/>
      <c r="I753" s="3"/>
      <c r="J753" s="3"/>
      <c r="K753" s="3"/>
    </row>
    <row r="754" spans="3:11" ht="15.75" customHeight="1" x14ac:dyDescent="0.15">
      <c r="C754" s="2"/>
      <c r="G754" s="3"/>
      <c r="H754" s="3"/>
      <c r="I754" s="3"/>
      <c r="J754" s="3"/>
      <c r="K754" s="3"/>
    </row>
    <row r="755" spans="3:11" ht="15.75" customHeight="1" x14ac:dyDescent="0.15">
      <c r="C755" s="2"/>
      <c r="G755" s="3"/>
      <c r="H755" s="3"/>
      <c r="I755" s="3"/>
      <c r="J755" s="3"/>
      <c r="K755" s="3"/>
    </row>
    <row r="756" spans="3:11" ht="15.75" customHeight="1" x14ac:dyDescent="0.15">
      <c r="C756" s="2"/>
      <c r="G756" s="3"/>
      <c r="H756" s="3"/>
      <c r="I756" s="3"/>
      <c r="J756" s="3"/>
      <c r="K756" s="3"/>
    </row>
    <row r="757" spans="3:11" ht="15.75" customHeight="1" x14ac:dyDescent="0.15">
      <c r="C757" s="2"/>
      <c r="G757" s="3"/>
      <c r="H757" s="3"/>
      <c r="I757" s="3"/>
      <c r="J757" s="3"/>
      <c r="K757" s="3"/>
    </row>
    <row r="758" spans="3:11" ht="15.75" customHeight="1" x14ac:dyDescent="0.15">
      <c r="C758" s="2"/>
      <c r="G758" s="3"/>
      <c r="H758" s="3"/>
      <c r="I758" s="3"/>
      <c r="J758" s="3"/>
      <c r="K758" s="3"/>
    </row>
    <row r="759" spans="3:11" ht="15.75" customHeight="1" x14ac:dyDescent="0.15">
      <c r="C759" s="2"/>
      <c r="G759" s="3"/>
      <c r="H759" s="3"/>
      <c r="I759" s="3"/>
      <c r="J759" s="3"/>
      <c r="K759" s="3"/>
    </row>
    <row r="760" spans="3:11" ht="15.75" customHeight="1" x14ac:dyDescent="0.15">
      <c r="C760" s="2"/>
      <c r="G760" s="3"/>
      <c r="H760" s="3"/>
      <c r="I760" s="3"/>
      <c r="J760" s="3"/>
      <c r="K760" s="3"/>
    </row>
    <row r="761" spans="3:11" ht="15.75" customHeight="1" x14ac:dyDescent="0.15">
      <c r="C761" s="2"/>
      <c r="G761" s="3"/>
      <c r="H761" s="3"/>
      <c r="I761" s="3"/>
      <c r="J761" s="3"/>
      <c r="K761" s="3"/>
    </row>
    <row r="762" spans="3:11" ht="15.75" customHeight="1" x14ac:dyDescent="0.15">
      <c r="C762" s="2"/>
      <c r="G762" s="3"/>
      <c r="H762" s="3"/>
      <c r="I762" s="3"/>
      <c r="J762" s="3"/>
      <c r="K762" s="3"/>
    </row>
    <row r="763" spans="3:11" ht="15.75" customHeight="1" x14ac:dyDescent="0.15">
      <c r="C763" s="2"/>
      <c r="G763" s="3"/>
      <c r="H763" s="3"/>
      <c r="I763" s="3"/>
      <c r="J763" s="3"/>
      <c r="K763" s="3"/>
    </row>
    <row r="764" spans="3:11" ht="15.75" customHeight="1" x14ac:dyDescent="0.15">
      <c r="C764" s="2"/>
      <c r="G764" s="3"/>
      <c r="H764" s="3"/>
      <c r="I764" s="3"/>
      <c r="J764" s="3"/>
      <c r="K764" s="3"/>
    </row>
    <row r="765" spans="3:11" ht="15.75" customHeight="1" x14ac:dyDescent="0.15">
      <c r="C765" s="2"/>
      <c r="G765" s="3"/>
      <c r="H765" s="3"/>
      <c r="I765" s="3"/>
      <c r="J765" s="3"/>
      <c r="K765" s="3"/>
    </row>
    <row r="766" spans="3:11" ht="15.75" customHeight="1" x14ac:dyDescent="0.15">
      <c r="C766" s="2"/>
      <c r="G766" s="3"/>
      <c r="H766" s="3"/>
      <c r="I766" s="3"/>
      <c r="J766" s="3"/>
      <c r="K766" s="3"/>
    </row>
    <row r="767" spans="3:11" ht="15.75" customHeight="1" x14ac:dyDescent="0.15">
      <c r="C767" s="2"/>
      <c r="G767" s="3"/>
      <c r="H767" s="3"/>
      <c r="I767" s="3"/>
      <c r="J767" s="3"/>
      <c r="K767" s="3"/>
    </row>
    <row r="768" spans="3:11" ht="15.75" customHeight="1" x14ac:dyDescent="0.15">
      <c r="C768" s="2"/>
      <c r="G768" s="3"/>
      <c r="H768" s="3"/>
      <c r="I768" s="3"/>
      <c r="J768" s="3"/>
      <c r="K768" s="3"/>
    </row>
    <row r="769" spans="3:11" ht="15.75" customHeight="1" x14ac:dyDescent="0.15">
      <c r="C769" s="2"/>
      <c r="G769" s="3"/>
      <c r="H769" s="3"/>
      <c r="I769" s="3"/>
      <c r="J769" s="3"/>
      <c r="K769" s="3"/>
    </row>
    <row r="770" spans="3:11" ht="15.75" customHeight="1" x14ac:dyDescent="0.15">
      <c r="C770" s="2"/>
      <c r="G770" s="3"/>
      <c r="H770" s="3"/>
      <c r="I770" s="3"/>
      <c r="J770" s="3"/>
      <c r="K770" s="3"/>
    </row>
    <row r="771" spans="3:11" ht="15.75" customHeight="1" x14ac:dyDescent="0.15">
      <c r="C771" s="2"/>
      <c r="G771" s="3"/>
      <c r="H771" s="3"/>
      <c r="I771" s="3"/>
      <c r="J771" s="3"/>
      <c r="K771" s="3"/>
    </row>
    <row r="772" spans="3:11" ht="15.75" customHeight="1" x14ac:dyDescent="0.15">
      <c r="C772" s="2"/>
      <c r="G772" s="3"/>
      <c r="H772" s="3"/>
      <c r="I772" s="3"/>
      <c r="J772" s="3"/>
      <c r="K772" s="3"/>
    </row>
    <row r="773" spans="3:11" ht="15.75" customHeight="1" x14ac:dyDescent="0.15">
      <c r="C773" s="2"/>
      <c r="G773" s="3"/>
      <c r="H773" s="3"/>
      <c r="I773" s="3"/>
      <c r="J773" s="3"/>
      <c r="K773" s="3"/>
    </row>
    <row r="774" spans="3:11" ht="15.75" customHeight="1" x14ac:dyDescent="0.15">
      <c r="C774" s="2"/>
      <c r="G774" s="3"/>
      <c r="H774" s="3"/>
      <c r="I774" s="3"/>
      <c r="J774" s="3"/>
      <c r="K774" s="3"/>
    </row>
    <row r="775" spans="3:11" ht="15.75" customHeight="1" x14ac:dyDescent="0.15">
      <c r="C775" s="2"/>
      <c r="G775" s="3"/>
      <c r="H775" s="3"/>
      <c r="I775" s="3"/>
      <c r="J775" s="3"/>
      <c r="K775" s="3"/>
    </row>
    <row r="776" spans="3:11" ht="15.75" customHeight="1" x14ac:dyDescent="0.15">
      <c r="C776" s="2"/>
      <c r="G776" s="3"/>
      <c r="H776" s="3"/>
      <c r="I776" s="3"/>
      <c r="J776" s="3"/>
      <c r="K776" s="3"/>
    </row>
    <row r="777" spans="3:11" ht="15.75" customHeight="1" x14ac:dyDescent="0.15">
      <c r="C777" s="2"/>
      <c r="G777" s="3"/>
      <c r="H777" s="3"/>
      <c r="I777" s="3"/>
      <c r="J777" s="3"/>
      <c r="K777" s="3"/>
    </row>
    <row r="778" spans="3:11" ht="15.75" customHeight="1" x14ac:dyDescent="0.15">
      <c r="C778" s="2"/>
      <c r="G778" s="3"/>
      <c r="H778" s="3"/>
      <c r="I778" s="3"/>
      <c r="J778" s="3"/>
      <c r="K778" s="3"/>
    </row>
    <row r="779" spans="3:11" ht="15.75" customHeight="1" x14ac:dyDescent="0.15">
      <c r="C779" s="2"/>
      <c r="G779" s="3"/>
      <c r="H779" s="3"/>
      <c r="I779" s="3"/>
      <c r="J779" s="3"/>
      <c r="K779" s="3"/>
    </row>
    <row r="780" spans="3:11" ht="15.75" customHeight="1" x14ac:dyDescent="0.15">
      <c r="C780" s="2"/>
      <c r="G780" s="3"/>
      <c r="H780" s="3"/>
      <c r="I780" s="3"/>
      <c r="J780" s="3"/>
      <c r="K780" s="3"/>
    </row>
    <row r="781" spans="3:11" ht="15.75" customHeight="1" x14ac:dyDescent="0.15">
      <c r="C781" s="2"/>
      <c r="G781" s="3"/>
      <c r="H781" s="3"/>
      <c r="I781" s="3"/>
      <c r="J781" s="3"/>
      <c r="K781" s="3"/>
    </row>
    <row r="782" spans="3:11" ht="15.75" customHeight="1" x14ac:dyDescent="0.15">
      <c r="C782" s="2"/>
      <c r="G782" s="3"/>
      <c r="H782" s="3"/>
      <c r="I782" s="3"/>
      <c r="J782" s="3"/>
      <c r="K782" s="3"/>
    </row>
    <row r="783" spans="3:11" ht="15.75" customHeight="1" x14ac:dyDescent="0.15">
      <c r="C783" s="2"/>
      <c r="G783" s="3"/>
      <c r="H783" s="3"/>
      <c r="I783" s="3"/>
      <c r="J783" s="3"/>
      <c r="K783" s="3"/>
    </row>
    <row r="784" spans="3:11" ht="15.75" customHeight="1" x14ac:dyDescent="0.15">
      <c r="C784" s="2"/>
      <c r="G784" s="3"/>
      <c r="H784" s="3"/>
      <c r="I784" s="3"/>
      <c r="J784" s="3"/>
      <c r="K784" s="3"/>
    </row>
    <row r="785" spans="3:11" ht="15.75" customHeight="1" x14ac:dyDescent="0.15">
      <c r="C785" s="2"/>
      <c r="G785" s="3"/>
      <c r="H785" s="3"/>
      <c r="I785" s="3"/>
      <c r="J785" s="3"/>
      <c r="K785" s="3"/>
    </row>
    <row r="786" spans="3:11" ht="15.75" customHeight="1" x14ac:dyDescent="0.15">
      <c r="C786" s="2"/>
      <c r="G786" s="3"/>
      <c r="H786" s="3"/>
      <c r="I786" s="3"/>
      <c r="J786" s="3"/>
      <c r="K786" s="3"/>
    </row>
    <row r="787" spans="3:11" ht="15.75" customHeight="1" x14ac:dyDescent="0.15">
      <c r="C787" s="2"/>
      <c r="G787" s="3"/>
      <c r="H787" s="3"/>
      <c r="I787" s="3"/>
      <c r="J787" s="3"/>
      <c r="K787" s="3"/>
    </row>
    <row r="788" spans="3:11" ht="15.75" customHeight="1" x14ac:dyDescent="0.15">
      <c r="C788" s="2"/>
      <c r="G788" s="3"/>
      <c r="H788" s="3"/>
      <c r="I788" s="3"/>
      <c r="J788" s="3"/>
      <c r="K788" s="3"/>
    </row>
    <row r="789" spans="3:11" ht="15.75" customHeight="1" x14ac:dyDescent="0.15">
      <c r="C789" s="2"/>
      <c r="G789" s="3"/>
      <c r="H789" s="3"/>
      <c r="I789" s="3"/>
      <c r="J789" s="3"/>
      <c r="K789" s="3"/>
    </row>
    <row r="790" spans="3:11" ht="15.75" customHeight="1" x14ac:dyDescent="0.15">
      <c r="C790" s="2"/>
      <c r="G790" s="3"/>
      <c r="H790" s="3"/>
      <c r="I790" s="3"/>
      <c r="J790" s="3"/>
      <c r="K790" s="3"/>
    </row>
    <row r="791" spans="3:11" ht="15.75" customHeight="1" x14ac:dyDescent="0.15">
      <c r="C791" s="2"/>
      <c r="G791" s="3"/>
      <c r="H791" s="3"/>
      <c r="I791" s="3"/>
      <c r="J791" s="3"/>
      <c r="K791" s="3"/>
    </row>
    <row r="792" spans="3:11" ht="15.75" customHeight="1" x14ac:dyDescent="0.15">
      <c r="C792" s="2"/>
      <c r="G792" s="3"/>
      <c r="H792" s="3"/>
      <c r="I792" s="3"/>
      <c r="J792" s="3"/>
      <c r="K792" s="3"/>
    </row>
    <row r="793" spans="3:11" ht="15.75" customHeight="1" x14ac:dyDescent="0.15">
      <c r="C793" s="2"/>
      <c r="G793" s="3"/>
      <c r="H793" s="3"/>
      <c r="I793" s="3"/>
      <c r="J793" s="3"/>
      <c r="K793" s="3"/>
    </row>
    <row r="794" spans="3:11" ht="15.75" customHeight="1" x14ac:dyDescent="0.15">
      <c r="C794" s="2"/>
      <c r="G794" s="3"/>
      <c r="H794" s="3"/>
      <c r="I794" s="3"/>
      <c r="J794" s="3"/>
      <c r="K794" s="3"/>
    </row>
    <row r="795" spans="3:11" ht="15.75" customHeight="1" x14ac:dyDescent="0.15">
      <c r="C795" s="2"/>
      <c r="G795" s="3"/>
      <c r="H795" s="3"/>
      <c r="I795" s="3"/>
      <c r="J795" s="3"/>
      <c r="K795" s="3"/>
    </row>
    <row r="796" spans="3:11" ht="15.75" customHeight="1" x14ac:dyDescent="0.15">
      <c r="C796" s="2"/>
      <c r="G796" s="3"/>
      <c r="H796" s="3"/>
      <c r="I796" s="3"/>
      <c r="J796" s="3"/>
      <c r="K796" s="3"/>
    </row>
    <row r="797" spans="3:11" ht="15.75" customHeight="1" x14ac:dyDescent="0.15">
      <c r="C797" s="2"/>
      <c r="G797" s="3"/>
      <c r="H797" s="3"/>
      <c r="I797" s="3"/>
      <c r="J797" s="3"/>
      <c r="K797" s="3"/>
    </row>
    <row r="798" spans="3:11" ht="15.75" customHeight="1" x14ac:dyDescent="0.15">
      <c r="C798" s="2"/>
      <c r="G798" s="3"/>
      <c r="H798" s="3"/>
      <c r="I798" s="3"/>
      <c r="J798" s="3"/>
      <c r="K798" s="3"/>
    </row>
    <row r="799" spans="3:11" ht="15.75" customHeight="1" x14ac:dyDescent="0.15">
      <c r="C799" s="2"/>
      <c r="G799" s="3"/>
      <c r="H799" s="3"/>
      <c r="I799" s="3"/>
      <c r="J799" s="3"/>
      <c r="K799" s="3"/>
    </row>
    <row r="800" spans="3:11" ht="15.75" customHeight="1" x14ac:dyDescent="0.15">
      <c r="C800" s="2"/>
      <c r="G800" s="3"/>
      <c r="H800" s="3"/>
      <c r="I800" s="3"/>
      <c r="J800" s="3"/>
      <c r="K800" s="3"/>
    </row>
    <row r="801" spans="3:11" ht="15.75" customHeight="1" x14ac:dyDescent="0.15">
      <c r="C801" s="2"/>
      <c r="G801" s="3"/>
      <c r="H801" s="3"/>
      <c r="I801" s="3"/>
      <c r="J801" s="3"/>
      <c r="K801" s="3"/>
    </row>
    <row r="802" spans="3:11" ht="15.75" customHeight="1" x14ac:dyDescent="0.15">
      <c r="C802" s="2"/>
      <c r="G802" s="3"/>
      <c r="H802" s="3"/>
      <c r="I802" s="3"/>
      <c r="J802" s="3"/>
      <c r="K802" s="3"/>
    </row>
    <row r="803" spans="3:11" ht="15.75" customHeight="1" x14ac:dyDescent="0.15">
      <c r="C803" s="2"/>
      <c r="G803" s="3"/>
      <c r="H803" s="3"/>
      <c r="I803" s="3"/>
      <c r="J803" s="3"/>
      <c r="K803" s="3"/>
    </row>
    <row r="804" spans="3:11" ht="15.75" customHeight="1" x14ac:dyDescent="0.15">
      <c r="C804" s="2"/>
      <c r="G804" s="3"/>
      <c r="H804" s="3"/>
      <c r="I804" s="3"/>
      <c r="J804" s="3"/>
      <c r="K804" s="3"/>
    </row>
    <row r="805" spans="3:11" ht="15.75" customHeight="1" x14ac:dyDescent="0.15">
      <c r="C805" s="2"/>
      <c r="G805" s="3"/>
      <c r="H805" s="3"/>
      <c r="I805" s="3"/>
      <c r="J805" s="3"/>
      <c r="K805" s="3"/>
    </row>
    <row r="806" spans="3:11" ht="15.75" customHeight="1" x14ac:dyDescent="0.15">
      <c r="C806" s="2"/>
      <c r="G806" s="3"/>
      <c r="H806" s="3"/>
      <c r="I806" s="3"/>
      <c r="J806" s="3"/>
      <c r="K806" s="3"/>
    </row>
    <row r="807" spans="3:11" ht="15.75" customHeight="1" x14ac:dyDescent="0.15">
      <c r="C807" s="2"/>
      <c r="G807" s="3"/>
      <c r="H807" s="3"/>
      <c r="I807" s="3"/>
      <c r="J807" s="3"/>
      <c r="K807" s="3"/>
    </row>
    <row r="808" spans="3:11" ht="15.75" customHeight="1" x14ac:dyDescent="0.15">
      <c r="C808" s="2"/>
      <c r="G808" s="3"/>
      <c r="H808" s="3"/>
      <c r="I808" s="3"/>
      <c r="J808" s="3"/>
      <c r="K808" s="3"/>
    </row>
    <row r="809" spans="3:11" ht="15.75" customHeight="1" x14ac:dyDescent="0.15">
      <c r="C809" s="2"/>
      <c r="G809" s="3"/>
      <c r="H809" s="3"/>
      <c r="I809" s="3"/>
      <c r="J809" s="3"/>
      <c r="K809" s="3"/>
    </row>
    <row r="810" spans="3:11" ht="15.75" customHeight="1" x14ac:dyDescent="0.15">
      <c r="C810" s="2"/>
      <c r="G810" s="3"/>
      <c r="H810" s="3"/>
      <c r="I810" s="3"/>
      <c r="J810" s="3"/>
      <c r="K810" s="3"/>
    </row>
    <row r="811" spans="3:11" ht="15.75" customHeight="1" x14ac:dyDescent="0.15">
      <c r="C811" s="2"/>
      <c r="G811" s="3"/>
      <c r="H811" s="3"/>
      <c r="I811" s="3"/>
      <c r="J811" s="3"/>
      <c r="K811" s="3"/>
    </row>
    <row r="812" spans="3:11" ht="15.75" customHeight="1" x14ac:dyDescent="0.15">
      <c r="C812" s="2"/>
      <c r="G812" s="3"/>
      <c r="H812" s="3"/>
      <c r="I812" s="3"/>
      <c r="J812" s="3"/>
      <c r="K812" s="3"/>
    </row>
    <row r="813" spans="3:11" ht="15.75" customHeight="1" x14ac:dyDescent="0.15">
      <c r="C813" s="2"/>
      <c r="G813" s="3"/>
      <c r="H813" s="3"/>
      <c r="I813" s="3"/>
      <c r="J813" s="3"/>
      <c r="K813" s="3"/>
    </row>
    <row r="814" spans="3:11" ht="15.75" customHeight="1" x14ac:dyDescent="0.15">
      <c r="C814" s="2"/>
      <c r="G814" s="3"/>
      <c r="H814" s="3"/>
      <c r="I814" s="3"/>
      <c r="J814" s="3"/>
      <c r="K814" s="3"/>
    </row>
    <row r="815" spans="3:11" ht="15.75" customHeight="1" x14ac:dyDescent="0.15">
      <c r="C815" s="2"/>
      <c r="G815" s="3"/>
      <c r="H815" s="3"/>
      <c r="I815" s="3"/>
      <c r="J815" s="3"/>
      <c r="K815" s="3"/>
    </row>
    <row r="816" spans="3:11" ht="15.75" customHeight="1" x14ac:dyDescent="0.15">
      <c r="C816" s="2"/>
      <c r="G816" s="3"/>
      <c r="H816" s="3"/>
      <c r="I816" s="3"/>
      <c r="J816" s="3"/>
      <c r="K816" s="3"/>
    </row>
    <row r="817" spans="3:11" ht="15.75" customHeight="1" x14ac:dyDescent="0.15">
      <c r="C817" s="2"/>
      <c r="G817" s="3"/>
      <c r="H817" s="3"/>
      <c r="I817" s="3"/>
      <c r="J817" s="3"/>
      <c r="K817" s="3"/>
    </row>
    <row r="818" spans="3:11" ht="15.75" customHeight="1" x14ac:dyDescent="0.15">
      <c r="C818" s="2"/>
      <c r="G818" s="3"/>
      <c r="H818" s="3"/>
      <c r="I818" s="3"/>
      <c r="J818" s="3"/>
      <c r="K818" s="3"/>
    </row>
    <row r="819" spans="3:11" ht="15.75" customHeight="1" x14ac:dyDescent="0.15">
      <c r="C819" s="2"/>
      <c r="G819" s="3"/>
      <c r="H819" s="3"/>
      <c r="I819" s="3"/>
      <c r="J819" s="3"/>
      <c r="K819" s="3"/>
    </row>
    <row r="820" spans="3:11" ht="15.75" customHeight="1" x14ac:dyDescent="0.15">
      <c r="C820" s="2"/>
      <c r="G820" s="3"/>
      <c r="H820" s="3"/>
      <c r="I820" s="3"/>
      <c r="J820" s="3"/>
      <c r="K820" s="3"/>
    </row>
    <row r="821" spans="3:11" ht="15.75" customHeight="1" x14ac:dyDescent="0.15">
      <c r="C821" s="2"/>
      <c r="G821" s="3"/>
      <c r="H821" s="3"/>
      <c r="I821" s="3"/>
      <c r="J821" s="3"/>
      <c r="K821" s="3"/>
    </row>
    <row r="822" spans="3:11" ht="15.75" customHeight="1" x14ac:dyDescent="0.15">
      <c r="C822" s="2"/>
      <c r="G822" s="3"/>
      <c r="H822" s="3"/>
      <c r="I822" s="3"/>
      <c r="J822" s="3"/>
      <c r="K822" s="3"/>
    </row>
    <row r="823" spans="3:11" ht="15.75" customHeight="1" x14ac:dyDescent="0.15">
      <c r="C823" s="2"/>
      <c r="G823" s="3"/>
      <c r="H823" s="3"/>
      <c r="I823" s="3"/>
      <c r="J823" s="3"/>
      <c r="K823" s="3"/>
    </row>
    <row r="824" spans="3:11" ht="15.75" customHeight="1" x14ac:dyDescent="0.15">
      <c r="C824" s="2"/>
      <c r="G824" s="3"/>
      <c r="H824" s="3"/>
      <c r="I824" s="3"/>
      <c r="J824" s="3"/>
      <c r="K824" s="3"/>
    </row>
    <row r="825" spans="3:11" ht="15.75" customHeight="1" x14ac:dyDescent="0.15">
      <c r="C825" s="2"/>
      <c r="G825" s="3"/>
      <c r="H825" s="3"/>
      <c r="I825" s="3"/>
      <c r="J825" s="3"/>
      <c r="K825" s="3"/>
    </row>
    <row r="826" spans="3:11" ht="15.75" customHeight="1" x14ac:dyDescent="0.15">
      <c r="C826" s="2"/>
      <c r="G826" s="3"/>
      <c r="H826" s="3"/>
      <c r="I826" s="3"/>
      <c r="J826" s="3"/>
      <c r="K826" s="3"/>
    </row>
    <row r="827" spans="3:11" ht="15.75" customHeight="1" x14ac:dyDescent="0.15">
      <c r="C827" s="2"/>
      <c r="G827" s="3"/>
      <c r="H827" s="3"/>
      <c r="I827" s="3"/>
      <c r="J827" s="3"/>
      <c r="K827" s="3"/>
    </row>
    <row r="828" spans="3:11" ht="15.75" customHeight="1" x14ac:dyDescent="0.15">
      <c r="C828" s="2"/>
      <c r="G828" s="3"/>
      <c r="H828" s="3"/>
      <c r="I828" s="3"/>
      <c r="J828" s="3"/>
      <c r="K828" s="3"/>
    </row>
    <row r="829" spans="3:11" ht="15.75" customHeight="1" x14ac:dyDescent="0.15">
      <c r="C829" s="2"/>
      <c r="G829" s="3"/>
      <c r="H829" s="3"/>
      <c r="I829" s="3"/>
      <c r="J829" s="3"/>
      <c r="K829" s="3"/>
    </row>
    <row r="830" spans="3:11" ht="15.75" customHeight="1" x14ac:dyDescent="0.15">
      <c r="C830" s="2"/>
      <c r="G830" s="3"/>
      <c r="H830" s="3"/>
      <c r="I830" s="3"/>
      <c r="J830" s="3"/>
      <c r="K830" s="3"/>
    </row>
    <row r="831" spans="3:11" ht="15.75" customHeight="1" x14ac:dyDescent="0.15">
      <c r="C831" s="2"/>
      <c r="G831" s="3"/>
      <c r="H831" s="3"/>
      <c r="I831" s="3"/>
      <c r="J831" s="3"/>
      <c r="K831" s="3"/>
    </row>
    <row r="832" spans="3:11" ht="15.75" customHeight="1" x14ac:dyDescent="0.15">
      <c r="C832" s="2"/>
      <c r="G832" s="3"/>
      <c r="H832" s="3"/>
      <c r="I832" s="3"/>
      <c r="J832" s="3"/>
      <c r="K832" s="3"/>
    </row>
    <row r="833" spans="3:11" ht="15.75" customHeight="1" x14ac:dyDescent="0.15">
      <c r="C833" s="2"/>
      <c r="G833" s="3"/>
      <c r="H833" s="3"/>
      <c r="I833" s="3"/>
      <c r="J833" s="3"/>
      <c r="K833" s="3"/>
    </row>
    <row r="834" spans="3:11" ht="15.75" customHeight="1" x14ac:dyDescent="0.15">
      <c r="C834" s="2"/>
      <c r="G834" s="3"/>
      <c r="H834" s="3"/>
      <c r="I834" s="3"/>
      <c r="J834" s="3"/>
      <c r="K834" s="3"/>
    </row>
    <row r="835" spans="3:11" ht="15.75" customHeight="1" x14ac:dyDescent="0.15">
      <c r="C835" s="2"/>
      <c r="G835" s="3"/>
      <c r="H835" s="3"/>
      <c r="I835" s="3"/>
      <c r="J835" s="3"/>
      <c r="K835" s="3"/>
    </row>
    <row r="836" spans="3:11" ht="15.75" customHeight="1" x14ac:dyDescent="0.15">
      <c r="C836" s="2"/>
      <c r="G836" s="3"/>
      <c r="H836" s="3"/>
      <c r="I836" s="3"/>
      <c r="J836" s="3"/>
      <c r="K836" s="3"/>
    </row>
    <row r="837" spans="3:11" ht="15.75" customHeight="1" x14ac:dyDescent="0.15">
      <c r="C837" s="2"/>
      <c r="G837" s="3"/>
      <c r="H837" s="3"/>
      <c r="I837" s="3"/>
      <c r="J837" s="3"/>
      <c r="K837" s="3"/>
    </row>
    <row r="838" spans="3:11" ht="15.75" customHeight="1" x14ac:dyDescent="0.15">
      <c r="C838" s="2"/>
      <c r="G838" s="3"/>
      <c r="H838" s="3"/>
      <c r="I838" s="3"/>
      <c r="J838" s="3"/>
      <c r="K838" s="3"/>
    </row>
    <row r="839" spans="3:11" ht="15.75" customHeight="1" x14ac:dyDescent="0.15">
      <c r="C839" s="2"/>
      <c r="G839" s="3"/>
      <c r="H839" s="3"/>
      <c r="I839" s="3"/>
      <c r="J839" s="3"/>
      <c r="K839" s="3"/>
    </row>
    <row r="840" spans="3:11" ht="15.75" customHeight="1" x14ac:dyDescent="0.15">
      <c r="C840" s="2"/>
      <c r="G840" s="3"/>
      <c r="H840" s="3"/>
      <c r="I840" s="3"/>
      <c r="J840" s="3"/>
      <c r="K840" s="3"/>
    </row>
    <row r="841" spans="3:11" ht="15.75" customHeight="1" x14ac:dyDescent="0.15">
      <c r="C841" s="2"/>
      <c r="G841" s="3"/>
      <c r="H841" s="3"/>
      <c r="I841" s="3"/>
      <c r="J841" s="3"/>
      <c r="K841" s="3"/>
    </row>
    <row r="842" spans="3:11" ht="15.75" customHeight="1" x14ac:dyDescent="0.15">
      <c r="C842" s="2"/>
      <c r="G842" s="3"/>
      <c r="H842" s="3"/>
      <c r="I842" s="3"/>
      <c r="J842" s="3"/>
      <c r="K842" s="3"/>
    </row>
    <row r="843" spans="3:11" ht="15.75" customHeight="1" x14ac:dyDescent="0.15">
      <c r="C843" s="2"/>
      <c r="G843" s="3"/>
      <c r="H843" s="3"/>
      <c r="I843" s="3"/>
      <c r="J843" s="3"/>
      <c r="K843" s="3"/>
    </row>
    <row r="844" spans="3:11" ht="15.75" customHeight="1" x14ac:dyDescent="0.15">
      <c r="C844" s="2"/>
      <c r="G844" s="3"/>
      <c r="H844" s="3"/>
      <c r="I844" s="3"/>
      <c r="J844" s="3"/>
      <c r="K844" s="3"/>
    </row>
    <row r="845" spans="3:11" ht="15.75" customHeight="1" x14ac:dyDescent="0.15">
      <c r="C845" s="2"/>
      <c r="G845" s="3"/>
      <c r="H845" s="3"/>
      <c r="I845" s="3"/>
      <c r="J845" s="3"/>
      <c r="K845" s="3"/>
    </row>
    <row r="846" spans="3:11" ht="15.75" customHeight="1" x14ac:dyDescent="0.15">
      <c r="C846" s="2"/>
      <c r="G846" s="3"/>
      <c r="H846" s="3"/>
      <c r="I846" s="3"/>
      <c r="J846" s="3"/>
      <c r="K846" s="3"/>
    </row>
    <row r="847" spans="3:11" ht="15.75" customHeight="1" x14ac:dyDescent="0.15">
      <c r="C847" s="2"/>
      <c r="G847" s="3"/>
      <c r="H847" s="3"/>
      <c r="I847" s="3"/>
      <c r="J847" s="3"/>
      <c r="K847" s="3"/>
    </row>
    <row r="848" spans="3:11" ht="15.75" customHeight="1" x14ac:dyDescent="0.15">
      <c r="C848" s="2"/>
      <c r="G848" s="3"/>
      <c r="H848" s="3"/>
      <c r="I848" s="3"/>
      <c r="J848" s="3"/>
      <c r="K848" s="3"/>
    </row>
    <row r="849" spans="3:11" ht="15.75" customHeight="1" x14ac:dyDescent="0.15">
      <c r="C849" s="2"/>
      <c r="G849" s="3"/>
      <c r="H849" s="3"/>
      <c r="I849" s="3"/>
      <c r="J849" s="3"/>
      <c r="K849" s="3"/>
    </row>
    <row r="850" spans="3:11" ht="15.75" customHeight="1" x14ac:dyDescent="0.15">
      <c r="C850" s="2"/>
      <c r="G850" s="3"/>
      <c r="H850" s="3"/>
      <c r="I850" s="3"/>
      <c r="J850" s="3"/>
      <c r="K850" s="3"/>
    </row>
    <row r="851" spans="3:11" ht="15.75" customHeight="1" x14ac:dyDescent="0.15">
      <c r="C851" s="2"/>
      <c r="G851" s="3"/>
      <c r="H851" s="3"/>
      <c r="I851" s="3"/>
      <c r="J851" s="3"/>
      <c r="K851" s="3"/>
    </row>
    <row r="852" spans="3:11" ht="15.75" customHeight="1" x14ac:dyDescent="0.15">
      <c r="C852" s="2"/>
      <c r="G852" s="3"/>
      <c r="H852" s="3"/>
      <c r="I852" s="3"/>
      <c r="J852" s="3"/>
      <c r="K852" s="3"/>
    </row>
    <row r="853" spans="3:11" ht="15.75" customHeight="1" x14ac:dyDescent="0.15">
      <c r="C853" s="2"/>
      <c r="G853" s="3"/>
      <c r="H853" s="3"/>
      <c r="I853" s="3"/>
      <c r="J853" s="3"/>
      <c r="K853" s="3"/>
    </row>
    <row r="854" spans="3:11" ht="15.75" customHeight="1" x14ac:dyDescent="0.15">
      <c r="C854" s="2"/>
      <c r="G854" s="3"/>
      <c r="H854" s="3"/>
      <c r="I854" s="3"/>
      <c r="J854" s="3"/>
      <c r="K854" s="3"/>
    </row>
    <row r="855" spans="3:11" ht="15.75" customHeight="1" x14ac:dyDescent="0.15">
      <c r="C855" s="2"/>
      <c r="G855" s="3"/>
      <c r="H855" s="3"/>
      <c r="I855" s="3"/>
      <c r="J855" s="3"/>
      <c r="K855" s="3"/>
    </row>
    <row r="856" spans="3:11" ht="15.75" customHeight="1" x14ac:dyDescent="0.15">
      <c r="C856" s="2"/>
      <c r="G856" s="3"/>
      <c r="H856" s="3"/>
      <c r="I856" s="3"/>
      <c r="J856" s="3"/>
      <c r="K856" s="3"/>
    </row>
    <row r="857" spans="3:11" ht="15.75" customHeight="1" x14ac:dyDescent="0.15">
      <c r="C857" s="2"/>
      <c r="G857" s="3"/>
      <c r="H857" s="3"/>
      <c r="I857" s="3"/>
      <c r="J857" s="3"/>
      <c r="K857" s="3"/>
    </row>
    <row r="858" spans="3:11" ht="15.75" customHeight="1" x14ac:dyDescent="0.15">
      <c r="C858" s="2"/>
      <c r="G858" s="3"/>
      <c r="H858" s="3"/>
      <c r="I858" s="3"/>
      <c r="J858" s="3"/>
      <c r="K858" s="3"/>
    </row>
    <row r="859" spans="3:11" ht="15.75" customHeight="1" x14ac:dyDescent="0.15">
      <c r="C859" s="2"/>
      <c r="G859" s="3"/>
      <c r="H859" s="3"/>
      <c r="I859" s="3"/>
      <c r="J859" s="3"/>
      <c r="K859" s="3"/>
    </row>
    <row r="860" spans="3:11" ht="15.75" customHeight="1" x14ac:dyDescent="0.15">
      <c r="C860" s="2"/>
      <c r="G860" s="3"/>
      <c r="H860" s="3"/>
      <c r="I860" s="3"/>
      <c r="J860" s="3"/>
      <c r="K860" s="3"/>
    </row>
    <row r="861" spans="3:11" ht="15.75" customHeight="1" x14ac:dyDescent="0.15">
      <c r="C861" s="2"/>
      <c r="G861" s="3"/>
      <c r="H861" s="3"/>
      <c r="I861" s="3"/>
      <c r="J861" s="3"/>
      <c r="K861" s="3"/>
    </row>
    <row r="862" spans="3:11" ht="15.75" customHeight="1" x14ac:dyDescent="0.15">
      <c r="C862" s="2"/>
      <c r="G862" s="3"/>
      <c r="H862" s="3"/>
      <c r="I862" s="3"/>
      <c r="J862" s="3"/>
      <c r="K862" s="3"/>
    </row>
    <row r="863" spans="3:11" ht="15.75" customHeight="1" x14ac:dyDescent="0.15">
      <c r="C863" s="2"/>
      <c r="G863" s="3"/>
      <c r="H863" s="3"/>
      <c r="I863" s="3"/>
      <c r="J863" s="3"/>
      <c r="K863" s="3"/>
    </row>
    <row r="864" spans="3:11" ht="15.75" customHeight="1" x14ac:dyDescent="0.15">
      <c r="C864" s="2"/>
      <c r="G864" s="3"/>
      <c r="H864" s="3"/>
      <c r="I864" s="3"/>
      <c r="J864" s="3"/>
      <c r="K864" s="3"/>
    </row>
    <row r="865" spans="3:11" ht="15.75" customHeight="1" x14ac:dyDescent="0.15">
      <c r="C865" s="2"/>
      <c r="G865" s="3"/>
      <c r="H865" s="3"/>
      <c r="I865" s="3"/>
      <c r="J865" s="3"/>
      <c r="K865" s="3"/>
    </row>
    <row r="866" spans="3:11" ht="15.75" customHeight="1" x14ac:dyDescent="0.15">
      <c r="C866" s="2"/>
      <c r="G866" s="3"/>
      <c r="H866" s="3"/>
      <c r="I866" s="3"/>
      <c r="J866" s="3"/>
      <c r="K866" s="3"/>
    </row>
    <row r="867" spans="3:11" ht="15.75" customHeight="1" x14ac:dyDescent="0.15">
      <c r="C867" s="2"/>
      <c r="G867" s="3"/>
      <c r="H867" s="3"/>
      <c r="I867" s="3"/>
      <c r="J867" s="3"/>
      <c r="K867" s="3"/>
    </row>
    <row r="868" spans="3:11" ht="15.75" customHeight="1" x14ac:dyDescent="0.15">
      <c r="C868" s="2"/>
      <c r="G868" s="3"/>
      <c r="H868" s="3"/>
      <c r="I868" s="3"/>
      <c r="J868" s="3"/>
      <c r="K868" s="3"/>
    </row>
    <row r="869" spans="3:11" ht="15.75" customHeight="1" x14ac:dyDescent="0.15">
      <c r="C869" s="2"/>
      <c r="G869" s="3"/>
      <c r="H869" s="3"/>
      <c r="I869" s="3"/>
      <c r="J869" s="3"/>
      <c r="K869" s="3"/>
    </row>
    <row r="870" spans="3:11" ht="15.75" customHeight="1" x14ac:dyDescent="0.15">
      <c r="C870" s="2"/>
      <c r="G870" s="3"/>
      <c r="H870" s="3"/>
      <c r="I870" s="3"/>
      <c r="J870" s="3"/>
      <c r="K870" s="3"/>
    </row>
    <row r="871" spans="3:11" ht="15.75" customHeight="1" x14ac:dyDescent="0.15">
      <c r="C871" s="2"/>
      <c r="G871" s="3"/>
      <c r="H871" s="3"/>
      <c r="I871" s="3"/>
      <c r="J871" s="3"/>
      <c r="K871" s="3"/>
    </row>
    <row r="872" spans="3:11" ht="15.75" customHeight="1" x14ac:dyDescent="0.15">
      <c r="C872" s="2"/>
      <c r="G872" s="3"/>
      <c r="H872" s="3"/>
      <c r="I872" s="3"/>
      <c r="J872" s="3"/>
      <c r="K872" s="3"/>
    </row>
    <row r="873" spans="3:11" ht="15.75" customHeight="1" x14ac:dyDescent="0.15">
      <c r="C873" s="2"/>
      <c r="G873" s="3"/>
      <c r="H873" s="3"/>
      <c r="I873" s="3"/>
      <c r="J873" s="3"/>
      <c r="K873" s="3"/>
    </row>
    <row r="874" spans="3:11" ht="15.75" customHeight="1" x14ac:dyDescent="0.15">
      <c r="C874" s="2"/>
      <c r="G874" s="3"/>
      <c r="H874" s="3"/>
      <c r="I874" s="3"/>
      <c r="J874" s="3"/>
      <c r="K874" s="3"/>
    </row>
    <row r="875" spans="3:11" ht="15.75" customHeight="1" x14ac:dyDescent="0.15">
      <c r="C875" s="2"/>
      <c r="G875" s="3"/>
      <c r="H875" s="3"/>
      <c r="I875" s="3"/>
      <c r="J875" s="3"/>
      <c r="K875" s="3"/>
    </row>
    <row r="876" spans="3:11" ht="15.75" customHeight="1" x14ac:dyDescent="0.15">
      <c r="C876" s="2"/>
      <c r="G876" s="3"/>
      <c r="H876" s="3"/>
      <c r="I876" s="3"/>
      <c r="J876" s="3"/>
      <c r="K876" s="3"/>
    </row>
    <row r="877" spans="3:11" ht="15.75" customHeight="1" x14ac:dyDescent="0.15">
      <c r="C877" s="2"/>
      <c r="G877" s="3"/>
      <c r="H877" s="3"/>
      <c r="I877" s="3"/>
      <c r="J877" s="3"/>
      <c r="K877" s="3"/>
    </row>
    <row r="878" spans="3:11" ht="15.75" customHeight="1" x14ac:dyDescent="0.15">
      <c r="C878" s="2"/>
      <c r="G878" s="3"/>
      <c r="H878" s="3"/>
      <c r="I878" s="3"/>
      <c r="J878" s="3"/>
      <c r="K878" s="3"/>
    </row>
    <row r="879" spans="3:11" ht="15.75" customHeight="1" x14ac:dyDescent="0.15">
      <c r="C879" s="2"/>
      <c r="G879" s="3"/>
      <c r="H879" s="3"/>
      <c r="I879" s="3"/>
      <c r="J879" s="3"/>
      <c r="K879" s="3"/>
    </row>
    <row r="880" spans="3:11" ht="15.75" customHeight="1" x14ac:dyDescent="0.15">
      <c r="C880" s="2"/>
      <c r="G880" s="3"/>
      <c r="H880" s="3"/>
      <c r="I880" s="3"/>
      <c r="J880" s="3"/>
      <c r="K880" s="3"/>
    </row>
    <row r="881" spans="3:11" ht="15.75" customHeight="1" x14ac:dyDescent="0.15">
      <c r="C881" s="2"/>
      <c r="G881" s="3"/>
      <c r="H881" s="3"/>
      <c r="I881" s="3"/>
      <c r="J881" s="3"/>
      <c r="K881" s="3"/>
    </row>
    <row r="882" spans="3:11" ht="15.75" customHeight="1" x14ac:dyDescent="0.15">
      <c r="C882" s="2"/>
      <c r="G882" s="3"/>
      <c r="H882" s="3"/>
      <c r="I882" s="3"/>
      <c r="J882" s="3"/>
      <c r="K882" s="3"/>
    </row>
    <row r="883" spans="3:11" ht="15.75" customHeight="1" x14ac:dyDescent="0.15">
      <c r="C883" s="2"/>
      <c r="G883" s="3"/>
      <c r="H883" s="3"/>
      <c r="I883" s="3"/>
      <c r="J883" s="3"/>
      <c r="K883" s="3"/>
    </row>
    <row r="884" spans="3:11" ht="15.75" customHeight="1" x14ac:dyDescent="0.15">
      <c r="C884" s="2"/>
      <c r="G884" s="3"/>
      <c r="H884" s="3"/>
      <c r="I884" s="3"/>
      <c r="J884" s="3"/>
      <c r="K884" s="3"/>
    </row>
    <row r="885" spans="3:11" ht="15.75" customHeight="1" x14ac:dyDescent="0.15">
      <c r="C885" s="2"/>
      <c r="G885" s="3"/>
      <c r="H885" s="3"/>
      <c r="I885" s="3"/>
      <c r="J885" s="3"/>
      <c r="K885" s="3"/>
    </row>
    <row r="886" spans="3:11" ht="15.75" customHeight="1" x14ac:dyDescent="0.15">
      <c r="C886" s="2"/>
      <c r="G886" s="3"/>
      <c r="H886" s="3"/>
      <c r="I886" s="3"/>
      <c r="J886" s="3"/>
      <c r="K886" s="3"/>
    </row>
    <row r="887" spans="3:11" ht="15.75" customHeight="1" x14ac:dyDescent="0.15">
      <c r="C887" s="2"/>
      <c r="G887" s="3"/>
      <c r="H887" s="3"/>
      <c r="I887" s="3"/>
      <c r="J887" s="3"/>
      <c r="K887" s="3"/>
    </row>
    <row r="888" spans="3:11" ht="15.75" customHeight="1" x14ac:dyDescent="0.15">
      <c r="C888" s="2"/>
      <c r="G888" s="3"/>
      <c r="H888" s="3"/>
      <c r="I888" s="3"/>
      <c r="J888" s="3"/>
      <c r="K888" s="3"/>
    </row>
    <row r="889" spans="3:11" ht="15.75" customHeight="1" x14ac:dyDescent="0.15">
      <c r="C889" s="2"/>
      <c r="G889" s="3"/>
      <c r="H889" s="3"/>
      <c r="I889" s="3"/>
      <c r="J889" s="3"/>
      <c r="K889" s="3"/>
    </row>
    <row r="890" spans="3:11" ht="15.75" customHeight="1" x14ac:dyDescent="0.15">
      <c r="C890" s="2"/>
      <c r="G890" s="3"/>
      <c r="H890" s="3"/>
      <c r="I890" s="3"/>
      <c r="J890" s="3"/>
      <c r="K890" s="3"/>
    </row>
    <row r="891" spans="3:11" ht="15.75" customHeight="1" x14ac:dyDescent="0.15">
      <c r="C891" s="2"/>
      <c r="G891" s="3"/>
      <c r="H891" s="3"/>
      <c r="I891" s="3"/>
      <c r="J891" s="3"/>
      <c r="K891" s="3"/>
    </row>
    <row r="892" spans="3:11" ht="15.75" customHeight="1" x14ac:dyDescent="0.15">
      <c r="C892" s="2"/>
      <c r="G892" s="3"/>
      <c r="H892" s="3"/>
      <c r="I892" s="3"/>
      <c r="J892" s="3"/>
      <c r="K892" s="3"/>
    </row>
    <row r="893" spans="3:11" ht="15.75" customHeight="1" x14ac:dyDescent="0.15">
      <c r="C893" s="2"/>
      <c r="G893" s="3"/>
      <c r="H893" s="3"/>
      <c r="I893" s="3"/>
      <c r="J893" s="3"/>
      <c r="K893" s="3"/>
    </row>
    <row r="894" spans="3:11" ht="15.75" customHeight="1" x14ac:dyDescent="0.15">
      <c r="C894" s="2"/>
      <c r="G894" s="3"/>
      <c r="H894" s="3"/>
      <c r="I894" s="3"/>
      <c r="J894" s="3"/>
      <c r="K894" s="3"/>
    </row>
    <row r="895" spans="3:11" ht="15.75" customHeight="1" x14ac:dyDescent="0.15">
      <c r="C895" s="2"/>
      <c r="G895" s="3"/>
      <c r="H895" s="3"/>
      <c r="I895" s="3"/>
      <c r="J895" s="3"/>
      <c r="K895" s="3"/>
    </row>
    <row r="896" spans="3:11" ht="15.75" customHeight="1" x14ac:dyDescent="0.15">
      <c r="C896" s="2"/>
      <c r="G896" s="3"/>
      <c r="H896" s="3"/>
      <c r="I896" s="3"/>
      <c r="J896" s="3"/>
      <c r="K896" s="3"/>
    </row>
    <row r="897" spans="3:11" ht="15.75" customHeight="1" x14ac:dyDescent="0.15">
      <c r="C897" s="2"/>
      <c r="G897" s="3"/>
      <c r="H897" s="3"/>
      <c r="I897" s="3"/>
      <c r="J897" s="3"/>
      <c r="K897" s="3"/>
    </row>
    <row r="898" spans="3:11" ht="15.75" customHeight="1" x14ac:dyDescent="0.15">
      <c r="C898" s="2"/>
      <c r="G898" s="3"/>
      <c r="H898" s="3"/>
      <c r="I898" s="3"/>
      <c r="J898" s="3"/>
      <c r="K898" s="3"/>
    </row>
    <row r="899" spans="3:11" ht="15.75" customHeight="1" x14ac:dyDescent="0.15">
      <c r="C899" s="2"/>
      <c r="G899" s="3"/>
      <c r="H899" s="3"/>
      <c r="I899" s="3"/>
      <c r="J899" s="3"/>
      <c r="K899" s="3"/>
    </row>
    <row r="900" spans="3:11" ht="15.75" customHeight="1" x14ac:dyDescent="0.15">
      <c r="C900" s="2"/>
      <c r="G900" s="3"/>
      <c r="H900" s="3"/>
      <c r="I900" s="3"/>
      <c r="J900" s="3"/>
      <c r="K900" s="3"/>
    </row>
    <row r="901" spans="3:11" ht="15.75" customHeight="1" x14ac:dyDescent="0.15">
      <c r="C901" s="2"/>
      <c r="G901" s="3"/>
      <c r="H901" s="3"/>
      <c r="I901" s="3"/>
      <c r="J901" s="3"/>
      <c r="K901" s="3"/>
    </row>
    <row r="902" spans="3:11" ht="15.75" customHeight="1" x14ac:dyDescent="0.15">
      <c r="C902" s="2"/>
      <c r="G902" s="3"/>
      <c r="H902" s="3"/>
      <c r="I902" s="3"/>
      <c r="J902" s="3"/>
      <c r="K902" s="3"/>
    </row>
    <row r="903" spans="3:11" ht="15.75" customHeight="1" x14ac:dyDescent="0.15">
      <c r="C903" s="2"/>
      <c r="G903" s="3"/>
      <c r="H903" s="3"/>
      <c r="I903" s="3"/>
      <c r="J903" s="3"/>
      <c r="K903" s="3"/>
    </row>
    <row r="904" spans="3:11" ht="15.75" customHeight="1" x14ac:dyDescent="0.15">
      <c r="C904" s="2"/>
      <c r="G904" s="3"/>
      <c r="H904" s="3"/>
      <c r="I904" s="3"/>
      <c r="J904" s="3"/>
      <c r="K904" s="3"/>
    </row>
    <row r="905" spans="3:11" ht="15.75" customHeight="1" x14ac:dyDescent="0.15">
      <c r="C905" s="2"/>
      <c r="G905" s="3"/>
      <c r="H905" s="3"/>
      <c r="I905" s="3"/>
      <c r="J905" s="3"/>
      <c r="K905" s="3"/>
    </row>
    <row r="906" spans="3:11" ht="15.75" customHeight="1" x14ac:dyDescent="0.15">
      <c r="C906" s="2"/>
      <c r="G906" s="3"/>
      <c r="H906" s="3"/>
      <c r="I906" s="3"/>
      <c r="J906" s="3"/>
      <c r="K906" s="3"/>
    </row>
    <row r="907" spans="3:11" ht="15.75" customHeight="1" x14ac:dyDescent="0.15">
      <c r="C907" s="2"/>
      <c r="G907" s="3"/>
      <c r="H907" s="3"/>
      <c r="I907" s="3"/>
      <c r="J907" s="3"/>
      <c r="K907" s="3"/>
    </row>
    <row r="908" spans="3:11" ht="15.75" customHeight="1" x14ac:dyDescent="0.15">
      <c r="C908" s="2"/>
      <c r="G908" s="3"/>
      <c r="H908" s="3"/>
      <c r="I908" s="3"/>
      <c r="J908" s="3"/>
      <c r="K908" s="3"/>
    </row>
    <row r="909" spans="3:11" ht="15.75" customHeight="1" x14ac:dyDescent="0.15">
      <c r="C909" s="2"/>
      <c r="G909" s="3"/>
      <c r="H909" s="3"/>
      <c r="I909" s="3"/>
      <c r="J909" s="3"/>
      <c r="K909" s="3"/>
    </row>
    <row r="910" spans="3:11" ht="15.75" customHeight="1" x14ac:dyDescent="0.15">
      <c r="C910" s="2"/>
      <c r="G910" s="3"/>
      <c r="H910" s="3"/>
      <c r="I910" s="3"/>
      <c r="J910" s="3"/>
      <c r="K910" s="3"/>
    </row>
    <row r="911" spans="3:11" ht="15.75" customHeight="1" x14ac:dyDescent="0.15">
      <c r="C911" s="2"/>
      <c r="G911" s="3"/>
      <c r="H911" s="3"/>
      <c r="I911" s="3"/>
      <c r="J911" s="3"/>
      <c r="K911" s="3"/>
    </row>
    <row r="912" spans="3:11" ht="15.75" customHeight="1" x14ac:dyDescent="0.15">
      <c r="C912" s="2"/>
      <c r="G912" s="3"/>
      <c r="H912" s="3"/>
      <c r="I912" s="3"/>
      <c r="J912" s="3"/>
      <c r="K912" s="3"/>
    </row>
    <row r="913" spans="3:11" ht="15.75" customHeight="1" x14ac:dyDescent="0.15">
      <c r="C913" s="2"/>
      <c r="G913" s="3"/>
      <c r="H913" s="3"/>
      <c r="I913" s="3"/>
      <c r="J913" s="3"/>
      <c r="K913" s="3"/>
    </row>
    <row r="914" spans="3:11" ht="15.75" customHeight="1" x14ac:dyDescent="0.15">
      <c r="C914" s="2"/>
      <c r="G914" s="3"/>
      <c r="H914" s="3"/>
      <c r="I914" s="3"/>
      <c r="J914" s="3"/>
      <c r="K914" s="3"/>
    </row>
    <row r="915" spans="3:11" ht="15.75" customHeight="1" x14ac:dyDescent="0.15">
      <c r="C915" s="2"/>
      <c r="G915" s="3"/>
      <c r="H915" s="3"/>
      <c r="I915" s="3"/>
      <c r="J915" s="3"/>
      <c r="K915" s="3"/>
    </row>
    <row r="916" spans="3:11" ht="15.75" customHeight="1" x14ac:dyDescent="0.15">
      <c r="C916" s="2"/>
      <c r="G916" s="3"/>
      <c r="H916" s="3"/>
      <c r="I916" s="3"/>
      <c r="J916" s="3"/>
      <c r="K916" s="3"/>
    </row>
    <row r="917" spans="3:11" ht="15.75" customHeight="1" x14ac:dyDescent="0.15">
      <c r="C917" s="2"/>
      <c r="G917" s="3"/>
      <c r="H917" s="3"/>
      <c r="I917" s="3"/>
      <c r="J917" s="3"/>
      <c r="K917" s="3"/>
    </row>
    <row r="918" spans="3:11" ht="15.75" customHeight="1" x14ac:dyDescent="0.15">
      <c r="C918" s="2"/>
      <c r="G918" s="3"/>
      <c r="H918" s="3"/>
      <c r="I918" s="3"/>
      <c r="J918" s="3"/>
      <c r="K918" s="3"/>
    </row>
    <row r="919" spans="3:11" ht="15.75" customHeight="1" x14ac:dyDescent="0.15">
      <c r="C919" s="2"/>
      <c r="G919" s="3"/>
      <c r="H919" s="3"/>
      <c r="I919" s="3"/>
      <c r="J919" s="3"/>
      <c r="K919" s="3"/>
    </row>
    <row r="920" spans="3:11" ht="15.75" customHeight="1" x14ac:dyDescent="0.15">
      <c r="C920" s="2"/>
      <c r="G920" s="3"/>
      <c r="H920" s="3"/>
      <c r="I920" s="3"/>
      <c r="J920" s="3"/>
      <c r="K920" s="3"/>
    </row>
    <row r="921" spans="3:11" ht="15.75" customHeight="1" x14ac:dyDescent="0.15">
      <c r="C921" s="2"/>
      <c r="G921" s="3"/>
      <c r="H921" s="3"/>
      <c r="I921" s="3"/>
      <c r="J921" s="3"/>
      <c r="K921" s="3"/>
    </row>
    <row r="922" spans="3:11" ht="15.75" customHeight="1" x14ac:dyDescent="0.15">
      <c r="C922" s="2"/>
      <c r="G922" s="3"/>
      <c r="H922" s="3"/>
      <c r="I922" s="3"/>
      <c r="J922" s="3"/>
      <c r="K922" s="3"/>
    </row>
    <row r="923" spans="3:11" ht="15.75" customHeight="1" x14ac:dyDescent="0.15">
      <c r="C923" s="2"/>
      <c r="G923" s="3"/>
      <c r="H923" s="3"/>
      <c r="I923" s="3"/>
      <c r="J923" s="3"/>
      <c r="K923" s="3"/>
    </row>
    <row r="924" spans="3:11" ht="15.75" customHeight="1" x14ac:dyDescent="0.15">
      <c r="C924" s="2"/>
      <c r="G924" s="3"/>
      <c r="H924" s="3"/>
      <c r="I924" s="3"/>
      <c r="J924" s="3"/>
      <c r="K924" s="3"/>
    </row>
    <row r="925" spans="3:11" ht="15.75" customHeight="1" x14ac:dyDescent="0.15">
      <c r="C925" s="2"/>
      <c r="G925" s="3"/>
      <c r="H925" s="3"/>
      <c r="I925" s="3"/>
      <c r="J925" s="3"/>
      <c r="K925" s="3"/>
    </row>
    <row r="926" spans="3:11" ht="15.75" customHeight="1" x14ac:dyDescent="0.15">
      <c r="C926" s="2"/>
      <c r="G926" s="3"/>
      <c r="H926" s="3"/>
      <c r="I926" s="3"/>
      <c r="J926" s="3"/>
      <c r="K926" s="3"/>
    </row>
    <row r="927" spans="3:11" ht="15.75" customHeight="1" x14ac:dyDescent="0.15">
      <c r="C927" s="2"/>
      <c r="G927" s="3"/>
      <c r="H927" s="3"/>
      <c r="I927" s="3"/>
      <c r="J927" s="3"/>
      <c r="K927" s="3"/>
    </row>
    <row r="928" spans="3:11" ht="15.75" customHeight="1" x14ac:dyDescent="0.15">
      <c r="C928" s="2"/>
      <c r="G928" s="3"/>
      <c r="H928" s="3"/>
      <c r="I928" s="3"/>
      <c r="J928" s="3"/>
      <c r="K928" s="3"/>
    </row>
    <row r="929" spans="3:11" ht="15.75" customHeight="1" x14ac:dyDescent="0.15">
      <c r="C929" s="2"/>
      <c r="G929" s="3"/>
      <c r="H929" s="3"/>
      <c r="I929" s="3"/>
      <c r="J929" s="3"/>
      <c r="K929" s="3"/>
    </row>
    <row r="930" spans="3:11" ht="15.75" customHeight="1" x14ac:dyDescent="0.15">
      <c r="C930" s="2"/>
      <c r="G930" s="3"/>
      <c r="H930" s="3"/>
      <c r="I930" s="3"/>
      <c r="J930" s="3"/>
      <c r="K930" s="3"/>
    </row>
    <row r="931" spans="3:11" ht="15.75" customHeight="1" x14ac:dyDescent="0.15">
      <c r="C931" s="2"/>
      <c r="G931" s="3"/>
      <c r="H931" s="3"/>
      <c r="I931" s="3"/>
      <c r="J931" s="3"/>
      <c r="K931" s="3"/>
    </row>
    <row r="932" spans="3:11" ht="15.75" customHeight="1" x14ac:dyDescent="0.15">
      <c r="C932" s="2"/>
      <c r="G932" s="3"/>
      <c r="H932" s="3"/>
      <c r="I932" s="3"/>
      <c r="J932" s="3"/>
      <c r="K932" s="3"/>
    </row>
    <row r="933" spans="3:11" ht="15.75" customHeight="1" x14ac:dyDescent="0.15">
      <c r="C933" s="2"/>
      <c r="G933" s="3"/>
      <c r="H933" s="3"/>
      <c r="I933" s="3"/>
      <c r="J933" s="3"/>
      <c r="K933" s="3"/>
    </row>
    <row r="934" spans="3:11" ht="15.75" customHeight="1" x14ac:dyDescent="0.15">
      <c r="C934" s="2"/>
      <c r="G934" s="3"/>
      <c r="H934" s="3"/>
      <c r="I934" s="3"/>
      <c r="J934" s="3"/>
      <c r="K934" s="3"/>
    </row>
    <row r="935" spans="3:11" ht="15.75" customHeight="1" x14ac:dyDescent="0.15">
      <c r="C935" s="2"/>
      <c r="G935" s="3"/>
      <c r="H935" s="3"/>
      <c r="I935" s="3"/>
      <c r="J935" s="3"/>
      <c r="K935" s="3"/>
    </row>
    <row r="936" spans="3:11" ht="15.75" customHeight="1" x14ac:dyDescent="0.15">
      <c r="C936" s="2"/>
      <c r="G936" s="3"/>
      <c r="H936" s="3"/>
      <c r="I936" s="3"/>
      <c r="J936" s="3"/>
      <c r="K936" s="3"/>
    </row>
    <row r="937" spans="3:11" ht="15.75" customHeight="1" x14ac:dyDescent="0.15">
      <c r="C937" s="2"/>
      <c r="G937" s="3"/>
      <c r="H937" s="3"/>
      <c r="I937" s="3"/>
      <c r="J937" s="3"/>
      <c r="K937" s="3"/>
    </row>
    <row r="938" spans="3:11" ht="15.75" customHeight="1" x14ac:dyDescent="0.15">
      <c r="C938" s="2"/>
      <c r="G938" s="3"/>
      <c r="H938" s="3"/>
      <c r="I938" s="3"/>
      <c r="J938" s="3"/>
      <c r="K938" s="3"/>
    </row>
    <row r="939" spans="3:11" ht="15.75" customHeight="1" x14ac:dyDescent="0.15">
      <c r="C939" s="2"/>
      <c r="G939" s="3"/>
      <c r="H939" s="3"/>
      <c r="I939" s="3"/>
      <c r="J939" s="3"/>
      <c r="K939" s="3"/>
    </row>
    <row r="940" spans="3:11" ht="15.75" customHeight="1" x14ac:dyDescent="0.15">
      <c r="C940" s="2"/>
      <c r="G940" s="3"/>
      <c r="H940" s="3"/>
      <c r="I940" s="3"/>
      <c r="J940" s="3"/>
      <c r="K940" s="3"/>
    </row>
    <row r="941" spans="3:11" ht="15.75" customHeight="1" x14ac:dyDescent="0.15">
      <c r="C941" s="2"/>
      <c r="G941" s="3"/>
      <c r="H941" s="3"/>
      <c r="I941" s="3"/>
      <c r="J941" s="3"/>
      <c r="K941" s="3"/>
    </row>
    <row r="942" spans="3:11" ht="15.75" customHeight="1" x14ac:dyDescent="0.15">
      <c r="C942" s="2"/>
      <c r="G942" s="3"/>
      <c r="H942" s="3"/>
      <c r="I942" s="3"/>
      <c r="J942" s="3"/>
      <c r="K942" s="3"/>
    </row>
    <row r="943" spans="3:11" ht="15.75" customHeight="1" x14ac:dyDescent="0.15">
      <c r="C943" s="2"/>
      <c r="G943" s="3"/>
      <c r="H943" s="3"/>
      <c r="I943" s="3"/>
      <c r="J943" s="3"/>
      <c r="K943" s="3"/>
    </row>
    <row r="944" spans="3:11" ht="15.75" customHeight="1" x14ac:dyDescent="0.15">
      <c r="C944" s="2"/>
      <c r="G944" s="3"/>
      <c r="H944" s="3"/>
      <c r="I944" s="3"/>
      <c r="J944" s="3"/>
      <c r="K944" s="3"/>
    </row>
    <row r="945" spans="3:11" ht="15.75" customHeight="1" x14ac:dyDescent="0.15">
      <c r="C945" s="2"/>
      <c r="G945" s="3"/>
      <c r="H945" s="3"/>
      <c r="I945" s="3"/>
      <c r="J945" s="3"/>
      <c r="K945" s="3"/>
    </row>
    <row r="946" spans="3:11" ht="15.75" customHeight="1" x14ac:dyDescent="0.15">
      <c r="C946" s="2"/>
      <c r="G946" s="3"/>
      <c r="H946" s="3"/>
      <c r="I946" s="3"/>
      <c r="J946" s="3"/>
      <c r="K946" s="3"/>
    </row>
    <row r="947" spans="3:11" ht="15.75" customHeight="1" x14ac:dyDescent="0.15">
      <c r="C947" s="2"/>
      <c r="G947" s="3"/>
      <c r="H947" s="3"/>
      <c r="I947" s="3"/>
      <c r="J947" s="3"/>
      <c r="K947" s="3"/>
    </row>
    <row r="948" spans="3:11" ht="15.75" customHeight="1" x14ac:dyDescent="0.15">
      <c r="C948" s="2"/>
      <c r="G948" s="3"/>
      <c r="H948" s="3"/>
      <c r="I948" s="3"/>
      <c r="J948" s="3"/>
      <c r="K948" s="3"/>
    </row>
    <row r="949" spans="3:11" ht="15.75" customHeight="1" x14ac:dyDescent="0.15">
      <c r="C949" s="2"/>
      <c r="G949" s="3"/>
      <c r="H949" s="3"/>
      <c r="I949" s="3"/>
      <c r="J949" s="3"/>
      <c r="K949" s="3"/>
    </row>
    <row r="950" spans="3:11" ht="15.75" customHeight="1" x14ac:dyDescent="0.15">
      <c r="C950" s="2"/>
      <c r="G950" s="3"/>
      <c r="H950" s="3"/>
      <c r="I950" s="3"/>
      <c r="J950" s="3"/>
      <c r="K950" s="3"/>
    </row>
    <row r="951" spans="3:11" ht="15.75" customHeight="1" x14ac:dyDescent="0.15">
      <c r="C951" s="2"/>
      <c r="G951" s="3"/>
      <c r="H951" s="3"/>
      <c r="I951" s="3"/>
      <c r="J951" s="3"/>
      <c r="K951" s="3"/>
    </row>
    <row r="952" spans="3:11" ht="15.75" customHeight="1" x14ac:dyDescent="0.15">
      <c r="C952" s="2"/>
      <c r="G952" s="3"/>
      <c r="H952" s="3"/>
      <c r="I952" s="3"/>
      <c r="J952" s="3"/>
      <c r="K952" s="3"/>
    </row>
    <row r="953" spans="3:11" ht="15.75" customHeight="1" x14ac:dyDescent="0.15">
      <c r="C953" s="2"/>
      <c r="G953" s="3"/>
      <c r="H953" s="3"/>
      <c r="I953" s="3"/>
      <c r="J953" s="3"/>
      <c r="K953" s="3"/>
    </row>
    <row r="954" spans="3:11" ht="15.75" customHeight="1" x14ac:dyDescent="0.15">
      <c r="C954" s="2"/>
      <c r="G954" s="3"/>
      <c r="H954" s="3"/>
      <c r="I954" s="3"/>
      <c r="J954" s="3"/>
      <c r="K954" s="3"/>
    </row>
    <row r="955" spans="3:11" ht="15.75" customHeight="1" x14ac:dyDescent="0.15">
      <c r="C955" s="2"/>
      <c r="G955" s="3"/>
      <c r="H955" s="3"/>
      <c r="I955" s="3"/>
      <c r="J955" s="3"/>
      <c r="K955" s="3"/>
    </row>
    <row r="956" spans="3:11" ht="15.75" customHeight="1" x14ac:dyDescent="0.15">
      <c r="C956" s="2"/>
      <c r="G956" s="3"/>
      <c r="H956" s="3"/>
      <c r="I956" s="3"/>
      <c r="J956" s="3"/>
      <c r="K956" s="3"/>
    </row>
    <row r="957" spans="3:11" ht="15.75" customHeight="1" x14ac:dyDescent="0.15">
      <c r="C957" s="2"/>
      <c r="G957" s="3"/>
      <c r="H957" s="3"/>
      <c r="I957" s="3"/>
      <c r="J957" s="3"/>
      <c r="K957" s="3"/>
    </row>
    <row r="958" spans="3:11" ht="15.75" customHeight="1" x14ac:dyDescent="0.15">
      <c r="C958" s="2"/>
      <c r="G958" s="3"/>
      <c r="H958" s="3"/>
      <c r="I958" s="3"/>
      <c r="J958" s="3"/>
      <c r="K958" s="3"/>
    </row>
    <row r="959" spans="3:11" ht="15.75" customHeight="1" x14ac:dyDescent="0.15">
      <c r="C959" s="2"/>
      <c r="G959" s="3"/>
      <c r="H959" s="3"/>
      <c r="I959" s="3"/>
      <c r="J959" s="3"/>
      <c r="K959" s="3"/>
    </row>
    <row r="960" spans="3:11" ht="15.75" customHeight="1" x14ac:dyDescent="0.15">
      <c r="C960" s="2"/>
      <c r="G960" s="3"/>
      <c r="H960" s="3"/>
      <c r="I960" s="3"/>
      <c r="J960" s="3"/>
      <c r="K960" s="3"/>
    </row>
    <row r="961" spans="3:11" ht="15.75" customHeight="1" x14ac:dyDescent="0.15">
      <c r="C961" s="2"/>
      <c r="G961" s="3"/>
      <c r="H961" s="3"/>
      <c r="I961" s="3"/>
      <c r="J961" s="3"/>
      <c r="K961" s="3"/>
    </row>
    <row r="962" spans="3:11" ht="15.75" customHeight="1" x14ac:dyDescent="0.15">
      <c r="C962" s="2"/>
      <c r="G962" s="3"/>
      <c r="H962" s="3"/>
      <c r="I962" s="3"/>
      <c r="J962" s="3"/>
      <c r="K962" s="3"/>
    </row>
    <row r="963" spans="3:11" ht="15.75" customHeight="1" x14ac:dyDescent="0.15">
      <c r="C963" s="2"/>
      <c r="G963" s="3"/>
      <c r="H963" s="3"/>
      <c r="I963" s="3"/>
      <c r="J963" s="3"/>
      <c r="K963" s="3"/>
    </row>
    <row r="964" spans="3:11" ht="15.75" customHeight="1" x14ac:dyDescent="0.15">
      <c r="C964" s="2"/>
      <c r="G964" s="3"/>
      <c r="H964" s="3"/>
      <c r="I964" s="3"/>
      <c r="J964" s="3"/>
      <c r="K964" s="3"/>
    </row>
    <row r="965" spans="3:11" ht="15.75" customHeight="1" x14ac:dyDescent="0.15">
      <c r="C965" s="2"/>
      <c r="G965" s="3"/>
      <c r="H965" s="3"/>
      <c r="I965" s="3"/>
      <c r="J965" s="3"/>
      <c r="K965" s="3"/>
    </row>
    <row r="966" spans="3:11" ht="15.75" customHeight="1" x14ac:dyDescent="0.15">
      <c r="C966" s="2"/>
      <c r="G966" s="3"/>
      <c r="H966" s="3"/>
      <c r="I966" s="3"/>
      <c r="J966" s="3"/>
      <c r="K966" s="3"/>
    </row>
    <row r="967" spans="3:11" ht="15.75" customHeight="1" x14ac:dyDescent="0.15">
      <c r="C967" s="2"/>
      <c r="G967" s="3"/>
      <c r="H967" s="3"/>
      <c r="I967" s="3"/>
      <c r="J967" s="3"/>
      <c r="K967" s="3"/>
    </row>
    <row r="968" spans="3:11" ht="15.75" customHeight="1" x14ac:dyDescent="0.15">
      <c r="C968" s="2"/>
      <c r="G968" s="3"/>
      <c r="H968" s="3"/>
      <c r="I968" s="3"/>
      <c r="J968" s="3"/>
      <c r="K968" s="3"/>
    </row>
    <row r="969" spans="3:11" ht="15.75" customHeight="1" x14ac:dyDescent="0.15">
      <c r="C969" s="2"/>
      <c r="G969" s="3"/>
      <c r="H969" s="3"/>
      <c r="I969" s="3"/>
      <c r="J969" s="3"/>
      <c r="K969" s="3"/>
    </row>
    <row r="970" spans="3:11" ht="15.75" customHeight="1" x14ac:dyDescent="0.15">
      <c r="C970" s="2"/>
      <c r="G970" s="3"/>
      <c r="H970" s="3"/>
      <c r="I970" s="3"/>
      <c r="J970" s="3"/>
      <c r="K970" s="3"/>
    </row>
    <row r="971" spans="3:11" ht="15.75" customHeight="1" x14ac:dyDescent="0.15">
      <c r="C971" s="2"/>
      <c r="G971" s="3"/>
      <c r="H971" s="3"/>
      <c r="I971" s="3"/>
      <c r="J971" s="3"/>
      <c r="K971" s="3"/>
    </row>
    <row r="972" spans="3:11" ht="15.75" customHeight="1" x14ac:dyDescent="0.15">
      <c r="C972" s="2"/>
      <c r="G972" s="3"/>
      <c r="H972" s="3"/>
      <c r="I972" s="3"/>
      <c r="J972" s="3"/>
      <c r="K972" s="3"/>
    </row>
    <row r="973" spans="3:11" ht="15.75" customHeight="1" x14ac:dyDescent="0.15">
      <c r="C973" s="2"/>
      <c r="G973" s="3"/>
      <c r="H973" s="3"/>
      <c r="I973" s="3"/>
      <c r="J973" s="3"/>
      <c r="K973" s="3"/>
    </row>
    <row r="974" spans="3:11" ht="15.75" customHeight="1" x14ac:dyDescent="0.15">
      <c r="C974" s="2"/>
      <c r="G974" s="3"/>
      <c r="H974" s="3"/>
      <c r="I974" s="3"/>
      <c r="J974" s="3"/>
      <c r="K974" s="3"/>
    </row>
    <row r="975" spans="3:11" ht="15.75" customHeight="1" x14ac:dyDescent="0.15">
      <c r="C975" s="2"/>
      <c r="G975" s="3"/>
      <c r="H975" s="3"/>
      <c r="I975" s="3"/>
      <c r="J975" s="3"/>
      <c r="K975" s="3"/>
    </row>
    <row r="976" spans="3:11" ht="15.75" customHeight="1" x14ac:dyDescent="0.15">
      <c r="C976" s="2"/>
      <c r="G976" s="3"/>
      <c r="H976" s="3"/>
      <c r="I976" s="3"/>
      <c r="J976" s="3"/>
      <c r="K976" s="3"/>
    </row>
    <row r="977" spans="3:11" ht="15.75" customHeight="1" x14ac:dyDescent="0.15">
      <c r="C977" s="2"/>
      <c r="G977" s="3"/>
      <c r="H977" s="3"/>
      <c r="I977" s="3"/>
      <c r="J977" s="3"/>
      <c r="K977" s="3"/>
    </row>
    <row r="978" spans="3:11" ht="15.75" customHeight="1" x14ac:dyDescent="0.15">
      <c r="C978" s="2"/>
      <c r="G978" s="3"/>
      <c r="H978" s="3"/>
      <c r="I978" s="3"/>
      <c r="J978" s="3"/>
      <c r="K978" s="3"/>
    </row>
    <row r="979" spans="3:11" ht="15.75" customHeight="1" x14ac:dyDescent="0.15">
      <c r="C979" s="2"/>
      <c r="G979" s="3"/>
      <c r="H979" s="3"/>
      <c r="I979" s="3"/>
      <c r="J979" s="3"/>
      <c r="K979" s="3"/>
    </row>
    <row r="980" spans="3:11" ht="15.75" customHeight="1" x14ac:dyDescent="0.15">
      <c r="C980" s="2"/>
      <c r="G980" s="3"/>
      <c r="H980" s="3"/>
      <c r="I980" s="3"/>
      <c r="J980" s="3"/>
      <c r="K980" s="3"/>
    </row>
    <row r="981" spans="3:11" ht="15.75" customHeight="1" x14ac:dyDescent="0.15">
      <c r="C981" s="2"/>
      <c r="G981" s="3"/>
      <c r="H981" s="3"/>
      <c r="I981" s="3"/>
      <c r="J981" s="3"/>
      <c r="K981" s="3"/>
    </row>
    <row r="982" spans="3:11" ht="15.75" customHeight="1" x14ac:dyDescent="0.15">
      <c r="C982" s="2"/>
      <c r="G982" s="3"/>
      <c r="H982" s="3"/>
      <c r="I982" s="3"/>
      <c r="J982" s="3"/>
      <c r="K982" s="3"/>
    </row>
    <row r="983" spans="3:11" ht="15.75" customHeight="1" x14ac:dyDescent="0.15">
      <c r="C983" s="2"/>
      <c r="G983" s="3"/>
      <c r="H983" s="3"/>
      <c r="I983" s="3"/>
      <c r="J983" s="3"/>
      <c r="K983" s="3"/>
    </row>
    <row r="984" spans="3:11" ht="15.75" customHeight="1" x14ac:dyDescent="0.15">
      <c r="C984" s="2"/>
      <c r="G984" s="3"/>
      <c r="H984" s="3"/>
      <c r="I984" s="3"/>
      <c r="J984" s="3"/>
      <c r="K984" s="3"/>
    </row>
    <row r="985" spans="3:11" ht="15.75" customHeight="1" x14ac:dyDescent="0.15">
      <c r="C985" s="2"/>
      <c r="G985" s="3"/>
      <c r="H985" s="3"/>
      <c r="I985" s="3"/>
      <c r="J985" s="3"/>
      <c r="K985" s="3"/>
    </row>
    <row r="986" spans="3:11" ht="15.75" customHeight="1" x14ac:dyDescent="0.15">
      <c r="C986" s="2"/>
      <c r="G986" s="3"/>
      <c r="H986" s="3"/>
      <c r="I986" s="3"/>
      <c r="J986" s="3"/>
      <c r="K986" s="3"/>
    </row>
    <row r="987" spans="3:11" ht="15.75" customHeight="1" x14ac:dyDescent="0.15">
      <c r="C987" s="2"/>
      <c r="G987" s="3"/>
      <c r="H987" s="3"/>
      <c r="I987" s="3"/>
      <c r="J987" s="3"/>
      <c r="K987" s="3"/>
    </row>
    <row r="988" spans="3:11" ht="15.75" customHeight="1" x14ac:dyDescent="0.15">
      <c r="C988" s="2"/>
      <c r="G988" s="3"/>
      <c r="H988" s="3"/>
      <c r="I988" s="3"/>
      <c r="J988" s="3"/>
      <c r="K988" s="3"/>
    </row>
    <row r="989" spans="3:11" ht="15.75" customHeight="1" x14ac:dyDescent="0.15">
      <c r="C989" s="2"/>
      <c r="G989" s="3"/>
      <c r="H989" s="3"/>
      <c r="I989" s="3"/>
      <c r="J989" s="3"/>
      <c r="K989" s="3"/>
    </row>
    <row r="990" spans="3:11" ht="15.75" customHeight="1" x14ac:dyDescent="0.15">
      <c r="C990" s="2"/>
      <c r="G990" s="3"/>
      <c r="H990" s="3"/>
      <c r="I990" s="3"/>
      <c r="J990" s="3"/>
      <c r="K990" s="3"/>
    </row>
    <row r="991" spans="3:11" ht="15.75" customHeight="1" x14ac:dyDescent="0.15">
      <c r="C991" s="2"/>
      <c r="G991" s="3"/>
      <c r="H991" s="3"/>
      <c r="I991" s="3"/>
      <c r="J991" s="3"/>
      <c r="K991" s="3"/>
    </row>
    <row r="992" spans="3:11" ht="15.75" customHeight="1" x14ac:dyDescent="0.15">
      <c r="C992" s="2"/>
      <c r="G992" s="3"/>
      <c r="H992" s="3"/>
      <c r="I992" s="3"/>
      <c r="J992" s="3"/>
      <c r="K992" s="3"/>
    </row>
    <row r="993" spans="3:11" ht="15.75" customHeight="1" x14ac:dyDescent="0.15">
      <c r="C993" s="2"/>
      <c r="G993" s="3"/>
      <c r="H993" s="3"/>
      <c r="I993" s="3"/>
      <c r="J993" s="3"/>
      <c r="K993" s="3"/>
    </row>
    <row r="994" spans="3:11" ht="15.75" customHeight="1" x14ac:dyDescent="0.15">
      <c r="C994" s="2"/>
      <c r="G994" s="3"/>
      <c r="H994" s="3"/>
      <c r="I994" s="3"/>
      <c r="J994" s="3"/>
      <c r="K994" s="3"/>
    </row>
    <row r="995" spans="3:11" ht="15.75" customHeight="1" x14ac:dyDescent="0.15">
      <c r="C995" s="2"/>
      <c r="G995" s="3"/>
      <c r="H995" s="3"/>
      <c r="I995" s="3"/>
      <c r="J995" s="3"/>
      <c r="K995" s="3"/>
    </row>
    <row r="996" spans="3:11" ht="15.75" customHeight="1" x14ac:dyDescent="0.15">
      <c r="C996" s="2"/>
      <c r="G996" s="3"/>
      <c r="H996" s="3"/>
      <c r="I996" s="3"/>
      <c r="J996" s="3"/>
      <c r="K996" s="3"/>
    </row>
    <row r="997" spans="3:11" ht="15.75" customHeight="1" x14ac:dyDescent="0.15">
      <c r="C997" s="2"/>
      <c r="G997" s="3"/>
      <c r="H997" s="3"/>
      <c r="I997" s="3"/>
      <c r="J997" s="3"/>
      <c r="K997" s="3"/>
    </row>
    <row r="998" spans="3:11" ht="15.75" customHeight="1" x14ac:dyDescent="0.15">
      <c r="C998" s="2"/>
      <c r="G998" s="3"/>
      <c r="H998" s="3"/>
      <c r="I998" s="3"/>
      <c r="J998" s="3"/>
      <c r="K998" s="3"/>
    </row>
    <row r="999" spans="3:11" ht="15.75" customHeight="1" x14ac:dyDescent="0.15">
      <c r="C999" s="2"/>
      <c r="G999" s="3"/>
      <c r="H999" s="3"/>
      <c r="I999" s="3"/>
      <c r="J999" s="3"/>
      <c r="K999" s="3"/>
    </row>
    <row r="1000" spans="3:11" ht="15.75" customHeight="1" x14ac:dyDescent="0.15">
      <c r="C1000" s="2"/>
      <c r="G1000" s="3"/>
      <c r="H1000" s="3"/>
      <c r="I1000" s="3"/>
      <c r="J1000" s="3"/>
      <c r="K1000" s="3"/>
    </row>
    <row r="1001" spans="3:11" ht="15.75" customHeight="1" x14ac:dyDescent="0.15">
      <c r="C1001" s="2"/>
      <c r="G1001" s="3"/>
      <c r="H1001" s="3"/>
      <c r="I1001" s="3"/>
      <c r="J1001" s="3"/>
      <c r="K1001" s="3"/>
    </row>
    <row r="1002" spans="3:11" ht="15.75" customHeight="1" x14ac:dyDescent="0.15">
      <c r="C1002" s="2"/>
      <c r="G1002" s="3"/>
      <c r="H1002" s="3"/>
      <c r="I1002" s="3"/>
      <c r="J1002" s="3"/>
      <c r="K1002" s="3"/>
    </row>
    <row r="1003" spans="3:11" ht="15.75" customHeight="1" x14ac:dyDescent="0.15">
      <c r="C1003" s="2"/>
      <c r="G1003" s="3"/>
      <c r="H1003" s="3"/>
      <c r="I1003" s="3"/>
      <c r="J1003" s="3"/>
      <c r="K1003" s="3"/>
    </row>
    <row r="1004" spans="3:11" ht="15.75" customHeight="1" x14ac:dyDescent="0.15">
      <c r="C1004" s="2"/>
      <c r="G1004" s="3"/>
      <c r="H1004" s="3"/>
      <c r="I1004" s="3"/>
      <c r="J1004" s="3"/>
      <c r="K1004" s="3"/>
    </row>
    <row r="1005" spans="3:11" ht="15.75" customHeight="1" x14ac:dyDescent="0.15">
      <c r="C1005" s="2"/>
      <c r="G1005" s="3"/>
      <c r="H1005" s="3"/>
      <c r="I1005" s="3"/>
      <c r="J1005" s="3"/>
      <c r="K1005" s="3"/>
    </row>
    <row r="1006" spans="3:11" ht="15.75" customHeight="1" x14ac:dyDescent="0.15">
      <c r="C1006" s="2"/>
      <c r="G1006" s="3"/>
      <c r="H1006" s="3"/>
      <c r="I1006" s="3"/>
      <c r="J1006" s="3"/>
      <c r="K1006" s="3"/>
    </row>
  </sheetData>
  <mergeCells count="1">
    <mergeCell ref="L34:L40"/>
  </mergeCells>
  <dataValidations count="1">
    <dataValidation type="list" allowBlank="1" showErrorMessage="1" sqref="E19" xr:uid="{00000000-0002-0000-0000-000000000000}">
      <formula1>"0%,8%"</formula1>
      <formula2>0</formula2>
    </dataValidation>
  </dataValidations>
  <hyperlinks>
    <hyperlink ref="L19" r:id="rId1" xr:uid="{00000000-0004-0000-0000-000000000000}"/>
    <hyperlink ref="M21" r:id="rId2" xr:uid="{00000000-0004-0000-0000-000001000000}"/>
  </hyperlinks>
  <printOptions horizontalCentered="1" gridLines="1"/>
  <pageMargins left="0.25" right="0.25" top="0.75" bottom="0.75" header="0.511811023622047" footer="0.511811023622047"/>
  <pageSetup paperSize="8" pageOrder="overThenDown" orientation="landscape" horizontalDpi="300" verticalDpi="300"/>
  <ignoredErrors>
    <ignoredError sqref="G28:K28" formula="1"/>
  </ignoredError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6"/>
  <sheetViews>
    <sheetView showGridLines="0" zoomScaleNormal="100" workbookViewId="0">
      <selection activeCell="L20" sqref="L20"/>
    </sheetView>
  </sheetViews>
  <sheetFormatPr baseColWidth="10" defaultColWidth="12.6640625" defaultRowHeight="13" x14ac:dyDescent="0.15"/>
  <cols>
    <col min="1" max="1" width="2" customWidth="1"/>
    <col min="2" max="2" width="10" customWidth="1"/>
    <col min="3" max="3" width="17.6640625" bestFit="1" customWidth="1"/>
    <col min="4" max="4" width="12" customWidth="1"/>
    <col min="5" max="5" width="20" customWidth="1"/>
    <col min="6" max="6" width="5" customWidth="1"/>
    <col min="7" max="7" width="10" customWidth="1"/>
    <col min="8" max="9" width="15" customWidth="1"/>
    <col min="10" max="14" width="8.1640625" customWidth="1"/>
    <col min="15" max="15" width="15" customWidth="1"/>
    <col min="16" max="16" width="13.5" bestFit="1" customWidth="1"/>
    <col min="17" max="17" width="12" customWidth="1"/>
    <col min="18" max="19" width="13" customWidth="1"/>
  </cols>
  <sheetData>
    <row r="1" spans="1:20" ht="30" customHeight="1" x14ac:dyDescent="0.15">
      <c r="A1" s="102" t="s">
        <v>64</v>
      </c>
      <c r="B1" s="102"/>
      <c r="C1" s="102"/>
      <c r="D1" s="102"/>
      <c r="E1" s="102"/>
      <c r="F1" s="102"/>
      <c r="G1" s="102"/>
      <c r="H1" s="102"/>
      <c r="I1" s="102"/>
      <c r="J1" s="102"/>
      <c r="K1" s="102"/>
      <c r="L1" s="102"/>
      <c r="M1" s="102"/>
      <c r="N1" s="102"/>
      <c r="O1" s="102"/>
      <c r="P1" s="102"/>
      <c r="Q1" s="102"/>
      <c r="R1" s="102"/>
      <c r="S1" s="102"/>
      <c r="T1" s="102"/>
    </row>
    <row r="2" spans="1:20" ht="19.5" customHeight="1" x14ac:dyDescent="0.15">
      <c r="B2" s="73">
        <v>12</v>
      </c>
      <c r="C2" s="74" t="s">
        <v>65</v>
      </c>
      <c r="D2" s="75"/>
      <c r="E2" s="76"/>
      <c r="F2" s="76"/>
      <c r="G2" s="76"/>
      <c r="H2" s="76"/>
      <c r="I2" s="76"/>
      <c r="J2" s="77"/>
      <c r="K2" s="78" t="s">
        <v>66</v>
      </c>
      <c r="L2" s="19" t="s">
        <v>67</v>
      </c>
      <c r="N2" s="79" t="s">
        <v>68</v>
      </c>
      <c r="O2" s="79" t="s">
        <v>69</v>
      </c>
      <c r="P2" s="79" t="s">
        <v>70</v>
      </c>
      <c r="Q2" s="79" t="s">
        <v>71</v>
      </c>
      <c r="R2" s="79" t="s">
        <v>72</v>
      </c>
      <c r="S2" s="79" t="s">
        <v>73</v>
      </c>
      <c r="T2" s="80" t="s">
        <v>73</v>
      </c>
    </row>
    <row r="3" spans="1:20" ht="15.75" customHeight="1" x14ac:dyDescent="0.15">
      <c r="B3" s="81"/>
      <c r="C3" s="82" t="s">
        <v>74</v>
      </c>
      <c r="D3" s="11"/>
      <c r="E3" s="19"/>
      <c r="F3" s="19"/>
      <c r="G3" s="19"/>
      <c r="H3" s="19"/>
      <c r="I3" s="19"/>
      <c r="J3" s="83"/>
      <c r="L3" s="19">
        <v>12</v>
      </c>
      <c r="M3" s="27">
        <v>9.5000000000000001E-2</v>
      </c>
      <c r="O3" s="84">
        <v>1</v>
      </c>
      <c r="P3" s="84">
        <f>H4</f>
        <v>31815</v>
      </c>
      <c r="Q3" s="84">
        <f t="shared" ref="Q3:Q14" si="0">P3*(H$5/H$6)</f>
        <v>278.38124999999997</v>
      </c>
      <c r="R3" s="84">
        <f t="shared" ref="R3:R14" si="1">S3-Q3</f>
        <v>2526.0665510804365</v>
      </c>
      <c r="S3" s="84">
        <f t="shared" ref="S3:S14" si="2">$H$7</f>
        <v>2804.4478010804364</v>
      </c>
      <c r="T3" s="85">
        <f t="shared" ref="T3:T14" si="3">P3-R3</f>
        <v>29288.933448919564</v>
      </c>
    </row>
    <row r="4" spans="1:20" ht="15.75" customHeight="1" x14ac:dyDescent="0.15">
      <c r="B4" s="81"/>
      <c r="C4" s="82" t="s">
        <v>75</v>
      </c>
      <c r="D4" s="86">
        <f>'FCIc ESTIMACIONES RESUMEN'!$C$17</f>
        <v>30000</v>
      </c>
      <c r="E4" s="72" t="s">
        <v>76</v>
      </c>
      <c r="F4" s="19"/>
      <c r="G4" s="87" t="s">
        <v>71</v>
      </c>
      <c r="H4" s="86">
        <f>D5</f>
        <v>31815</v>
      </c>
      <c r="I4" s="19"/>
      <c r="J4" s="83"/>
      <c r="L4" s="19">
        <v>24</v>
      </c>
      <c r="M4" s="27">
        <v>0.105</v>
      </c>
      <c r="O4" s="84">
        <v>2</v>
      </c>
      <c r="P4" s="84">
        <f t="shared" ref="P4:P14" si="4">T3</f>
        <v>29288.933448919564</v>
      </c>
      <c r="Q4" s="84">
        <f t="shared" si="0"/>
        <v>256.27816767804615</v>
      </c>
      <c r="R4" s="84">
        <f t="shared" si="1"/>
        <v>2548.1696334023904</v>
      </c>
      <c r="S4" s="84">
        <f t="shared" si="2"/>
        <v>2804.4478010804364</v>
      </c>
      <c r="T4" s="85">
        <f t="shared" si="3"/>
        <v>26740.763815517173</v>
      </c>
    </row>
    <row r="5" spans="1:20" ht="15.75" customHeight="1" x14ac:dyDescent="0.15">
      <c r="B5" s="81"/>
      <c r="C5" s="82" t="s">
        <v>77</v>
      </c>
      <c r="D5" s="88">
        <f>D4*(1+(E8*(1+E7)))</f>
        <v>31815</v>
      </c>
      <c r="E5" s="19"/>
      <c r="F5" s="19"/>
      <c r="G5" s="87" t="s">
        <v>70</v>
      </c>
      <c r="H5" s="89">
        <f>'FCIc ESTIMACIONES RESUMEN'!C$4</f>
        <v>0.105</v>
      </c>
      <c r="I5" s="19"/>
      <c r="J5" s="83"/>
      <c r="L5" s="19">
        <v>36</v>
      </c>
      <c r="M5" s="27">
        <v>0.115</v>
      </c>
      <c r="O5" s="84">
        <v>3</v>
      </c>
      <c r="P5" s="84">
        <f t="shared" si="4"/>
        <v>26740.763815517173</v>
      </c>
      <c r="Q5" s="84">
        <f t="shared" si="0"/>
        <v>233.98168338577526</v>
      </c>
      <c r="R5" s="84">
        <f t="shared" si="1"/>
        <v>2570.4661176946611</v>
      </c>
      <c r="S5" s="84">
        <f t="shared" si="2"/>
        <v>2804.4478010804364</v>
      </c>
      <c r="T5" s="85">
        <f t="shared" si="3"/>
        <v>24170.297697822512</v>
      </c>
    </row>
    <row r="6" spans="1:20" ht="15.75" customHeight="1" x14ac:dyDescent="0.15">
      <c r="B6" s="81"/>
      <c r="C6" s="82" t="s">
        <v>78</v>
      </c>
      <c r="D6" s="88">
        <f>D5-D4</f>
        <v>1815</v>
      </c>
      <c r="E6" s="19"/>
      <c r="F6" s="19"/>
      <c r="G6" s="87" t="s">
        <v>79</v>
      </c>
      <c r="H6" s="90">
        <f>B2</f>
        <v>12</v>
      </c>
      <c r="I6" s="19"/>
      <c r="J6" s="83"/>
      <c r="L6" s="19">
        <v>48</v>
      </c>
      <c r="M6" s="27">
        <v>0.125</v>
      </c>
      <c r="O6" s="84">
        <v>4</v>
      </c>
      <c r="P6" s="84">
        <f t="shared" si="4"/>
        <v>24170.297697822512</v>
      </c>
      <c r="Q6" s="84">
        <f t="shared" si="0"/>
        <v>211.49010485594695</v>
      </c>
      <c r="R6" s="84">
        <f t="shared" si="1"/>
        <v>2592.9576962244896</v>
      </c>
      <c r="S6" s="84">
        <f t="shared" si="2"/>
        <v>2804.4478010804364</v>
      </c>
      <c r="T6" s="85">
        <f t="shared" si="3"/>
        <v>21577.340001598022</v>
      </c>
    </row>
    <row r="7" spans="1:20" ht="15.75" customHeight="1" x14ac:dyDescent="0.15">
      <c r="B7" s="81"/>
      <c r="C7" s="82" t="s">
        <v>28</v>
      </c>
      <c r="D7" s="88">
        <f>D6-D8</f>
        <v>315</v>
      </c>
      <c r="E7" s="14">
        <v>0.21</v>
      </c>
      <c r="F7" s="19"/>
      <c r="G7" s="87" t="s">
        <v>80</v>
      </c>
      <c r="H7" s="91">
        <f>-PMT((H5/12),H6,H4)</f>
        <v>2804.4478010804364</v>
      </c>
      <c r="I7" s="19"/>
      <c r="J7" s="83"/>
      <c r="L7" s="19">
        <v>60</v>
      </c>
      <c r="M7" s="27">
        <v>0.13500000000000001</v>
      </c>
      <c r="O7" s="84">
        <v>5</v>
      </c>
      <c r="P7" s="84">
        <f t="shared" si="4"/>
        <v>21577.340001598022</v>
      </c>
      <c r="Q7" s="84">
        <f t="shared" si="0"/>
        <v>188.80172501398269</v>
      </c>
      <c r="R7" s="84">
        <f t="shared" si="1"/>
        <v>2615.6460760664536</v>
      </c>
      <c r="S7" s="84">
        <f t="shared" si="2"/>
        <v>2804.4478010804364</v>
      </c>
      <c r="T7" s="85">
        <f t="shared" si="3"/>
        <v>18961.69392553157</v>
      </c>
    </row>
    <row r="8" spans="1:20" ht="15.75" customHeight="1" x14ac:dyDescent="0.15">
      <c r="B8" s="81"/>
      <c r="C8" s="82" t="s">
        <v>81</v>
      </c>
      <c r="D8" s="86">
        <f>D6/(1+E7)</f>
        <v>1500</v>
      </c>
      <c r="E8" s="14">
        <v>0.05</v>
      </c>
      <c r="F8" s="19"/>
      <c r="G8" s="19"/>
      <c r="H8" s="19"/>
      <c r="I8" s="19"/>
      <c r="J8" s="83"/>
      <c r="O8" s="84">
        <v>6</v>
      </c>
      <c r="P8" s="84">
        <f t="shared" si="4"/>
        <v>18961.69392553157</v>
      </c>
      <c r="Q8" s="84">
        <f t="shared" si="0"/>
        <v>165.91482184840123</v>
      </c>
      <c r="R8" s="84">
        <f t="shared" si="1"/>
        <v>2638.5329792320354</v>
      </c>
      <c r="S8" s="84">
        <f t="shared" si="2"/>
        <v>2804.4478010804364</v>
      </c>
      <c r="T8" s="85">
        <f t="shared" si="3"/>
        <v>16323.160946299535</v>
      </c>
    </row>
    <row r="9" spans="1:20" ht="15.75" customHeight="1" x14ac:dyDescent="0.15">
      <c r="B9" s="81"/>
      <c r="C9" s="19"/>
      <c r="D9" s="19"/>
      <c r="E9" s="19"/>
      <c r="F9" s="19"/>
      <c r="G9" s="87" t="s">
        <v>82</v>
      </c>
      <c r="H9" s="92">
        <f>H7*B2</f>
        <v>33653.373612965239</v>
      </c>
      <c r="I9" s="93"/>
      <c r="J9" s="83"/>
      <c r="O9" s="84">
        <v>7</v>
      </c>
      <c r="P9" s="84">
        <f t="shared" si="4"/>
        <v>16323.160946299535</v>
      </c>
      <c r="Q9" s="84">
        <f t="shared" si="0"/>
        <v>142.82765828012091</v>
      </c>
      <c r="R9" s="84">
        <f t="shared" si="1"/>
        <v>2661.6201428003155</v>
      </c>
      <c r="S9" s="84">
        <f t="shared" si="2"/>
        <v>2804.4478010804364</v>
      </c>
      <c r="T9" s="85">
        <f t="shared" si="3"/>
        <v>13661.54080349922</v>
      </c>
    </row>
    <row r="10" spans="1:20" ht="15.75" customHeight="1" x14ac:dyDescent="0.15">
      <c r="B10" s="81"/>
      <c r="C10" s="19"/>
      <c r="D10" s="11"/>
      <c r="E10" s="19"/>
      <c r="F10" s="19"/>
      <c r="G10" s="87" t="s">
        <v>83</v>
      </c>
      <c r="H10" s="27">
        <f>H9/D4-1</f>
        <v>0.12177912043217454</v>
      </c>
      <c r="I10" s="19"/>
      <c r="J10" s="83"/>
      <c r="O10" s="84">
        <v>8</v>
      </c>
      <c r="P10" s="84">
        <f t="shared" si="4"/>
        <v>13661.54080349922</v>
      </c>
      <c r="Q10" s="84">
        <f t="shared" si="0"/>
        <v>119.53848203061816</v>
      </c>
      <c r="R10" s="84">
        <f t="shared" si="1"/>
        <v>2684.9093190498184</v>
      </c>
      <c r="S10" s="84">
        <f t="shared" si="2"/>
        <v>2804.4478010804364</v>
      </c>
      <c r="T10" s="85">
        <f t="shared" si="3"/>
        <v>10976.631484449401</v>
      </c>
    </row>
    <row r="11" spans="1:20" ht="15.75" customHeight="1" x14ac:dyDescent="0.15">
      <c r="B11" s="81"/>
      <c r="C11" s="19"/>
      <c r="D11" s="11"/>
      <c r="E11" s="19"/>
      <c r="F11" s="19"/>
      <c r="G11" s="87" t="s">
        <v>84</v>
      </c>
      <c r="H11" s="27">
        <f>((1+H10)^(12/B2))-1</f>
        <v>0.12177912043217454</v>
      </c>
      <c r="I11" s="27"/>
      <c r="J11" s="83"/>
      <c r="O11" s="84">
        <v>9</v>
      </c>
      <c r="P11" s="84">
        <f t="shared" si="4"/>
        <v>10976.631484449401</v>
      </c>
      <c r="Q11" s="84">
        <f t="shared" si="0"/>
        <v>96.045525488932242</v>
      </c>
      <c r="R11" s="84">
        <f t="shared" si="1"/>
        <v>2708.4022755915043</v>
      </c>
      <c r="S11" s="84">
        <f t="shared" si="2"/>
        <v>2804.4478010804364</v>
      </c>
      <c r="T11" s="85">
        <f t="shared" si="3"/>
        <v>8268.2292088578961</v>
      </c>
    </row>
    <row r="12" spans="1:20" ht="15.75" customHeight="1" thickBot="1" x14ac:dyDescent="0.2">
      <c r="B12" s="94"/>
      <c r="C12" s="95"/>
      <c r="D12" s="95"/>
      <c r="E12" s="95"/>
      <c r="F12" s="95"/>
      <c r="G12" s="95"/>
      <c r="H12" s="95"/>
      <c r="I12" s="95"/>
      <c r="J12" s="96"/>
      <c r="O12" s="84">
        <v>10</v>
      </c>
      <c r="P12" s="84">
        <f t="shared" si="4"/>
        <v>8268.2292088578961</v>
      </c>
      <c r="Q12" s="84">
        <f t="shared" si="0"/>
        <v>72.347005577506579</v>
      </c>
      <c r="R12" s="84">
        <f t="shared" si="1"/>
        <v>2732.1007955029299</v>
      </c>
      <c r="S12" s="84">
        <f t="shared" si="2"/>
        <v>2804.4478010804364</v>
      </c>
      <c r="T12" s="85">
        <f t="shared" si="3"/>
        <v>5536.1284133549661</v>
      </c>
    </row>
    <row r="13" spans="1:20" ht="19.5" customHeight="1" x14ac:dyDescent="0.15">
      <c r="B13" s="73">
        <v>24</v>
      </c>
      <c r="C13" s="74" t="s">
        <v>85</v>
      </c>
      <c r="D13" s="75"/>
      <c r="E13" s="76"/>
      <c r="F13" s="76"/>
      <c r="G13" s="76"/>
      <c r="H13" s="76"/>
      <c r="I13" s="76"/>
      <c r="J13" s="77"/>
      <c r="O13" s="84">
        <v>11</v>
      </c>
      <c r="P13" s="84">
        <f t="shared" si="4"/>
        <v>5536.1284133549661</v>
      </c>
      <c r="Q13" s="84">
        <f t="shared" si="0"/>
        <v>48.441123616855947</v>
      </c>
      <c r="R13" s="84">
        <f t="shared" si="1"/>
        <v>2756.0066774635807</v>
      </c>
      <c r="S13" s="84">
        <f t="shared" si="2"/>
        <v>2804.4478010804364</v>
      </c>
      <c r="T13" s="85">
        <f t="shared" si="3"/>
        <v>2780.1217358913855</v>
      </c>
    </row>
    <row r="14" spans="1:20" ht="15.75" customHeight="1" x14ac:dyDescent="0.15">
      <c r="B14" s="81"/>
      <c r="C14" s="82" t="s">
        <v>74</v>
      </c>
      <c r="D14" s="11"/>
      <c r="E14" s="19"/>
      <c r="F14" s="19"/>
      <c r="G14" s="19"/>
      <c r="H14" s="19"/>
      <c r="I14" s="19"/>
      <c r="J14" s="83"/>
      <c r="O14" s="84">
        <v>12</v>
      </c>
      <c r="P14" s="84">
        <f t="shared" si="4"/>
        <v>2780.1217358913855</v>
      </c>
      <c r="Q14" s="84">
        <f t="shared" si="0"/>
        <v>24.326065189049622</v>
      </c>
      <c r="R14" s="84">
        <f t="shared" si="1"/>
        <v>2780.1217358913868</v>
      </c>
      <c r="S14" s="84">
        <f t="shared" si="2"/>
        <v>2804.4478010804364</v>
      </c>
      <c r="T14" s="85">
        <f t="shared" si="3"/>
        <v>0</v>
      </c>
    </row>
    <row r="15" spans="1:20" ht="15.75" customHeight="1" x14ac:dyDescent="0.15">
      <c r="B15" s="81"/>
      <c r="C15" s="82" t="s">
        <v>75</v>
      </c>
      <c r="D15" s="86">
        <f>'FCIc ESTIMACIONES RESUMEN'!$C$17</f>
        <v>30000</v>
      </c>
      <c r="E15" s="72" t="s">
        <v>76</v>
      </c>
      <c r="F15" s="19"/>
      <c r="G15" s="87" t="s">
        <v>71</v>
      </c>
      <c r="H15" s="86">
        <f>D16</f>
        <v>31815</v>
      </c>
      <c r="I15" s="19"/>
      <c r="J15" s="83"/>
      <c r="O15" s="34" t="s">
        <v>86</v>
      </c>
      <c r="P15" s="97"/>
      <c r="Q15" s="84">
        <f>SUM(Q3:Q14)</f>
        <v>1838.3736129652355</v>
      </c>
      <c r="R15" s="84">
        <f>SUM(R3:R14)</f>
        <v>31815</v>
      </c>
      <c r="S15" s="84">
        <f>SUM(S3:S14)</f>
        <v>33653.373612965246</v>
      </c>
      <c r="T15" s="97"/>
    </row>
    <row r="16" spans="1:20" ht="15.75" customHeight="1" x14ac:dyDescent="0.15">
      <c r="B16" s="81"/>
      <c r="C16" s="82" t="s">
        <v>77</v>
      </c>
      <c r="D16" s="88">
        <f>D15*(1+(E19*(1+E18)))</f>
        <v>31815</v>
      </c>
      <c r="E16" s="19"/>
      <c r="F16" s="19"/>
      <c r="G16" s="87" t="s">
        <v>70</v>
      </c>
      <c r="H16" s="89">
        <f>'FCIc ESTIMACIONES RESUMEN'!C$5</f>
        <v>0.115</v>
      </c>
      <c r="I16" s="19"/>
      <c r="J16" s="83"/>
    </row>
    <row r="17" spans="2:19" ht="15.75" customHeight="1" x14ac:dyDescent="0.15">
      <c r="B17" s="81"/>
      <c r="C17" s="82" t="s">
        <v>78</v>
      </c>
      <c r="D17" s="88">
        <f>D16-D15</f>
        <v>1815</v>
      </c>
      <c r="E17" s="19"/>
      <c r="F17" s="19"/>
      <c r="G17" s="87" t="s">
        <v>79</v>
      </c>
      <c r="H17" s="90">
        <f>B13</f>
        <v>24</v>
      </c>
      <c r="I17" s="19"/>
      <c r="J17" s="83"/>
      <c r="P17" s="84" t="s">
        <v>87</v>
      </c>
      <c r="Q17" s="100">
        <f>Q15/D4</f>
        <v>6.1279120432174518E-2</v>
      </c>
      <c r="R17" s="98"/>
      <c r="S17" s="98"/>
    </row>
    <row r="18" spans="2:19" ht="15.75" customHeight="1" x14ac:dyDescent="0.15">
      <c r="B18" s="81"/>
      <c r="C18" s="82" t="s">
        <v>28</v>
      </c>
      <c r="D18" s="88">
        <f>D17-D19</f>
        <v>315</v>
      </c>
      <c r="E18" s="14">
        <v>0.21</v>
      </c>
      <c r="F18" s="19"/>
      <c r="G18" s="87" t="s">
        <v>80</v>
      </c>
      <c r="H18" s="91">
        <f>-PMT((H16/12),H17,H15)</f>
        <v>1490.2246312274829</v>
      </c>
      <c r="I18" s="19"/>
      <c r="J18" s="83"/>
      <c r="P18" s="84" t="s">
        <v>88</v>
      </c>
      <c r="Q18" s="100">
        <f>E8*1.21</f>
        <v>6.0499999999999998E-2</v>
      </c>
    </row>
    <row r="19" spans="2:19" ht="15.75" customHeight="1" x14ac:dyDescent="0.15">
      <c r="B19" s="81"/>
      <c r="C19" s="82" t="s">
        <v>81</v>
      </c>
      <c r="D19" s="86">
        <f>D17/(1+E18)</f>
        <v>1500</v>
      </c>
      <c r="E19" s="14">
        <v>0.05</v>
      </c>
      <c r="F19" s="19"/>
      <c r="G19" s="19"/>
      <c r="H19" s="19"/>
      <c r="I19" s="19"/>
      <c r="J19" s="83"/>
      <c r="P19" s="84" t="s">
        <v>89</v>
      </c>
      <c r="Q19" s="100">
        <f>Q18+Q17</f>
        <v>0.12177912043217451</v>
      </c>
    </row>
    <row r="20" spans="2:19" ht="15.75" customHeight="1" x14ac:dyDescent="0.15">
      <c r="B20" s="81"/>
      <c r="C20" s="19"/>
      <c r="D20" s="19"/>
      <c r="E20" s="19"/>
      <c r="F20" s="19"/>
      <c r="G20" s="87" t="s">
        <v>82</v>
      </c>
      <c r="H20" s="92">
        <f>H18*B13</f>
        <v>35765.391149459589</v>
      </c>
      <c r="I20" s="19"/>
      <c r="J20" s="83"/>
    </row>
    <row r="21" spans="2:19" ht="15.75" customHeight="1" x14ac:dyDescent="0.15">
      <c r="B21" s="81"/>
      <c r="C21" s="19"/>
      <c r="D21" s="11"/>
      <c r="E21" s="19"/>
      <c r="F21" s="19"/>
      <c r="G21" s="87" t="s">
        <v>83</v>
      </c>
      <c r="H21" s="27">
        <f>H20/D15-1</f>
        <v>0.19217970498198622</v>
      </c>
      <c r="I21" s="19"/>
      <c r="J21" s="83"/>
    </row>
    <row r="22" spans="2:19" ht="15.75" customHeight="1" x14ac:dyDescent="0.15">
      <c r="B22" s="81"/>
      <c r="C22" s="19"/>
      <c r="D22" s="11"/>
      <c r="E22" s="19"/>
      <c r="F22" s="19"/>
      <c r="G22" s="87" t="s">
        <v>84</v>
      </c>
      <c r="H22" s="27">
        <f>((1+H21)^(12/B13))-1</f>
        <v>9.1869820528979629E-2</v>
      </c>
      <c r="I22" s="27"/>
      <c r="J22" s="83"/>
    </row>
    <row r="23" spans="2:19" ht="15.75" customHeight="1" thickBot="1" x14ac:dyDescent="0.2">
      <c r="B23" s="94"/>
      <c r="C23" s="95"/>
      <c r="D23" s="95"/>
      <c r="E23" s="95"/>
      <c r="F23" s="95"/>
      <c r="G23" s="95"/>
      <c r="H23" s="95"/>
      <c r="I23" s="95"/>
      <c r="J23" s="96"/>
    </row>
    <row r="24" spans="2:19" ht="19.5" customHeight="1" x14ac:dyDescent="0.15">
      <c r="B24" s="73">
        <v>36</v>
      </c>
      <c r="C24" s="74" t="s">
        <v>90</v>
      </c>
      <c r="D24" s="75"/>
      <c r="E24" s="76"/>
      <c r="F24" s="76"/>
      <c r="G24" s="76"/>
      <c r="H24" s="76"/>
      <c r="I24" s="76"/>
      <c r="J24" s="77"/>
    </row>
    <row r="25" spans="2:19" ht="15.75" customHeight="1" x14ac:dyDescent="0.15">
      <c r="B25" s="81"/>
      <c r="C25" s="82" t="s">
        <v>74</v>
      </c>
      <c r="D25" s="11"/>
      <c r="E25" s="19"/>
      <c r="F25" s="19"/>
      <c r="G25" s="19"/>
      <c r="H25" s="19"/>
      <c r="I25" s="19"/>
      <c r="J25" s="83"/>
    </row>
    <row r="26" spans="2:19" ht="15.75" customHeight="1" x14ac:dyDescent="0.15">
      <c r="B26" s="81"/>
      <c r="C26" s="82" t="s">
        <v>75</v>
      </c>
      <c r="D26" s="86">
        <f>'FCIc ESTIMACIONES RESUMEN'!$C$17</f>
        <v>30000</v>
      </c>
      <c r="E26" s="72" t="s">
        <v>76</v>
      </c>
      <c r="F26" s="19"/>
      <c r="G26" s="87" t="s">
        <v>71</v>
      </c>
      <c r="H26" s="86">
        <f>D27</f>
        <v>31815</v>
      </c>
      <c r="I26" s="19"/>
      <c r="J26" s="83"/>
    </row>
    <row r="27" spans="2:19" ht="15.75" customHeight="1" x14ac:dyDescent="0.15">
      <c r="B27" s="81"/>
      <c r="C27" s="82" t="s">
        <v>77</v>
      </c>
      <c r="D27" s="88">
        <f>D26*(1+(E30*(1+E29)))</f>
        <v>31815</v>
      </c>
      <c r="E27" s="19"/>
      <c r="F27" s="19"/>
      <c r="G27" s="87" t="s">
        <v>70</v>
      </c>
      <c r="H27" s="89">
        <f>'FCIc ESTIMACIONES RESUMEN'!C$6</f>
        <v>0.125</v>
      </c>
      <c r="I27" s="19"/>
      <c r="J27" s="83"/>
    </row>
    <row r="28" spans="2:19" ht="15.75" customHeight="1" x14ac:dyDescent="0.15">
      <c r="B28" s="81"/>
      <c r="C28" s="82" t="s">
        <v>78</v>
      </c>
      <c r="D28" s="88">
        <f>D27-D26</f>
        <v>1815</v>
      </c>
      <c r="E28" s="19"/>
      <c r="F28" s="19"/>
      <c r="G28" s="87" t="s">
        <v>79</v>
      </c>
      <c r="H28" s="90">
        <f>B24</f>
        <v>36</v>
      </c>
      <c r="I28" s="19"/>
      <c r="J28" s="83"/>
    </row>
    <row r="29" spans="2:19" ht="15.75" customHeight="1" x14ac:dyDescent="0.15">
      <c r="B29" s="81"/>
      <c r="C29" s="82" t="s">
        <v>28</v>
      </c>
      <c r="D29" s="88">
        <f>D28-D30</f>
        <v>315</v>
      </c>
      <c r="E29" s="14">
        <v>0.21</v>
      </c>
      <c r="F29" s="19"/>
      <c r="G29" s="87" t="s">
        <v>80</v>
      </c>
      <c r="H29" s="91">
        <f>-PMT((H27/12),H28,H26)</f>
        <v>1064.3270977232362</v>
      </c>
      <c r="I29" s="19"/>
      <c r="J29" s="83"/>
    </row>
    <row r="30" spans="2:19" ht="15.75" customHeight="1" x14ac:dyDescent="0.15">
      <c r="B30" s="81"/>
      <c r="C30" s="82" t="s">
        <v>81</v>
      </c>
      <c r="D30" s="86">
        <f>D28/(1+E29)</f>
        <v>1500</v>
      </c>
      <c r="E30" s="14">
        <v>0.05</v>
      </c>
      <c r="F30" s="19"/>
      <c r="G30" s="19"/>
      <c r="H30" s="19"/>
      <c r="I30" s="19"/>
      <c r="J30" s="83"/>
    </row>
    <row r="31" spans="2:19" ht="15.75" customHeight="1" x14ac:dyDescent="0.15">
      <c r="B31" s="81"/>
      <c r="C31" s="19"/>
      <c r="D31" s="19"/>
      <c r="E31" s="19"/>
      <c r="F31" s="19"/>
      <c r="G31" s="87" t="s">
        <v>82</v>
      </c>
      <c r="H31" s="92">
        <f>H29*B24</f>
        <v>38315.775518036506</v>
      </c>
      <c r="I31" s="19"/>
      <c r="J31" s="83"/>
    </row>
    <row r="32" spans="2:19" ht="15.75" customHeight="1" x14ac:dyDescent="0.15">
      <c r="B32" s="81"/>
      <c r="C32" s="19"/>
      <c r="D32" s="11"/>
      <c r="E32" s="19"/>
      <c r="F32" s="19"/>
      <c r="G32" s="87" t="s">
        <v>83</v>
      </c>
      <c r="H32" s="27">
        <f>H31/D26-1</f>
        <v>0.27719251726788352</v>
      </c>
      <c r="I32" s="19"/>
      <c r="J32" s="83"/>
    </row>
    <row r="33" spans="2:10" ht="15.75" customHeight="1" x14ac:dyDescent="0.15">
      <c r="B33" s="81"/>
      <c r="C33" s="19"/>
      <c r="D33" s="11"/>
      <c r="E33" s="19"/>
      <c r="F33" s="19"/>
      <c r="G33" s="87" t="s">
        <v>84</v>
      </c>
      <c r="H33" s="27">
        <f>((1+H32)^(12/B24))-1</f>
        <v>8.4972644660717744E-2</v>
      </c>
      <c r="I33" s="27"/>
      <c r="J33" s="83"/>
    </row>
    <row r="34" spans="2:10" ht="15.75" customHeight="1" thickBot="1" x14ac:dyDescent="0.2">
      <c r="B34" s="94"/>
      <c r="C34" s="95"/>
      <c r="D34" s="95"/>
      <c r="E34" s="95"/>
      <c r="F34" s="95"/>
      <c r="G34" s="95"/>
      <c r="H34" s="95"/>
      <c r="I34" s="95"/>
      <c r="J34" s="96"/>
    </row>
    <row r="35" spans="2:10" ht="19.5" customHeight="1" x14ac:dyDescent="0.15">
      <c r="B35" s="73">
        <v>48</v>
      </c>
      <c r="C35" s="74" t="s">
        <v>91</v>
      </c>
      <c r="D35" s="75"/>
      <c r="E35" s="76"/>
      <c r="F35" s="76"/>
      <c r="G35" s="76"/>
      <c r="H35" s="76"/>
      <c r="I35" s="76"/>
      <c r="J35" s="77"/>
    </row>
    <row r="36" spans="2:10" ht="15.75" customHeight="1" x14ac:dyDescent="0.15">
      <c r="B36" s="81"/>
      <c r="C36" s="82" t="s">
        <v>74</v>
      </c>
      <c r="D36" s="11"/>
      <c r="E36" s="19"/>
      <c r="F36" s="19"/>
      <c r="G36" s="19"/>
      <c r="H36" s="19"/>
      <c r="I36" s="19"/>
      <c r="J36" s="83"/>
    </row>
    <row r="37" spans="2:10" ht="15.75" customHeight="1" x14ac:dyDescent="0.15">
      <c r="B37" s="81"/>
      <c r="C37" s="82" t="s">
        <v>75</v>
      </c>
      <c r="D37" s="86">
        <f>'FCIc ESTIMACIONES RESUMEN'!$C$17</f>
        <v>30000</v>
      </c>
      <c r="E37" s="72" t="s">
        <v>76</v>
      </c>
      <c r="F37" s="19"/>
      <c r="G37" s="87" t="s">
        <v>71</v>
      </c>
      <c r="H37" s="86">
        <f>D38</f>
        <v>31815</v>
      </c>
      <c r="I37" s="19"/>
      <c r="J37" s="83"/>
    </row>
    <row r="38" spans="2:10" ht="15.75" customHeight="1" x14ac:dyDescent="0.15">
      <c r="B38" s="81"/>
      <c r="C38" s="82" t="s">
        <v>77</v>
      </c>
      <c r="D38" s="88">
        <f>D37*(1+(E41*(1+E40)))</f>
        <v>31815</v>
      </c>
      <c r="E38" s="19"/>
      <c r="F38" s="19"/>
      <c r="G38" s="87" t="s">
        <v>70</v>
      </c>
      <c r="H38" s="89">
        <f>'FCIc ESTIMACIONES RESUMEN'!C$7</f>
        <v>0.13500000000000001</v>
      </c>
      <c r="I38" s="19"/>
      <c r="J38" s="83"/>
    </row>
    <row r="39" spans="2:10" ht="15.75" customHeight="1" x14ac:dyDescent="0.15">
      <c r="B39" s="81"/>
      <c r="C39" s="82" t="s">
        <v>78</v>
      </c>
      <c r="D39" s="88">
        <f>D38-D37</f>
        <v>1815</v>
      </c>
      <c r="E39" s="19"/>
      <c r="F39" s="19"/>
      <c r="G39" s="87" t="s">
        <v>79</v>
      </c>
      <c r="H39" s="90">
        <f>B35</f>
        <v>48</v>
      </c>
      <c r="I39" s="19"/>
      <c r="J39" s="83"/>
    </row>
    <row r="40" spans="2:10" ht="15.75" customHeight="1" x14ac:dyDescent="0.15">
      <c r="B40" s="81"/>
      <c r="C40" s="82" t="s">
        <v>28</v>
      </c>
      <c r="D40" s="88">
        <f>D39-D41</f>
        <v>315</v>
      </c>
      <c r="E40" s="14">
        <v>0.21</v>
      </c>
      <c r="F40" s="19"/>
      <c r="G40" s="87" t="s">
        <v>80</v>
      </c>
      <c r="H40" s="91">
        <f>-PMT((H38/12),H39,H37)</f>
        <v>861.43321476719814</v>
      </c>
      <c r="I40" s="19"/>
      <c r="J40" s="83"/>
    </row>
    <row r="41" spans="2:10" ht="15.75" customHeight="1" x14ac:dyDescent="0.15">
      <c r="B41" s="81"/>
      <c r="C41" s="82" t="s">
        <v>81</v>
      </c>
      <c r="D41" s="86">
        <f>D39/(1+E40)</f>
        <v>1500</v>
      </c>
      <c r="E41" s="14">
        <v>0.05</v>
      </c>
      <c r="F41" s="19"/>
      <c r="G41" s="19"/>
      <c r="H41" s="19"/>
      <c r="I41" s="19"/>
      <c r="J41" s="83"/>
    </row>
    <row r="42" spans="2:10" ht="15.75" customHeight="1" x14ac:dyDescent="0.15">
      <c r="B42" s="81"/>
      <c r="C42" s="19"/>
      <c r="D42" s="19"/>
      <c r="E42" s="19"/>
      <c r="F42" s="19"/>
      <c r="G42" s="87" t="s">
        <v>82</v>
      </c>
      <c r="H42" s="92">
        <f>H40*B35</f>
        <v>41348.794308825512</v>
      </c>
      <c r="I42" s="19"/>
      <c r="J42" s="83"/>
    </row>
    <row r="43" spans="2:10" ht="15.75" customHeight="1" x14ac:dyDescent="0.15">
      <c r="B43" s="81"/>
      <c r="C43" s="19"/>
      <c r="D43" s="11"/>
      <c r="E43" s="19"/>
      <c r="F43" s="19"/>
      <c r="G43" s="87" t="s">
        <v>92</v>
      </c>
      <c r="H43" s="27">
        <f>H42/D37-1</f>
        <v>0.37829314362751698</v>
      </c>
      <c r="I43" s="19"/>
      <c r="J43" s="83"/>
    </row>
    <row r="44" spans="2:10" ht="15.75" customHeight="1" x14ac:dyDescent="0.15">
      <c r="B44" s="81"/>
      <c r="C44" s="19"/>
      <c r="D44" s="11"/>
      <c r="E44" s="19"/>
      <c r="F44" s="19"/>
      <c r="G44" s="87" t="s">
        <v>84</v>
      </c>
      <c r="H44" s="27">
        <f>((1+H43)^(12/B35))-1</f>
        <v>8.3516174937816601E-2</v>
      </c>
      <c r="I44" s="19"/>
      <c r="J44" s="83"/>
    </row>
    <row r="45" spans="2:10" ht="15.75" customHeight="1" thickBot="1" x14ac:dyDescent="0.2">
      <c r="B45" s="94"/>
      <c r="C45" s="95"/>
      <c r="D45" s="95"/>
      <c r="E45" s="95"/>
      <c r="F45" s="95"/>
      <c r="G45" s="95"/>
      <c r="H45" s="95"/>
      <c r="I45" s="95"/>
      <c r="J45" s="96"/>
    </row>
    <row r="46" spans="2:10" ht="19.5" customHeight="1" x14ac:dyDescent="0.15">
      <c r="B46" s="73">
        <v>60</v>
      </c>
      <c r="C46" s="74" t="s">
        <v>93</v>
      </c>
      <c r="D46" s="75"/>
      <c r="E46" s="76"/>
      <c r="F46" s="76"/>
      <c r="G46" s="76"/>
      <c r="H46" s="76"/>
      <c r="I46" s="76"/>
      <c r="J46" s="77"/>
    </row>
    <row r="47" spans="2:10" ht="15.75" customHeight="1" x14ac:dyDescent="0.15">
      <c r="B47" s="81"/>
      <c r="C47" s="82" t="s">
        <v>74</v>
      </c>
      <c r="D47" s="11"/>
      <c r="E47" s="19"/>
      <c r="F47" s="19"/>
      <c r="G47" s="19"/>
      <c r="H47" s="19"/>
      <c r="I47" s="19"/>
      <c r="J47" s="83"/>
    </row>
    <row r="48" spans="2:10" ht="15.75" customHeight="1" x14ac:dyDescent="0.15">
      <c r="B48" s="81"/>
      <c r="C48" s="82" t="s">
        <v>75</v>
      </c>
      <c r="D48" s="86">
        <f>'FCIc ESTIMACIONES RESUMEN'!$C$17</f>
        <v>30000</v>
      </c>
      <c r="E48" s="72" t="s">
        <v>76</v>
      </c>
      <c r="F48" s="19"/>
      <c r="G48" s="87" t="s">
        <v>71</v>
      </c>
      <c r="H48" s="86">
        <f>D49</f>
        <v>31815</v>
      </c>
      <c r="I48" s="19"/>
      <c r="J48" s="83"/>
    </row>
    <row r="49" spans="2:10" ht="15.75" customHeight="1" x14ac:dyDescent="0.15">
      <c r="B49" s="81"/>
      <c r="C49" s="82" t="s">
        <v>77</v>
      </c>
      <c r="D49" s="88">
        <f>D48*(1+(E52*(1+E51)))</f>
        <v>31815</v>
      </c>
      <c r="E49" s="19"/>
      <c r="F49" s="19"/>
      <c r="G49" s="87" t="s">
        <v>70</v>
      </c>
      <c r="H49" s="89">
        <f>'FCIc ESTIMACIONES RESUMEN'!C$8</f>
        <v>0.14499999999999999</v>
      </c>
      <c r="I49" s="19"/>
      <c r="J49" s="83"/>
    </row>
    <row r="50" spans="2:10" ht="15.75" customHeight="1" x14ac:dyDescent="0.15">
      <c r="B50" s="81"/>
      <c r="C50" s="82" t="s">
        <v>78</v>
      </c>
      <c r="D50" s="88">
        <f>D49-D48</f>
        <v>1815</v>
      </c>
      <c r="E50" s="19"/>
      <c r="F50" s="19"/>
      <c r="G50" s="87" t="s">
        <v>79</v>
      </c>
      <c r="H50" s="90">
        <f>B46</f>
        <v>60</v>
      </c>
      <c r="I50" s="19"/>
      <c r="J50" s="83"/>
    </row>
    <row r="51" spans="2:10" ht="15.75" customHeight="1" x14ac:dyDescent="0.15">
      <c r="B51" s="81"/>
      <c r="C51" s="82" t="s">
        <v>28</v>
      </c>
      <c r="D51" s="88">
        <f>D50-D52</f>
        <v>315</v>
      </c>
      <c r="E51" s="14">
        <v>0.21</v>
      </c>
      <c r="F51" s="19"/>
      <c r="G51" s="87" t="s">
        <v>80</v>
      </c>
      <c r="H51" s="91">
        <f>-PMT((H49/12),H50,H48)</f>
        <v>748.55226258749951</v>
      </c>
      <c r="I51" s="19"/>
      <c r="J51" s="83"/>
    </row>
    <row r="52" spans="2:10" ht="15.75" customHeight="1" x14ac:dyDescent="0.15">
      <c r="B52" s="81"/>
      <c r="C52" s="82" t="s">
        <v>81</v>
      </c>
      <c r="D52" s="86">
        <f>D50/(1+E51)</f>
        <v>1500</v>
      </c>
      <c r="E52" s="14">
        <v>0.05</v>
      </c>
      <c r="F52" s="19"/>
      <c r="G52" s="19"/>
      <c r="H52" s="19"/>
      <c r="I52" s="19"/>
      <c r="J52" s="83"/>
    </row>
    <row r="53" spans="2:10" ht="15.75" customHeight="1" x14ac:dyDescent="0.15">
      <c r="B53" s="81"/>
      <c r="C53" s="19"/>
      <c r="D53" s="19"/>
      <c r="E53" s="19"/>
      <c r="F53" s="19"/>
      <c r="G53" s="87" t="s">
        <v>82</v>
      </c>
      <c r="H53" s="92">
        <f>H51*B46</f>
        <v>44913.135755249968</v>
      </c>
      <c r="I53" s="19"/>
      <c r="J53" s="83"/>
    </row>
    <row r="54" spans="2:10" ht="15.75" customHeight="1" x14ac:dyDescent="0.15">
      <c r="B54" s="81"/>
      <c r="C54" s="19"/>
      <c r="D54" s="11"/>
      <c r="E54" s="19"/>
      <c r="F54" s="19"/>
      <c r="G54" s="87" t="s">
        <v>92</v>
      </c>
      <c r="H54" s="27">
        <f>H53/D48-1</f>
        <v>0.49710452517499903</v>
      </c>
      <c r="I54" s="19"/>
      <c r="J54" s="83"/>
    </row>
    <row r="55" spans="2:10" ht="15.75" customHeight="1" x14ac:dyDescent="0.15">
      <c r="B55" s="81"/>
      <c r="C55" s="19"/>
      <c r="D55" s="11"/>
      <c r="E55" s="19"/>
      <c r="F55" s="19"/>
      <c r="G55" s="87" t="s">
        <v>84</v>
      </c>
      <c r="H55" s="27">
        <f>((1+H54)^(12/B46))-1</f>
        <v>8.4052772791265218E-2</v>
      </c>
      <c r="I55" s="19"/>
      <c r="J55" s="83"/>
    </row>
    <row r="56" spans="2:10" ht="15.75" customHeight="1" thickBot="1" x14ac:dyDescent="0.2">
      <c r="B56" s="94"/>
      <c r="C56" s="95"/>
      <c r="D56" s="95"/>
      <c r="E56" s="95"/>
      <c r="F56" s="95"/>
      <c r="G56" s="95"/>
      <c r="H56" s="95"/>
      <c r="I56" s="95"/>
      <c r="J56" s="96"/>
    </row>
  </sheetData>
  <mergeCells count="1">
    <mergeCell ref="A1:T1"/>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FCIc ESTIMACIONES RESUMEN</vt:lpstr>
      <vt:lpstr>CUOTAS TOMADOR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Francisco Benegas</cp:lastModifiedBy>
  <cp:revision>0</cp:revision>
  <dcterms:created xsi:type="dcterms:W3CDTF">2026-02-23T19:43:13Z</dcterms:created>
  <dcterms:modified xsi:type="dcterms:W3CDTF">2026-02-26T21:28:26Z</dcterms:modified>
  <dc:language>en-US</dc:language>
</cp:coreProperties>
</file>